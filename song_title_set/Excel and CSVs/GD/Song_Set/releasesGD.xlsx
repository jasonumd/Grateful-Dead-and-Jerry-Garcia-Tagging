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rojects\GratefulDead\"/>
    </mc:Choice>
  </mc:AlternateContent>
  <xr:revisionPtr revIDLastSave="0" documentId="13_ncr:1_{04C9F9EA-E10F-458B-80BE-FFD7B0D606F5}" xr6:coauthVersionLast="47" xr6:coauthVersionMax="47" xr10:uidLastSave="{00000000-0000-0000-0000-000000000000}"/>
  <bookViews>
    <workbookView xWindow="-120" yWindow="-120" windowWidth="29040" windowHeight="15720" xr2:uid="{3B030463-2BC2-4FAD-9CCA-757E2375631F}"/>
  </bookViews>
  <sheets>
    <sheet name="releases" sheetId="1" r:id="rId1"/>
    <sheet name="songs" sheetId="2" r:id="rId2"/>
    <sheet name="export" sheetId="3" r:id="rId3"/>
  </sheets>
  <definedNames>
    <definedName name="_xlnm._FilterDatabase" localSheetId="0" hidden="1">releases!$A$1:$H$3912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2619" i="1"/>
  <c r="G45" i="1"/>
  <c r="G44" i="1"/>
  <c r="G47" i="1"/>
  <c r="G48" i="1"/>
  <c r="G49" i="1"/>
  <c r="G50" i="1"/>
  <c r="G51" i="1"/>
  <c r="G46" i="1"/>
  <c r="G52" i="1"/>
  <c r="G54" i="1"/>
  <c r="G55" i="1"/>
  <c r="G53" i="1"/>
  <c r="G57" i="1"/>
  <c r="G58" i="1"/>
  <c r="G59" i="1"/>
  <c r="G60" i="1"/>
  <c r="G56" i="1"/>
  <c r="G62" i="1"/>
  <c r="G63" i="1"/>
  <c r="G64" i="1"/>
  <c r="G61" i="1"/>
  <c r="G66" i="1"/>
  <c r="G65" i="1"/>
  <c r="G67" i="1"/>
  <c r="G69" i="1"/>
  <c r="G70" i="1"/>
  <c r="G71" i="1"/>
  <c r="G72" i="1"/>
  <c r="G73" i="1"/>
  <c r="G74" i="1"/>
  <c r="G75" i="1"/>
  <c r="G80" i="1"/>
  <c r="G77" i="1"/>
  <c r="G78" i="1"/>
  <c r="G79" i="1"/>
  <c r="G96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105" i="1"/>
  <c r="G97" i="1"/>
  <c r="G98" i="1"/>
  <c r="G99" i="1"/>
  <c r="G100" i="1"/>
  <c r="G101" i="1"/>
  <c r="G102" i="1"/>
  <c r="G103" i="1"/>
  <c r="G104" i="1"/>
  <c r="G110" i="1"/>
  <c r="G106" i="1"/>
  <c r="G107" i="1"/>
  <c r="G108" i="1"/>
  <c r="G109" i="1"/>
  <c r="G111" i="1"/>
  <c r="G115" i="1"/>
  <c r="G112" i="1"/>
  <c r="G113" i="1"/>
  <c r="G114" i="1"/>
  <c r="G118" i="1"/>
  <c r="G116" i="1"/>
  <c r="G117" i="1"/>
  <c r="G121" i="1"/>
  <c r="G119" i="1"/>
  <c r="G120" i="1"/>
  <c r="G3908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2812" i="1"/>
  <c r="G168" i="1"/>
  <c r="G169" i="1"/>
  <c r="G170" i="1"/>
  <c r="G2676" i="1"/>
  <c r="G172" i="1"/>
  <c r="G173" i="1"/>
  <c r="G174" i="1"/>
  <c r="G175" i="1"/>
  <c r="G176" i="1"/>
  <c r="G177" i="1"/>
  <c r="G178" i="1"/>
  <c r="G179" i="1"/>
  <c r="G180" i="1"/>
  <c r="G167" i="1"/>
  <c r="G182" i="1"/>
  <c r="G183" i="1"/>
  <c r="G184" i="1"/>
  <c r="G185" i="1"/>
  <c r="G186" i="1"/>
  <c r="G187" i="1"/>
  <c r="G188" i="1"/>
  <c r="G189" i="1"/>
  <c r="G3015" i="1"/>
  <c r="G191" i="1"/>
  <c r="G192" i="1"/>
  <c r="G193" i="1"/>
  <c r="G194" i="1"/>
  <c r="G195" i="1"/>
  <c r="G196" i="1"/>
  <c r="G197" i="1"/>
  <c r="G171" i="1"/>
  <c r="G199" i="1"/>
  <c r="G200" i="1"/>
  <c r="G201" i="1"/>
  <c r="G202" i="1"/>
  <c r="G181" i="1"/>
  <c r="G204" i="1"/>
  <c r="G205" i="1"/>
  <c r="G206" i="1"/>
  <c r="G207" i="1"/>
  <c r="G208" i="1"/>
  <c r="G209" i="1"/>
  <c r="G210" i="1"/>
  <c r="G211" i="1"/>
  <c r="G212" i="1"/>
  <c r="G213" i="1"/>
  <c r="G190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75" i="1"/>
  <c r="G230" i="1"/>
  <c r="G198" i="1"/>
  <c r="G232" i="1"/>
  <c r="G233" i="1"/>
  <c r="G234" i="1"/>
  <c r="G235" i="1"/>
  <c r="G236" i="1"/>
  <c r="G237" i="1"/>
  <c r="G238" i="1"/>
  <c r="G239" i="1"/>
  <c r="G240" i="1"/>
  <c r="G203" i="1"/>
  <c r="G242" i="1"/>
  <c r="G244" i="1"/>
  <c r="G245" i="1"/>
  <c r="G246" i="1"/>
  <c r="G229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31" i="1"/>
  <c r="G262" i="1"/>
  <c r="G263" i="1"/>
  <c r="G264" i="1"/>
  <c r="G265" i="1"/>
  <c r="G241" i="1"/>
  <c r="G267" i="1"/>
  <c r="G268" i="1"/>
  <c r="G269" i="1"/>
  <c r="G247" i="1"/>
  <c r="G271" i="1"/>
  <c r="G272" i="1"/>
  <c r="G273" i="1"/>
  <c r="G261" i="1"/>
  <c r="G266" i="1"/>
  <c r="G276" i="1"/>
  <c r="G277" i="1"/>
  <c r="G278" i="1"/>
  <c r="G270" i="1"/>
  <c r="G280" i="1"/>
  <c r="G281" i="1"/>
  <c r="G282" i="1"/>
  <c r="G283" i="1"/>
  <c r="G284" i="1"/>
  <c r="G285" i="1"/>
  <c r="G286" i="1"/>
  <c r="G288" i="1"/>
  <c r="G289" i="1"/>
  <c r="G290" i="1"/>
  <c r="G287" i="1"/>
  <c r="G292" i="1"/>
  <c r="G293" i="1"/>
  <c r="G291" i="1"/>
  <c r="G294" i="1"/>
  <c r="G295" i="1"/>
  <c r="G296" i="1"/>
  <c r="G297" i="1"/>
  <c r="G298" i="1"/>
  <c r="G299" i="1"/>
  <c r="G301" i="1"/>
  <c r="G302" i="1"/>
  <c r="G2620" i="1"/>
  <c r="G304" i="1"/>
  <c r="G305" i="1"/>
  <c r="G300" i="1"/>
  <c r="G307" i="1"/>
  <c r="G308" i="1"/>
  <c r="G309" i="1"/>
  <c r="G303" i="1"/>
  <c r="G311" i="1"/>
  <c r="G312" i="1"/>
  <c r="G313" i="1"/>
  <c r="G314" i="1"/>
  <c r="G315" i="1"/>
  <c r="G316" i="1"/>
  <c r="G317" i="1"/>
  <c r="G306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10" i="1"/>
  <c r="G337" i="1"/>
  <c r="G318" i="1"/>
  <c r="G339" i="1"/>
  <c r="G336" i="1"/>
  <c r="G341" i="1"/>
  <c r="G338" i="1"/>
  <c r="G343" i="1"/>
  <c r="G340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445" i="1"/>
  <c r="G360" i="1"/>
  <c r="G361" i="1"/>
  <c r="G362" i="1"/>
  <c r="G363" i="1"/>
  <c r="G364" i="1"/>
  <c r="G365" i="1"/>
  <c r="G366" i="1"/>
  <c r="G342" i="1"/>
  <c r="G344" i="1"/>
  <c r="G359" i="1"/>
  <c r="G370" i="1"/>
  <c r="G371" i="1"/>
  <c r="G372" i="1"/>
  <c r="G367" i="1"/>
  <c r="G374" i="1"/>
  <c r="G375" i="1"/>
  <c r="G376" i="1"/>
  <c r="G377" i="1"/>
  <c r="G36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369" i="1"/>
  <c r="G421" i="1"/>
  <c r="G422" i="1"/>
  <c r="G373" i="1"/>
  <c r="G424" i="1"/>
  <c r="G425" i="1"/>
  <c r="G426" i="1"/>
  <c r="G427" i="1"/>
  <c r="G428" i="1"/>
  <c r="G378" i="1"/>
  <c r="G430" i="1"/>
  <c r="G431" i="1"/>
  <c r="G420" i="1"/>
  <c r="G433" i="1"/>
  <c r="G434" i="1"/>
  <c r="G423" i="1"/>
  <c r="G436" i="1"/>
  <c r="G437" i="1"/>
  <c r="G438" i="1"/>
  <c r="G429" i="1"/>
  <c r="G440" i="1"/>
  <c r="G432" i="1"/>
  <c r="G442" i="1"/>
  <c r="G443" i="1"/>
  <c r="G444" i="1"/>
  <c r="G435" i="1"/>
  <c r="G446" i="1"/>
  <c r="G447" i="1"/>
  <c r="G448" i="1"/>
  <c r="G449" i="1"/>
  <c r="G441" i="1"/>
  <c r="G451" i="1"/>
  <c r="G452" i="1"/>
  <c r="G450" i="1"/>
  <c r="G454" i="1"/>
  <c r="G455" i="1"/>
  <c r="G456" i="1"/>
  <c r="G457" i="1"/>
  <c r="G2919" i="1"/>
  <c r="G453" i="1"/>
  <c r="G460" i="1"/>
  <c r="G461" i="1"/>
  <c r="G462" i="1"/>
  <c r="G463" i="1"/>
  <c r="G464" i="1"/>
  <c r="G465" i="1"/>
  <c r="G458" i="1"/>
  <c r="G467" i="1"/>
  <c r="G468" i="1"/>
  <c r="G469" i="1"/>
  <c r="G470" i="1"/>
  <c r="G471" i="1"/>
  <c r="G459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66" i="1"/>
  <c r="G488" i="1"/>
  <c r="G489" i="1"/>
  <c r="G490" i="1"/>
  <c r="G491" i="1"/>
  <c r="G492" i="1"/>
  <c r="G493" i="1"/>
  <c r="G494" i="1"/>
  <c r="G495" i="1"/>
  <c r="G496" i="1"/>
  <c r="G472" i="1"/>
  <c r="G487" i="1"/>
  <c r="G499" i="1"/>
  <c r="G500" i="1"/>
  <c r="G501" i="1"/>
  <c r="G502" i="1"/>
  <c r="G503" i="1"/>
  <c r="G497" i="1"/>
  <c r="G505" i="1"/>
  <c r="G506" i="1"/>
  <c r="G507" i="1"/>
  <c r="G49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04" i="1"/>
  <c r="G508" i="1"/>
  <c r="G533" i="1"/>
  <c r="G534" i="1"/>
  <c r="G535" i="1"/>
  <c r="G536" i="1"/>
  <c r="G531" i="1"/>
  <c r="G538" i="1"/>
  <c r="G532" i="1"/>
  <c r="G540" i="1"/>
  <c r="G541" i="1"/>
  <c r="G542" i="1"/>
  <c r="G537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39" i="1"/>
  <c r="G543" i="1"/>
  <c r="G564" i="1"/>
  <c r="G565" i="1"/>
  <c r="G566" i="1"/>
  <c r="G567" i="1"/>
  <c r="G568" i="1"/>
  <c r="G569" i="1"/>
  <c r="G570" i="1"/>
  <c r="G562" i="1"/>
  <c r="G572" i="1"/>
  <c r="G563" i="1"/>
  <c r="G574" i="1"/>
  <c r="G575" i="1"/>
  <c r="G576" i="1"/>
  <c r="G571" i="1"/>
  <c r="G578" i="1"/>
  <c r="G579" i="1"/>
  <c r="G580" i="1"/>
  <c r="G581" i="1"/>
  <c r="G582" i="1"/>
  <c r="G583" i="1"/>
  <c r="G573" i="1"/>
  <c r="G577" i="1"/>
  <c r="G584" i="1"/>
  <c r="G587" i="1"/>
  <c r="G585" i="1"/>
  <c r="G586" i="1"/>
  <c r="G588" i="1"/>
  <c r="G589" i="1"/>
  <c r="G590" i="1"/>
  <c r="G591" i="1"/>
  <c r="G592" i="1"/>
  <c r="G595" i="1"/>
  <c r="G593" i="1"/>
  <c r="G594" i="1"/>
  <c r="G596" i="1"/>
  <c r="G597" i="1"/>
  <c r="G600" i="1"/>
  <c r="G601" i="1"/>
  <c r="G598" i="1"/>
  <c r="G603" i="1"/>
  <c r="G604" i="1"/>
  <c r="G599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243" i="1"/>
  <c r="G622" i="1"/>
  <c r="G623" i="1"/>
  <c r="G624" i="1"/>
  <c r="G625" i="1"/>
  <c r="G626" i="1"/>
  <c r="G627" i="1"/>
  <c r="G628" i="1"/>
  <c r="G279" i="1"/>
  <c r="G630" i="1"/>
  <c r="G602" i="1"/>
  <c r="G632" i="1"/>
  <c r="G633" i="1"/>
  <c r="G634" i="1"/>
  <c r="G635" i="1"/>
  <c r="G636" i="1"/>
  <c r="G637" i="1"/>
  <c r="G605" i="1"/>
  <c r="G639" i="1"/>
  <c r="G640" i="1"/>
  <c r="G62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29" i="1"/>
  <c r="G662" i="1"/>
  <c r="G663" i="1"/>
  <c r="G664" i="1"/>
  <c r="G665" i="1"/>
  <c r="G631" i="1"/>
  <c r="G667" i="1"/>
  <c r="G668" i="1"/>
  <c r="G638" i="1"/>
  <c r="G670" i="1"/>
  <c r="G671" i="1"/>
  <c r="G672" i="1"/>
  <c r="G673" i="1"/>
  <c r="G674" i="1"/>
  <c r="G641" i="1"/>
  <c r="G676" i="1"/>
  <c r="G677" i="1"/>
  <c r="G678" i="1"/>
  <c r="G679" i="1"/>
  <c r="G680" i="1"/>
  <c r="G661" i="1"/>
  <c r="G682" i="1"/>
  <c r="G666" i="1"/>
  <c r="G684" i="1"/>
  <c r="G669" i="1"/>
  <c r="G675" i="1"/>
  <c r="G687" i="1"/>
  <c r="G688" i="1"/>
  <c r="G689" i="1"/>
  <c r="G690" i="1"/>
  <c r="G691" i="1"/>
  <c r="G692" i="1"/>
  <c r="G693" i="1"/>
  <c r="G694" i="1"/>
  <c r="G681" i="1"/>
  <c r="G696" i="1"/>
  <c r="G697" i="1"/>
  <c r="G698" i="1"/>
  <c r="G683" i="1"/>
  <c r="G700" i="1"/>
  <c r="G701" i="1"/>
  <c r="G702" i="1"/>
  <c r="G703" i="1"/>
  <c r="G704" i="1"/>
  <c r="G705" i="1"/>
  <c r="G686" i="1"/>
  <c r="G695" i="1"/>
  <c r="G709" i="1"/>
  <c r="G710" i="1"/>
  <c r="G711" i="1"/>
  <c r="G712" i="1"/>
  <c r="G713" i="1"/>
  <c r="G699" i="1"/>
  <c r="G715" i="1"/>
  <c r="G706" i="1"/>
  <c r="G717" i="1"/>
  <c r="G718" i="1"/>
  <c r="G719" i="1"/>
  <c r="G720" i="1"/>
  <c r="G707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08" i="1"/>
  <c r="G737" i="1"/>
  <c r="G738" i="1"/>
  <c r="G739" i="1"/>
  <c r="G740" i="1"/>
  <c r="G714" i="1"/>
  <c r="G742" i="1"/>
  <c r="G743" i="1"/>
  <c r="G744" i="1"/>
  <c r="G745" i="1"/>
  <c r="G746" i="1"/>
  <c r="G747" i="1"/>
  <c r="G748" i="1"/>
  <c r="G749" i="1"/>
  <c r="G750" i="1"/>
  <c r="G716" i="1"/>
  <c r="G752" i="1"/>
  <c r="G753" i="1"/>
  <c r="G754" i="1"/>
  <c r="G755" i="1"/>
  <c r="G756" i="1"/>
  <c r="G721" i="1"/>
  <c r="G758" i="1"/>
  <c r="G759" i="1"/>
  <c r="G760" i="1"/>
  <c r="G761" i="1"/>
  <c r="G762" i="1"/>
  <c r="G763" i="1"/>
  <c r="G764" i="1"/>
  <c r="G765" i="1"/>
  <c r="G766" i="1"/>
  <c r="G736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41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751" i="1"/>
  <c r="G807" i="1"/>
  <c r="G757" i="1"/>
  <c r="G809" i="1"/>
  <c r="G810" i="1"/>
  <c r="G767" i="1"/>
  <c r="G812" i="1"/>
  <c r="G790" i="1"/>
  <c r="G814" i="1"/>
  <c r="G806" i="1"/>
  <c r="G816" i="1"/>
  <c r="G808" i="1"/>
  <c r="G811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13" i="1"/>
  <c r="G832" i="1"/>
  <c r="G815" i="1"/>
  <c r="G817" i="1"/>
  <c r="G818" i="1"/>
  <c r="G836" i="1"/>
  <c r="G837" i="1"/>
  <c r="G838" i="1"/>
  <c r="G839" i="1"/>
  <c r="G840" i="1"/>
  <c r="G841" i="1"/>
  <c r="G842" i="1"/>
  <c r="G843" i="1"/>
  <c r="G844" i="1"/>
  <c r="G831" i="1"/>
  <c r="G846" i="1"/>
  <c r="G847" i="1"/>
  <c r="G848" i="1"/>
  <c r="G849" i="1"/>
  <c r="G850" i="1"/>
  <c r="G851" i="1"/>
  <c r="G833" i="1"/>
  <c r="G853" i="1"/>
  <c r="G854" i="1"/>
  <c r="G855" i="1"/>
  <c r="G856" i="1"/>
  <c r="G857" i="1"/>
  <c r="G858" i="1"/>
  <c r="G859" i="1"/>
  <c r="G860" i="1"/>
  <c r="G2949" i="1"/>
  <c r="G3403" i="1"/>
  <c r="G863" i="1"/>
  <c r="G834" i="1"/>
  <c r="G865" i="1"/>
  <c r="G866" i="1"/>
  <c r="G867" i="1"/>
  <c r="G869" i="1"/>
  <c r="G870" i="1"/>
  <c r="G871" i="1"/>
  <c r="G872" i="1"/>
  <c r="G873" i="1"/>
  <c r="G845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52" i="1"/>
  <c r="G898" i="1"/>
  <c r="G861" i="1"/>
  <c r="G900" i="1"/>
  <c r="G901" i="1"/>
  <c r="G902" i="1"/>
  <c r="G903" i="1"/>
  <c r="G904" i="1"/>
  <c r="G905" i="1"/>
  <c r="G906" i="1"/>
  <c r="G907" i="1"/>
  <c r="G908" i="1"/>
  <c r="G909" i="1"/>
  <c r="G862" i="1"/>
  <c r="G911" i="1"/>
  <c r="G864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868" i="1"/>
  <c r="G943" i="1"/>
  <c r="G944" i="1"/>
  <c r="G874" i="1"/>
  <c r="G897" i="1"/>
  <c r="G899" i="1"/>
  <c r="G948" i="1"/>
  <c r="G949" i="1"/>
  <c r="G950" i="1"/>
  <c r="G951" i="1"/>
  <c r="G952" i="1"/>
  <c r="G953" i="1"/>
  <c r="G954" i="1"/>
  <c r="G910" i="1"/>
  <c r="G956" i="1"/>
  <c r="G912" i="1"/>
  <c r="G958" i="1"/>
  <c r="G942" i="1"/>
  <c r="G960" i="1"/>
  <c r="G945" i="1"/>
  <c r="G946" i="1"/>
  <c r="G963" i="1"/>
  <c r="G947" i="1"/>
  <c r="G955" i="1"/>
  <c r="G957" i="1"/>
  <c r="G959" i="1"/>
  <c r="G968" i="1"/>
  <c r="G969" i="1"/>
  <c r="G970" i="1"/>
  <c r="G971" i="1"/>
  <c r="G961" i="1"/>
  <c r="G973" i="1"/>
  <c r="G974" i="1"/>
  <c r="G975" i="1"/>
  <c r="G962" i="1"/>
  <c r="G977" i="1"/>
  <c r="G978" i="1"/>
  <c r="G979" i="1"/>
  <c r="G980" i="1"/>
  <c r="G981" i="1"/>
  <c r="G982" i="1"/>
  <c r="G983" i="1"/>
  <c r="G964" i="1"/>
  <c r="G985" i="1"/>
  <c r="G986" i="1"/>
  <c r="G987" i="1"/>
  <c r="G965" i="1"/>
  <c r="G989" i="1"/>
  <c r="G990" i="1"/>
  <c r="G991" i="1"/>
  <c r="G992" i="1"/>
  <c r="G966" i="1"/>
  <c r="G967" i="1"/>
  <c r="G972" i="1"/>
  <c r="G996" i="1"/>
  <c r="G997" i="1"/>
  <c r="G998" i="1"/>
  <c r="G999" i="1"/>
  <c r="G1000" i="1"/>
  <c r="G1001" i="1"/>
  <c r="G976" i="1"/>
  <c r="G1003" i="1"/>
  <c r="G1004" i="1"/>
  <c r="G1005" i="1"/>
  <c r="G1006" i="1"/>
  <c r="G984" i="1"/>
  <c r="G988" i="1"/>
  <c r="G1009" i="1"/>
  <c r="G1010" i="1"/>
  <c r="G1011" i="1"/>
  <c r="G1012" i="1"/>
  <c r="G1013" i="1"/>
  <c r="G1014" i="1"/>
  <c r="G1015" i="1"/>
  <c r="G1016" i="1"/>
  <c r="G1017" i="1"/>
  <c r="G1018" i="1"/>
  <c r="G1019" i="1"/>
  <c r="G993" i="1"/>
  <c r="G1021" i="1"/>
  <c r="G1022" i="1"/>
  <c r="G1023" i="1"/>
  <c r="G1024" i="1"/>
  <c r="G1025" i="1"/>
  <c r="G994" i="1"/>
  <c r="G1027" i="1"/>
  <c r="G1028" i="1"/>
  <c r="G1029" i="1"/>
  <c r="G1030" i="1"/>
  <c r="G1031" i="1"/>
  <c r="G1032" i="1"/>
  <c r="G1033" i="1"/>
  <c r="G1034" i="1"/>
  <c r="G1035" i="1"/>
  <c r="G995" i="1"/>
  <c r="G1037" i="1"/>
  <c r="G1038" i="1"/>
  <c r="G1039" i="1"/>
  <c r="G1040" i="1"/>
  <c r="G1041" i="1"/>
  <c r="G1042" i="1"/>
  <c r="G1002" i="1"/>
  <c r="G1044" i="1"/>
  <c r="G1007" i="1"/>
  <c r="G1046" i="1"/>
  <c r="G1047" i="1"/>
  <c r="G1048" i="1"/>
  <c r="G1049" i="1"/>
  <c r="G1050" i="1"/>
  <c r="G1051" i="1"/>
  <c r="G1052" i="1"/>
  <c r="G1008" i="1"/>
  <c r="G1020" i="1"/>
  <c r="G1055" i="1"/>
  <c r="G1056" i="1"/>
  <c r="G1057" i="1"/>
  <c r="G1058" i="1"/>
  <c r="G1059" i="1"/>
  <c r="G1060" i="1"/>
  <c r="G1061" i="1"/>
  <c r="G1026" i="1"/>
  <c r="G1063" i="1"/>
  <c r="G1064" i="1"/>
  <c r="G1036" i="1"/>
  <c r="G1066" i="1"/>
  <c r="G1067" i="1"/>
  <c r="G1068" i="1"/>
  <c r="G1069" i="1"/>
  <c r="G1043" i="1"/>
  <c r="G1045" i="1"/>
  <c r="G1053" i="1"/>
  <c r="G1054" i="1"/>
  <c r="G1074" i="1"/>
  <c r="G1075" i="1"/>
  <c r="G1076" i="1"/>
  <c r="G1062" i="1"/>
  <c r="G1078" i="1"/>
  <c r="G1079" i="1"/>
  <c r="G1080" i="1"/>
  <c r="G1081" i="1"/>
  <c r="G1082" i="1"/>
  <c r="G1083" i="1"/>
  <c r="G1065" i="1"/>
  <c r="G1085" i="1"/>
  <c r="G1086" i="1"/>
  <c r="G1087" i="1"/>
  <c r="G1070" i="1"/>
  <c r="G1089" i="1"/>
  <c r="G1090" i="1"/>
  <c r="G1091" i="1"/>
  <c r="G1092" i="1"/>
  <c r="G1093" i="1"/>
  <c r="G1094" i="1"/>
  <c r="G1071" i="1"/>
  <c r="G1096" i="1"/>
  <c r="G1097" i="1"/>
  <c r="G1098" i="1"/>
  <c r="G1072" i="1"/>
  <c r="G1100" i="1"/>
  <c r="G1101" i="1"/>
  <c r="G1102" i="1"/>
  <c r="G1103" i="1"/>
  <c r="G1104" i="1"/>
  <c r="G1105" i="1"/>
  <c r="G1073" i="1"/>
  <c r="G1107" i="1"/>
  <c r="G1108" i="1"/>
  <c r="G1077" i="1"/>
  <c r="G1110" i="1"/>
  <c r="G1111" i="1"/>
  <c r="G1112" i="1"/>
  <c r="G1084" i="1"/>
  <c r="G1114" i="1"/>
  <c r="G1115" i="1"/>
  <c r="G1116" i="1"/>
  <c r="G1117" i="1"/>
  <c r="G1118" i="1"/>
  <c r="G1119" i="1"/>
  <c r="G1120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095" i="1"/>
  <c r="G1175" i="1"/>
  <c r="G1176" i="1"/>
  <c r="G1177" i="1"/>
  <c r="G1099" i="1"/>
  <c r="G1179" i="1"/>
  <c r="G1180" i="1"/>
  <c r="G1181" i="1"/>
  <c r="G1182" i="1"/>
  <c r="G1183" i="1"/>
  <c r="G1106" i="1"/>
  <c r="G1185" i="1"/>
  <c r="G1186" i="1"/>
  <c r="G1187" i="1"/>
  <c r="G1188" i="1"/>
  <c r="G1189" i="1"/>
  <c r="G1109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113" i="1"/>
  <c r="G1218" i="1"/>
  <c r="G1219" i="1"/>
  <c r="G1220" i="1"/>
  <c r="G1121" i="1"/>
  <c r="G1222" i="1"/>
  <c r="G1223" i="1"/>
  <c r="G263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174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178" i="1"/>
  <c r="G1252" i="1"/>
  <c r="G1253" i="1"/>
  <c r="G1254" i="1"/>
  <c r="G1255" i="1"/>
  <c r="G1256" i="1"/>
  <c r="G1257" i="1"/>
  <c r="G1258" i="1"/>
  <c r="G1184" i="1"/>
  <c r="G1260" i="1"/>
  <c r="G1261" i="1"/>
  <c r="G1262" i="1"/>
  <c r="G1263" i="1"/>
  <c r="G1264" i="1"/>
  <c r="G1190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17" i="1"/>
  <c r="G1280" i="1"/>
  <c r="G1281" i="1"/>
  <c r="G1282" i="1"/>
  <c r="G1221" i="1"/>
  <c r="G1284" i="1"/>
  <c r="G1224" i="1"/>
  <c r="G1286" i="1"/>
  <c r="G1287" i="1"/>
  <c r="G1288" i="1"/>
  <c r="G1289" i="1"/>
  <c r="G1290" i="1"/>
  <c r="G1291" i="1"/>
  <c r="G1292" i="1"/>
  <c r="G1293" i="1"/>
  <c r="G1238" i="1"/>
  <c r="G1295" i="1"/>
  <c r="G1296" i="1"/>
  <c r="G1297" i="1"/>
  <c r="G1298" i="1"/>
  <c r="G1299" i="1"/>
  <c r="G1300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259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265" i="1"/>
  <c r="G1342" i="1"/>
  <c r="G1343" i="1"/>
  <c r="G1344" i="1"/>
  <c r="G1345" i="1"/>
  <c r="G1346" i="1"/>
  <c r="G1279" i="1"/>
  <c r="G1283" i="1"/>
  <c r="G1349" i="1"/>
  <c r="G1350" i="1"/>
  <c r="G1351" i="1"/>
  <c r="G1352" i="1"/>
  <c r="G1285" i="1"/>
  <c r="G1354" i="1"/>
  <c r="G1355" i="1"/>
  <c r="G1356" i="1"/>
  <c r="G1357" i="1"/>
  <c r="G1358" i="1"/>
  <c r="G1359" i="1"/>
  <c r="G1360" i="1"/>
  <c r="G1361" i="1"/>
  <c r="G1294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01" i="1"/>
  <c r="G1376" i="1"/>
  <c r="G1377" i="1"/>
  <c r="G1378" i="1"/>
  <c r="G1379" i="1"/>
  <c r="G1318" i="1"/>
  <c r="G1381" i="1"/>
  <c r="G1382" i="1"/>
  <c r="G1383" i="1"/>
  <c r="G1384" i="1"/>
  <c r="G1385" i="1"/>
  <c r="G1386" i="1"/>
  <c r="G1387" i="1"/>
  <c r="G1388" i="1"/>
  <c r="G3647" i="1"/>
  <c r="G1390" i="1"/>
  <c r="G1391" i="1"/>
  <c r="G1392" i="1"/>
  <c r="G1393" i="1"/>
  <c r="G1394" i="1"/>
  <c r="G1395" i="1"/>
  <c r="G1396" i="1"/>
  <c r="G1347" i="1"/>
  <c r="G1348" i="1"/>
  <c r="G1399" i="1"/>
  <c r="G1400" i="1"/>
  <c r="G1401" i="1"/>
  <c r="G1402" i="1"/>
  <c r="G1403" i="1"/>
  <c r="G1404" i="1"/>
  <c r="G1405" i="1"/>
  <c r="G1406" i="1"/>
  <c r="G1353" i="1"/>
  <c r="G1362" i="1"/>
  <c r="G1409" i="1"/>
  <c r="G1410" i="1"/>
  <c r="G1411" i="1"/>
  <c r="G1412" i="1"/>
  <c r="G1413" i="1"/>
  <c r="G1375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380" i="1"/>
  <c r="G1433" i="1"/>
  <c r="G1434" i="1"/>
  <c r="G1435" i="1"/>
  <c r="G1389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1" i="1"/>
  <c r="G1462" i="1"/>
  <c r="G1463" i="1"/>
  <c r="G1464" i="1"/>
  <c r="G1465" i="1"/>
  <c r="G1398" i="1"/>
  <c r="G1467" i="1"/>
  <c r="G1468" i="1"/>
  <c r="G1469" i="1"/>
  <c r="G1470" i="1"/>
  <c r="G1471" i="1"/>
  <c r="G1472" i="1"/>
  <c r="G1473" i="1"/>
  <c r="G1474" i="1"/>
  <c r="G1475" i="1"/>
  <c r="G1476" i="1"/>
  <c r="G1477" i="1"/>
  <c r="G1407" i="1"/>
  <c r="G1479" i="1"/>
  <c r="G1480" i="1"/>
  <c r="G1481" i="1"/>
  <c r="G1482" i="1"/>
  <c r="G1483" i="1"/>
  <c r="G1408" i="1"/>
  <c r="G1485" i="1"/>
  <c r="G1486" i="1"/>
  <c r="G1487" i="1"/>
  <c r="G1488" i="1"/>
  <c r="G1414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432" i="1"/>
  <c r="G1436" i="1"/>
  <c r="G1508" i="1"/>
  <c r="G1509" i="1"/>
  <c r="G1510" i="1"/>
  <c r="G1511" i="1"/>
  <c r="G1460" i="1"/>
  <c r="G1513" i="1"/>
  <c r="G1514" i="1"/>
  <c r="G1466" i="1"/>
  <c r="G1516" i="1"/>
  <c r="G1517" i="1"/>
  <c r="G147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484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489" i="1"/>
  <c r="G1550" i="1"/>
  <c r="G1551" i="1"/>
  <c r="G1552" i="1"/>
  <c r="G1553" i="1"/>
  <c r="G1506" i="1"/>
  <c r="G1555" i="1"/>
  <c r="G1556" i="1"/>
  <c r="G1557" i="1"/>
  <c r="G1558" i="1"/>
  <c r="G1559" i="1"/>
  <c r="G1507" i="1"/>
  <c r="G1561" i="1"/>
  <c r="G1562" i="1"/>
  <c r="G1563" i="1"/>
  <c r="G1564" i="1"/>
  <c r="G1565" i="1"/>
  <c r="G1566" i="1"/>
  <c r="G1567" i="1"/>
  <c r="G1568" i="1"/>
  <c r="G1569" i="1"/>
  <c r="G1512" i="1"/>
  <c r="G1571" i="1"/>
  <c r="G1572" i="1"/>
  <c r="G1573" i="1"/>
  <c r="G1515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518" i="1"/>
  <c r="G1601" i="1"/>
  <c r="G1602" i="1"/>
  <c r="G1603" i="1"/>
  <c r="G1604" i="1"/>
  <c r="G1532" i="1"/>
  <c r="G1606" i="1"/>
  <c r="G1607" i="1"/>
  <c r="G1608" i="1"/>
  <c r="G1609" i="1"/>
  <c r="G1610" i="1"/>
  <c r="G1611" i="1"/>
  <c r="G1612" i="1"/>
  <c r="G1549" i="1"/>
  <c r="G1554" i="1"/>
  <c r="G1560" i="1"/>
  <c r="G1570" i="1"/>
  <c r="G1617" i="1"/>
  <c r="G1618" i="1"/>
  <c r="G1574" i="1"/>
  <c r="G1620" i="1"/>
  <c r="G1621" i="1"/>
  <c r="G1600" i="1"/>
  <c r="G1605" i="1"/>
  <c r="G1613" i="1"/>
  <c r="G1614" i="1"/>
  <c r="G1626" i="1"/>
  <c r="G1615" i="1"/>
  <c r="G1616" i="1"/>
  <c r="G1629" i="1"/>
  <c r="G1619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22" i="1"/>
  <c r="G1646" i="1"/>
  <c r="G1623" i="1"/>
  <c r="G1624" i="1"/>
  <c r="G1649" i="1"/>
  <c r="G1650" i="1"/>
  <c r="G1651" i="1"/>
  <c r="G1652" i="1"/>
  <c r="G1653" i="1"/>
  <c r="G1654" i="1"/>
  <c r="G1655" i="1"/>
  <c r="G1656" i="1"/>
  <c r="G1657" i="1"/>
  <c r="G1658" i="1"/>
  <c r="G1625" i="1"/>
  <c r="G1660" i="1"/>
  <c r="G1661" i="1"/>
  <c r="G1662" i="1"/>
  <c r="G1663" i="1"/>
  <c r="G1664" i="1"/>
  <c r="G1665" i="1"/>
  <c r="G1666" i="1"/>
  <c r="G1667" i="1"/>
  <c r="G1627" i="1"/>
  <c r="G1628" i="1"/>
  <c r="G1670" i="1"/>
  <c r="G1671" i="1"/>
  <c r="G1672" i="1"/>
  <c r="G1630" i="1"/>
  <c r="G1645" i="1"/>
  <c r="G1675" i="1"/>
  <c r="G1647" i="1"/>
  <c r="G1677" i="1"/>
  <c r="G1678" i="1"/>
  <c r="G1648" i="1"/>
  <c r="G1680" i="1"/>
  <c r="G1681" i="1"/>
  <c r="G1682" i="1"/>
  <c r="G1683" i="1"/>
  <c r="G1684" i="1"/>
  <c r="G1685" i="1"/>
  <c r="G1659" i="1"/>
  <c r="G1687" i="1"/>
  <c r="G1688" i="1"/>
  <c r="G1689" i="1"/>
  <c r="G1690" i="1"/>
  <c r="G1668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669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673" i="1"/>
  <c r="G1741" i="1"/>
  <c r="G1742" i="1"/>
  <c r="G1743" i="1"/>
  <c r="G1744" i="1"/>
  <c r="G1674" i="1"/>
  <c r="G1746" i="1"/>
  <c r="G1747" i="1"/>
  <c r="G1748" i="1"/>
  <c r="G1749" i="1"/>
  <c r="G1750" i="1"/>
  <c r="G1751" i="1"/>
  <c r="G1752" i="1"/>
  <c r="G1676" i="1"/>
  <c r="G1754" i="1"/>
  <c r="G1755" i="1"/>
  <c r="G1756" i="1"/>
  <c r="G1757" i="1"/>
  <c r="G1758" i="1"/>
  <c r="G1759" i="1"/>
  <c r="G1760" i="1"/>
  <c r="G1761" i="1"/>
  <c r="G1679" i="1"/>
  <c r="G1763" i="1"/>
  <c r="G1764" i="1"/>
  <c r="G1765" i="1"/>
  <c r="G1766" i="1"/>
  <c r="G1767" i="1"/>
  <c r="G1768" i="1"/>
  <c r="G1769" i="1"/>
  <c r="G1770" i="1"/>
  <c r="G1771" i="1"/>
  <c r="G1772" i="1"/>
  <c r="G1773" i="1"/>
  <c r="G1686" i="1"/>
  <c r="G1691" i="1"/>
  <c r="G1776" i="1"/>
  <c r="G1777" i="1"/>
  <c r="G1778" i="1"/>
  <c r="G1779" i="1"/>
  <c r="G1780" i="1"/>
  <c r="G1781" i="1"/>
  <c r="G1782" i="1"/>
  <c r="G1717" i="1"/>
  <c r="G1784" i="1"/>
  <c r="G1785" i="1"/>
  <c r="G1786" i="1"/>
  <c r="G1787" i="1"/>
  <c r="G1788" i="1"/>
  <c r="G1789" i="1"/>
  <c r="G1790" i="1"/>
  <c r="G1740" i="1"/>
  <c r="G1792" i="1"/>
  <c r="G1793" i="1"/>
  <c r="G1794" i="1"/>
  <c r="G1795" i="1"/>
  <c r="G1796" i="1"/>
  <c r="G1797" i="1"/>
  <c r="G1798" i="1"/>
  <c r="G1799" i="1"/>
  <c r="G1800" i="1"/>
  <c r="G1801" i="1"/>
  <c r="G1745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753" i="1"/>
  <c r="G1762" i="1"/>
  <c r="G1821" i="1"/>
  <c r="G1774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775" i="1"/>
  <c r="G1840" i="1"/>
  <c r="G1841" i="1"/>
  <c r="G1783" i="1"/>
  <c r="G1843" i="1"/>
  <c r="G1791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02" i="1"/>
  <c r="G1858" i="1"/>
  <c r="G1859" i="1"/>
  <c r="G1860" i="1"/>
  <c r="G1861" i="1"/>
  <c r="G1819" i="1"/>
  <c r="G1863" i="1"/>
  <c r="G1864" i="1"/>
  <c r="G1865" i="1"/>
  <c r="G1866" i="1"/>
  <c r="G1867" i="1"/>
  <c r="G1868" i="1"/>
  <c r="G1869" i="1"/>
  <c r="G1871" i="1"/>
  <c r="G1872" i="1"/>
  <c r="G1873" i="1"/>
  <c r="G1874" i="1"/>
  <c r="G1822" i="1"/>
  <c r="G1839" i="1"/>
  <c r="G1842" i="1"/>
  <c r="G1844" i="1"/>
  <c r="G1857" i="1"/>
  <c r="G1862" i="1"/>
  <c r="G1875" i="1"/>
  <c r="G1876" i="1"/>
  <c r="G1877" i="1"/>
  <c r="G1878" i="1"/>
  <c r="G1879" i="1"/>
  <c r="G1887" i="1"/>
  <c r="G1888" i="1"/>
  <c r="G1889" i="1"/>
  <c r="G1890" i="1"/>
  <c r="G1891" i="1"/>
  <c r="G1880" i="1"/>
  <c r="G1893" i="1"/>
  <c r="G1894" i="1"/>
  <c r="G1895" i="1"/>
  <c r="G1881" i="1"/>
  <c r="G1897" i="1"/>
  <c r="G1898" i="1"/>
  <c r="G1899" i="1"/>
  <c r="G1900" i="1"/>
  <c r="G1882" i="1"/>
  <c r="G1902" i="1"/>
  <c r="G1903" i="1"/>
  <c r="G1883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884" i="1"/>
  <c r="G1918" i="1"/>
  <c r="G1919" i="1"/>
  <c r="G1920" i="1"/>
  <c r="G1921" i="1"/>
  <c r="G1885" i="1"/>
  <c r="G1923" i="1"/>
  <c r="G1924" i="1"/>
  <c r="G1925" i="1"/>
  <c r="G1926" i="1"/>
  <c r="G1927" i="1"/>
  <c r="G1928" i="1"/>
  <c r="G1929" i="1"/>
  <c r="G1930" i="1"/>
  <c r="G1931" i="1"/>
  <c r="G1932" i="1"/>
  <c r="G1933" i="1"/>
  <c r="G1886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892" i="1"/>
  <c r="G1948" i="1"/>
  <c r="G1949" i="1"/>
  <c r="G1950" i="1"/>
  <c r="G1951" i="1"/>
  <c r="G1952" i="1"/>
  <c r="G1896" i="1"/>
  <c r="G1954" i="1"/>
  <c r="G1955" i="1"/>
  <c r="G1956" i="1"/>
  <c r="G1901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04" i="1"/>
  <c r="G1992" i="1"/>
  <c r="G1993" i="1"/>
  <c r="G1994" i="1"/>
  <c r="G1995" i="1"/>
  <c r="G1996" i="1"/>
  <c r="G1997" i="1"/>
  <c r="G1998" i="1"/>
  <c r="G1917" i="1"/>
  <c r="G2000" i="1"/>
  <c r="G2001" i="1"/>
  <c r="G2002" i="1"/>
  <c r="G2003" i="1"/>
  <c r="G1922" i="1"/>
  <c r="G2005" i="1"/>
  <c r="G2006" i="1"/>
  <c r="G2007" i="1"/>
  <c r="G2008" i="1"/>
  <c r="G1934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1947" i="1"/>
  <c r="G1953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1957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1991" i="1"/>
  <c r="G2053" i="1"/>
  <c r="G2054" i="1"/>
  <c r="G1999" i="1"/>
  <c r="G2056" i="1"/>
  <c r="G2057" i="1"/>
  <c r="G2058" i="1"/>
  <c r="G2059" i="1"/>
  <c r="G2060" i="1"/>
  <c r="G2061" i="1"/>
  <c r="G2062" i="1"/>
  <c r="G2063" i="1"/>
  <c r="G2004" i="1"/>
  <c r="G2065" i="1"/>
  <c r="G2066" i="1"/>
  <c r="G2067" i="1"/>
  <c r="G2068" i="1"/>
  <c r="G2069" i="1"/>
  <c r="G2070" i="1"/>
  <c r="G2071" i="1"/>
  <c r="G2072" i="1"/>
  <c r="G2009" i="1"/>
  <c r="G2074" i="1"/>
  <c r="G2024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25" i="1"/>
  <c r="G2097" i="1"/>
  <c r="G2098" i="1"/>
  <c r="G2099" i="1"/>
  <c r="G2100" i="1"/>
  <c r="G2101" i="1"/>
  <c r="G2039" i="1"/>
  <c r="G2103" i="1"/>
  <c r="G2104" i="1"/>
  <c r="G2105" i="1"/>
  <c r="G2106" i="1"/>
  <c r="G2107" i="1"/>
  <c r="G2108" i="1"/>
  <c r="G2109" i="1"/>
  <c r="G2110" i="1"/>
  <c r="G2052" i="1"/>
  <c r="G2055" i="1"/>
  <c r="G2113" i="1"/>
  <c r="G2064" i="1"/>
  <c r="G2073" i="1"/>
  <c r="G2075" i="1"/>
  <c r="G2096" i="1"/>
  <c r="G2102" i="1"/>
  <c r="G2111" i="1"/>
  <c r="G2112" i="1"/>
  <c r="G2114" i="1"/>
  <c r="G2115" i="1"/>
  <c r="G2116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17" i="1"/>
  <c r="G2170" i="1"/>
  <c r="G2171" i="1"/>
  <c r="G2172" i="1"/>
  <c r="G2173" i="1"/>
  <c r="G2174" i="1"/>
  <c r="G2175" i="1"/>
  <c r="G2176" i="1"/>
  <c r="G2118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119" i="1"/>
  <c r="G2202" i="1"/>
  <c r="G2203" i="1"/>
  <c r="G2204" i="1"/>
  <c r="G2205" i="1"/>
  <c r="G2206" i="1"/>
  <c r="G2207" i="1"/>
  <c r="G2208" i="1"/>
  <c r="G2209" i="1"/>
  <c r="G2210" i="1"/>
  <c r="G2120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121" i="1"/>
  <c r="G2239" i="1"/>
  <c r="G2240" i="1"/>
  <c r="G2122" i="1"/>
  <c r="G2242" i="1"/>
  <c r="G2243" i="1"/>
  <c r="G2244" i="1"/>
  <c r="G2245" i="1"/>
  <c r="G2246" i="1"/>
  <c r="G2247" i="1"/>
  <c r="G2248" i="1"/>
  <c r="G2249" i="1"/>
  <c r="G2250" i="1"/>
  <c r="G2251" i="1"/>
  <c r="G2123" i="1"/>
  <c r="G2253" i="1"/>
  <c r="G2254" i="1"/>
  <c r="G2255" i="1"/>
  <c r="G2256" i="1"/>
  <c r="G2257" i="1"/>
  <c r="G2258" i="1"/>
  <c r="G2259" i="1"/>
  <c r="G2260" i="1"/>
  <c r="G2169" i="1"/>
  <c r="G2262" i="1"/>
  <c r="G2263" i="1"/>
  <c r="G2264" i="1"/>
  <c r="G2265" i="1"/>
  <c r="G2266" i="1"/>
  <c r="G2267" i="1"/>
  <c r="G2177" i="1"/>
  <c r="G2269" i="1"/>
  <c r="G2270" i="1"/>
  <c r="G2271" i="1"/>
  <c r="G2272" i="1"/>
  <c r="G2273" i="1"/>
  <c r="G2274" i="1"/>
  <c r="G2275" i="1"/>
  <c r="G2201" i="1"/>
  <c r="G2211" i="1"/>
  <c r="G2278" i="1"/>
  <c r="G2279" i="1"/>
  <c r="G2280" i="1"/>
  <c r="G2238" i="1"/>
  <c r="G2241" i="1"/>
  <c r="G2283" i="1"/>
  <c r="G2252" i="1"/>
  <c r="G2285" i="1"/>
  <c r="G2286" i="1"/>
  <c r="G2261" i="1"/>
  <c r="G2268" i="1"/>
  <c r="G2276" i="1"/>
  <c r="G2277" i="1"/>
  <c r="G2291" i="1"/>
  <c r="G2281" i="1"/>
  <c r="G2293" i="1"/>
  <c r="G2294" i="1"/>
  <c r="G2282" i="1"/>
  <c r="G2296" i="1"/>
  <c r="G2297" i="1"/>
  <c r="G2298" i="1"/>
  <c r="G2299" i="1"/>
  <c r="G2300" i="1"/>
  <c r="G2301" i="1"/>
  <c r="G2302" i="1"/>
  <c r="G2284" i="1"/>
  <c r="G2287" i="1"/>
  <c r="G2305" i="1"/>
  <c r="G2306" i="1"/>
  <c r="G2307" i="1"/>
  <c r="G2308" i="1"/>
  <c r="G2309" i="1"/>
  <c r="G2310" i="1"/>
  <c r="G2311" i="1"/>
  <c r="G2312" i="1"/>
  <c r="G2288" i="1"/>
  <c r="G2289" i="1"/>
  <c r="G2315" i="1"/>
  <c r="G2290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292" i="1"/>
  <c r="G2340" i="1"/>
  <c r="G2341" i="1"/>
  <c r="G2342" i="1"/>
  <c r="G2343" i="1"/>
  <c r="G2344" i="1"/>
  <c r="G2345" i="1"/>
  <c r="G2346" i="1"/>
  <c r="G2347" i="1"/>
  <c r="G2348" i="1"/>
  <c r="G2349" i="1"/>
  <c r="G2295" i="1"/>
  <c r="G2303" i="1"/>
  <c r="G2304" i="1"/>
  <c r="G2313" i="1"/>
  <c r="G2314" i="1"/>
  <c r="G2355" i="1"/>
  <c r="G2356" i="1"/>
  <c r="G2357" i="1"/>
  <c r="G2316" i="1"/>
  <c r="G2359" i="1"/>
  <c r="G2360" i="1"/>
  <c r="G2339" i="1"/>
  <c r="G2362" i="1"/>
  <c r="G2350" i="1"/>
  <c r="G2364" i="1"/>
  <c r="G2351" i="1"/>
  <c r="G2352" i="1"/>
  <c r="G2353" i="1"/>
  <c r="G2368" i="1"/>
  <c r="G2369" i="1"/>
  <c r="G2370" i="1"/>
  <c r="G2371" i="1"/>
  <c r="G2372" i="1"/>
  <c r="G2373" i="1"/>
  <c r="G2354" i="1"/>
  <c r="G2358" i="1"/>
  <c r="G2361" i="1"/>
  <c r="G2377" i="1"/>
  <c r="G2378" i="1"/>
  <c r="G2379" i="1"/>
  <c r="G2380" i="1"/>
  <c r="G2363" i="1"/>
  <c r="G2365" i="1"/>
  <c r="G2366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67" i="1"/>
  <c r="G2374" i="1"/>
  <c r="G2375" i="1"/>
  <c r="G2399" i="1"/>
  <c r="G2376" i="1"/>
  <c r="G2401" i="1"/>
  <c r="G2381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382" i="1"/>
  <c r="G2446" i="1"/>
  <c r="G2447" i="1"/>
  <c r="G2448" i="1"/>
  <c r="G2449" i="1"/>
  <c r="G2450" i="1"/>
  <c r="G2383" i="1"/>
  <c r="G2452" i="1"/>
  <c r="G2453" i="1"/>
  <c r="G2454" i="1"/>
  <c r="G2396" i="1"/>
  <c r="G2456" i="1"/>
  <c r="G239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3839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398" i="1"/>
  <c r="G2499" i="1"/>
  <c r="G2500" i="1"/>
  <c r="G2501" i="1"/>
  <c r="G2400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402" i="1"/>
  <c r="G2517" i="1"/>
  <c r="G2518" i="1"/>
  <c r="G2519" i="1"/>
  <c r="G2520" i="1"/>
  <c r="G2521" i="1"/>
  <c r="G2522" i="1"/>
  <c r="G2523" i="1"/>
  <c r="G2524" i="1"/>
  <c r="G2445" i="1"/>
  <c r="G2526" i="1"/>
  <c r="G2527" i="1"/>
  <c r="G2451" i="1"/>
  <c r="G2529" i="1"/>
  <c r="G2530" i="1"/>
  <c r="G2531" i="1"/>
  <c r="G2455" i="1"/>
  <c r="G2457" i="1"/>
  <c r="G2534" i="1"/>
  <c r="G2473" i="1"/>
  <c r="G2536" i="1"/>
  <c r="G2498" i="1"/>
  <c r="G2502" i="1"/>
  <c r="G2516" i="1"/>
  <c r="G2540" i="1"/>
  <c r="G2541" i="1"/>
  <c r="G2542" i="1"/>
  <c r="G2543" i="1"/>
  <c r="G2525" i="1"/>
  <c r="G2545" i="1"/>
  <c r="G2546" i="1"/>
  <c r="G2547" i="1"/>
  <c r="G2548" i="1"/>
  <c r="G2549" i="1"/>
  <c r="G2550" i="1"/>
  <c r="G2528" i="1"/>
  <c r="G2552" i="1"/>
  <c r="G2553" i="1"/>
  <c r="G2554" i="1"/>
  <c r="G2532" i="1"/>
  <c r="G2533" i="1"/>
  <c r="G2535" i="1"/>
  <c r="G2537" i="1"/>
  <c r="G2559" i="1"/>
  <c r="G2538" i="1"/>
  <c r="G2561" i="1"/>
  <c r="G2562" i="1"/>
  <c r="G2539" i="1"/>
  <c r="G2564" i="1"/>
  <c r="G2565" i="1"/>
  <c r="G2566" i="1"/>
  <c r="G2544" i="1"/>
  <c r="G2568" i="1"/>
  <c r="G2551" i="1"/>
  <c r="G2570" i="1"/>
  <c r="G2555" i="1"/>
  <c r="G2556" i="1"/>
  <c r="G2573" i="1"/>
  <c r="G2574" i="1"/>
  <c r="G2557" i="1"/>
  <c r="G2558" i="1"/>
  <c r="G2560" i="1"/>
  <c r="G2578" i="1"/>
  <c r="G2579" i="1"/>
  <c r="G2580" i="1"/>
  <c r="G2563" i="1"/>
  <c r="G2567" i="1"/>
  <c r="G2583" i="1"/>
  <c r="G2584" i="1"/>
  <c r="G2585" i="1"/>
  <c r="G2586" i="1"/>
  <c r="G2587" i="1"/>
  <c r="G2588" i="1"/>
  <c r="G2589" i="1"/>
  <c r="G2569" i="1"/>
  <c r="G2571" i="1"/>
  <c r="G2572" i="1"/>
  <c r="G2575" i="1"/>
  <c r="G2576" i="1"/>
  <c r="G2577" i="1"/>
  <c r="G2581" i="1"/>
  <c r="G2582" i="1"/>
  <c r="G2590" i="1"/>
  <c r="G2591" i="1"/>
  <c r="G3040" i="1"/>
  <c r="G2592" i="1"/>
  <c r="G2593" i="1"/>
  <c r="G2594" i="1"/>
  <c r="G2595" i="1"/>
  <c r="G2596" i="1"/>
  <c r="G2606" i="1"/>
  <c r="G2607" i="1"/>
  <c r="G2608" i="1"/>
  <c r="G2609" i="1"/>
  <c r="G2610" i="1"/>
  <c r="G2611" i="1"/>
  <c r="G2612" i="1"/>
  <c r="G2613" i="1"/>
  <c r="G2614" i="1"/>
  <c r="G2615" i="1"/>
  <c r="G2597" i="1"/>
  <c r="G2598" i="1"/>
  <c r="G2599" i="1"/>
  <c r="G2600" i="1"/>
  <c r="G2601" i="1"/>
  <c r="G2602" i="1"/>
  <c r="G2603" i="1"/>
  <c r="G2604" i="1"/>
  <c r="G2605" i="1"/>
  <c r="G2616" i="1"/>
  <c r="G2617" i="1"/>
  <c r="G2618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3" i="1"/>
  <c r="G2714" i="1"/>
  <c r="G2715" i="1"/>
  <c r="G2716" i="1"/>
  <c r="G2717" i="1"/>
  <c r="G2718" i="1"/>
  <c r="G2719" i="1"/>
  <c r="G2720" i="1"/>
  <c r="G2721" i="1"/>
  <c r="G2722" i="1"/>
  <c r="G2723" i="1"/>
  <c r="G2728" i="1"/>
  <c r="G2729" i="1"/>
  <c r="G2730" i="1"/>
  <c r="G2731" i="1"/>
  <c r="G2732" i="1"/>
  <c r="G2724" i="1"/>
  <c r="G2734" i="1"/>
  <c r="G2735" i="1"/>
  <c r="G2725" i="1"/>
  <c r="G2737" i="1"/>
  <c r="G2726" i="1"/>
  <c r="G2739" i="1"/>
  <c r="G2740" i="1"/>
  <c r="G2741" i="1"/>
  <c r="G2742" i="1"/>
  <c r="G2743" i="1"/>
  <c r="G2744" i="1"/>
  <c r="G2745" i="1"/>
  <c r="G2727" i="1"/>
  <c r="G2733" i="1"/>
  <c r="G2736" i="1"/>
  <c r="G2738" i="1"/>
  <c r="G2750" i="1"/>
  <c r="G2751" i="1"/>
  <c r="G2752" i="1"/>
  <c r="G2753" i="1"/>
  <c r="G2754" i="1"/>
  <c r="G2755" i="1"/>
  <c r="G2756" i="1"/>
  <c r="G2757" i="1"/>
  <c r="G2758" i="1"/>
  <c r="G2746" i="1"/>
  <c r="G2747" i="1"/>
  <c r="G2748" i="1"/>
  <c r="G2749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5" i="1"/>
  <c r="G2816" i="1"/>
  <c r="G2817" i="1"/>
  <c r="G2818" i="1"/>
  <c r="G2819" i="1"/>
  <c r="G2820" i="1"/>
  <c r="G2821" i="1"/>
  <c r="G2813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14" i="1"/>
  <c r="G2822" i="1"/>
  <c r="G2839" i="1"/>
  <c r="G2840" i="1"/>
  <c r="G2841" i="1"/>
  <c r="G2842" i="1"/>
  <c r="G2843" i="1"/>
  <c r="G2844" i="1"/>
  <c r="G2845" i="1"/>
  <c r="G2846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9" i="1"/>
  <c r="G2870" i="1"/>
  <c r="G2871" i="1"/>
  <c r="G2872" i="1"/>
  <c r="G2873" i="1"/>
  <c r="G2874" i="1"/>
  <c r="G2877" i="1"/>
  <c r="G2878" i="1"/>
  <c r="G2879" i="1"/>
  <c r="G2880" i="1"/>
  <c r="G2881" i="1"/>
  <c r="G2882" i="1"/>
  <c r="G2883" i="1"/>
  <c r="G2875" i="1"/>
  <c r="G2885" i="1"/>
  <c r="G2886" i="1"/>
  <c r="G2887" i="1"/>
  <c r="G2888" i="1"/>
  <c r="G2889" i="1"/>
  <c r="G2890" i="1"/>
  <c r="G3016" i="1"/>
  <c r="G2893" i="1"/>
  <c r="G2894" i="1"/>
  <c r="G2895" i="1"/>
  <c r="G2884" i="1"/>
  <c r="G2891" i="1"/>
  <c r="G2898" i="1"/>
  <c r="G2899" i="1"/>
  <c r="G2900" i="1"/>
  <c r="G2901" i="1"/>
  <c r="G2902" i="1"/>
  <c r="G2903" i="1"/>
  <c r="G2904" i="1"/>
  <c r="G2905" i="1"/>
  <c r="G2892" i="1"/>
  <c r="G2907" i="1"/>
  <c r="G2908" i="1"/>
  <c r="G3036" i="1"/>
  <c r="G2910" i="1"/>
  <c r="G2911" i="1"/>
  <c r="G2912" i="1"/>
  <c r="G2913" i="1"/>
  <c r="G2914" i="1"/>
  <c r="G2915" i="1"/>
  <c r="G2916" i="1"/>
  <c r="G2917" i="1"/>
  <c r="G2918" i="1"/>
  <c r="G2896" i="1"/>
  <c r="G2897" i="1"/>
  <c r="G2921" i="1"/>
  <c r="G2906" i="1"/>
  <c r="G2923" i="1"/>
  <c r="G2924" i="1"/>
  <c r="G2925" i="1"/>
  <c r="G2909" i="1"/>
  <c r="G2927" i="1"/>
  <c r="G2928" i="1"/>
  <c r="G2929" i="1"/>
  <c r="G2930" i="1"/>
  <c r="G2920" i="1"/>
  <c r="G2932" i="1"/>
  <c r="G2933" i="1"/>
  <c r="G2934" i="1"/>
  <c r="G2935" i="1"/>
  <c r="G2936" i="1"/>
  <c r="G2937" i="1"/>
  <c r="G2938" i="1"/>
  <c r="G3037" i="1"/>
  <c r="G2940" i="1"/>
  <c r="G2941" i="1"/>
  <c r="G2712" i="1"/>
  <c r="G2943" i="1"/>
  <c r="G2944" i="1"/>
  <c r="G2945" i="1"/>
  <c r="G2946" i="1"/>
  <c r="G2947" i="1"/>
  <c r="G2922" i="1"/>
  <c r="G2926" i="1"/>
  <c r="G2950" i="1"/>
  <c r="G2951" i="1"/>
  <c r="G2931" i="1"/>
  <c r="G2953" i="1"/>
  <c r="G2939" i="1"/>
  <c r="G2955" i="1"/>
  <c r="G2942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48" i="1"/>
  <c r="G2977" i="1"/>
  <c r="G2978" i="1"/>
  <c r="G2979" i="1"/>
  <c r="G2980" i="1"/>
  <c r="G2952" i="1"/>
  <c r="G2982" i="1"/>
  <c r="G2983" i="1"/>
  <c r="G2954" i="1"/>
  <c r="G2985" i="1"/>
  <c r="G2986" i="1"/>
  <c r="G2987" i="1"/>
  <c r="G2988" i="1"/>
  <c r="G2989" i="1"/>
  <c r="G2990" i="1"/>
  <c r="G2956" i="1"/>
  <c r="G2992" i="1"/>
  <c r="G2976" i="1"/>
  <c r="G2994" i="1"/>
  <c r="G2981" i="1"/>
  <c r="G2996" i="1"/>
  <c r="G2984" i="1"/>
  <c r="G2998" i="1"/>
  <c r="G2999" i="1"/>
  <c r="G3000" i="1"/>
  <c r="G3001" i="1"/>
  <c r="G2991" i="1"/>
  <c r="G2993" i="1"/>
  <c r="G2995" i="1"/>
  <c r="G2997" i="1"/>
  <c r="G3002" i="1"/>
  <c r="G3003" i="1"/>
  <c r="G3004" i="1"/>
  <c r="G3005" i="1"/>
  <c r="G3006" i="1"/>
  <c r="G3007" i="1"/>
  <c r="G3008" i="1"/>
  <c r="G3009" i="1"/>
  <c r="G3010" i="1"/>
  <c r="G3012" i="1"/>
  <c r="G3013" i="1"/>
  <c r="G3014" i="1"/>
  <c r="G3019" i="1"/>
  <c r="G3020" i="1"/>
  <c r="G3021" i="1"/>
  <c r="G3022" i="1"/>
  <c r="G3023" i="1"/>
  <c r="G3025" i="1"/>
  <c r="G3026" i="1"/>
  <c r="G3030" i="1"/>
  <c r="G3031" i="1"/>
  <c r="G3032" i="1"/>
  <c r="G3033" i="1"/>
  <c r="G3034" i="1"/>
  <c r="G3035" i="1"/>
  <c r="G3038" i="1"/>
  <c r="G3039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7" i="1"/>
  <c r="G3064" i="1"/>
  <c r="G3059" i="1"/>
  <c r="G3065" i="1"/>
  <c r="G3061" i="1"/>
  <c r="G3066" i="1"/>
  <c r="G3067" i="1"/>
  <c r="G3068" i="1"/>
  <c r="G3069" i="1"/>
  <c r="G3070" i="1"/>
  <c r="G3071" i="1"/>
  <c r="G3072" i="1"/>
  <c r="G3073" i="1"/>
  <c r="G3074" i="1"/>
  <c r="G3075" i="1"/>
  <c r="G3076" i="1"/>
  <c r="G3086" i="1"/>
  <c r="G3087" i="1"/>
  <c r="G3092" i="1"/>
  <c r="G3097" i="1"/>
  <c r="G3110" i="1"/>
  <c r="G3111" i="1"/>
  <c r="G3079" i="1"/>
  <c r="G3080" i="1"/>
  <c r="G3081" i="1"/>
  <c r="G3082" i="1"/>
  <c r="G3083" i="1"/>
  <c r="G3084" i="1"/>
  <c r="G3085" i="1"/>
  <c r="G3115" i="1"/>
  <c r="G3119" i="1"/>
  <c r="G3088" i="1"/>
  <c r="G3089" i="1"/>
  <c r="G3090" i="1"/>
  <c r="G3091" i="1"/>
  <c r="G3120" i="1"/>
  <c r="G3093" i="1"/>
  <c r="G3094" i="1"/>
  <c r="G3095" i="1"/>
  <c r="G3096" i="1"/>
  <c r="G3121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25" i="1"/>
  <c r="G3130" i="1"/>
  <c r="G3112" i="1"/>
  <c r="G3113" i="1"/>
  <c r="G3114" i="1"/>
  <c r="G3138" i="1"/>
  <c r="G3116" i="1"/>
  <c r="G3117" i="1"/>
  <c r="G3118" i="1"/>
  <c r="G3146" i="1"/>
  <c r="G3147" i="1"/>
  <c r="G3148" i="1"/>
  <c r="G3122" i="1"/>
  <c r="G3123" i="1"/>
  <c r="G3124" i="1"/>
  <c r="G3149" i="1"/>
  <c r="G3126" i="1"/>
  <c r="G3127" i="1"/>
  <c r="G3128" i="1"/>
  <c r="G3129" i="1"/>
  <c r="G3151" i="1"/>
  <c r="G3131" i="1"/>
  <c r="G3132" i="1"/>
  <c r="G3133" i="1"/>
  <c r="G3134" i="1"/>
  <c r="G3135" i="1"/>
  <c r="G3136" i="1"/>
  <c r="G3137" i="1"/>
  <c r="G3152" i="1"/>
  <c r="G3139" i="1"/>
  <c r="G3140" i="1"/>
  <c r="G3141" i="1"/>
  <c r="G3142" i="1"/>
  <c r="G3143" i="1"/>
  <c r="G3144" i="1"/>
  <c r="G3145" i="1"/>
  <c r="G3157" i="1"/>
  <c r="G3162" i="1"/>
  <c r="G3150" i="1"/>
  <c r="G3539" i="1"/>
  <c r="G3164" i="1"/>
  <c r="G3153" i="1"/>
  <c r="G2811" i="1"/>
  <c r="G3169" i="1"/>
  <c r="G3156" i="1"/>
  <c r="G3178" i="1"/>
  <c r="G3158" i="1"/>
  <c r="G3159" i="1"/>
  <c r="G3160" i="1"/>
  <c r="G3161" i="1"/>
  <c r="G3180" i="1"/>
  <c r="G3163" i="1"/>
  <c r="G3183" i="1"/>
  <c r="G3165" i="1"/>
  <c r="G3166" i="1"/>
  <c r="G3167" i="1"/>
  <c r="G3168" i="1"/>
  <c r="G3184" i="1"/>
  <c r="G3170" i="1"/>
  <c r="G3171" i="1"/>
  <c r="G3172" i="1"/>
  <c r="G3173" i="1"/>
  <c r="G3174" i="1"/>
  <c r="G3175" i="1"/>
  <c r="G3176" i="1"/>
  <c r="G3177" i="1"/>
  <c r="G3185" i="1"/>
  <c r="G3179" i="1"/>
  <c r="G3195" i="1"/>
  <c r="G3181" i="1"/>
  <c r="G3182" i="1"/>
  <c r="G3209" i="1"/>
  <c r="G3211" i="1"/>
  <c r="G3024" i="1"/>
  <c r="G3186" i="1"/>
  <c r="G3187" i="1"/>
  <c r="G3188" i="1"/>
  <c r="G3189" i="1"/>
  <c r="G3190" i="1"/>
  <c r="G3191" i="1"/>
  <c r="G3192" i="1"/>
  <c r="G3193" i="1"/>
  <c r="G3194" i="1"/>
  <c r="G3214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22" i="1"/>
  <c r="G3210" i="1"/>
  <c r="G3228" i="1"/>
  <c r="G3212" i="1"/>
  <c r="G3213" i="1"/>
  <c r="G3215" i="1"/>
  <c r="G3216" i="1"/>
  <c r="G3217" i="1"/>
  <c r="G3218" i="1"/>
  <c r="G3219" i="1"/>
  <c r="G3220" i="1"/>
  <c r="G3221" i="1"/>
  <c r="G3234" i="1"/>
  <c r="G3223" i="1"/>
  <c r="G3224" i="1"/>
  <c r="G3225" i="1"/>
  <c r="G3226" i="1"/>
  <c r="G3227" i="1"/>
  <c r="G3235" i="1"/>
  <c r="G3229" i="1"/>
  <c r="G3230" i="1"/>
  <c r="G3231" i="1"/>
  <c r="G3232" i="1"/>
  <c r="G3017" i="1"/>
  <c r="G3254" i="1"/>
  <c r="G3236" i="1"/>
  <c r="G3237" i="1"/>
  <c r="G3238" i="1"/>
  <c r="G3239" i="1"/>
  <c r="G3240" i="1"/>
  <c r="G3241" i="1"/>
  <c r="G3242" i="1"/>
  <c r="G3261" i="1"/>
  <c r="G3244" i="1"/>
  <c r="G3245" i="1"/>
  <c r="G3246" i="1"/>
  <c r="G3247" i="1"/>
  <c r="G3248" i="1"/>
  <c r="G3249" i="1"/>
  <c r="G3250" i="1"/>
  <c r="G3251" i="1"/>
  <c r="G3252" i="1"/>
  <c r="G3253" i="1"/>
  <c r="G3263" i="1"/>
  <c r="G3255" i="1"/>
  <c r="G3256" i="1"/>
  <c r="G3257" i="1"/>
  <c r="G3258" i="1"/>
  <c r="G3259" i="1"/>
  <c r="G3260" i="1"/>
  <c r="G3269" i="1"/>
  <c r="G3262" i="1"/>
  <c r="G3279" i="1"/>
  <c r="G3264" i="1"/>
  <c r="G3265" i="1"/>
  <c r="G3266" i="1"/>
  <c r="G3267" i="1"/>
  <c r="G3268" i="1"/>
  <c r="G3270" i="1"/>
  <c r="G3271" i="1"/>
  <c r="G3272" i="1"/>
  <c r="G3273" i="1"/>
  <c r="G3274" i="1"/>
  <c r="G3275" i="1"/>
  <c r="G3276" i="1"/>
  <c r="G3277" i="1"/>
  <c r="G3278" i="1"/>
  <c r="G3285" i="1"/>
  <c r="G3280" i="1"/>
  <c r="G3281" i="1"/>
  <c r="G3287" i="1"/>
  <c r="G3283" i="1"/>
  <c r="G3284" i="1"/>
  <c r="G3288" i="1"/>
  <c r="G3286" i="1"/>
  <c r="G3707" i="1"/>
  <c r="G3290" i="1"/>
  <c r="G3301" i="1"/>
  <c r="G3291" i="1"/>
  <c r="G3292" i="1"/>
  <c r="G3293" i="1"/>
  <c r="G3294" i="1"/>
  <c r="G3295" i="1"/>
  <c r="G3296" i="1"/>
  <c r="G3297" i="1"/>
  <c r="G3298" i="1"/>
  <c r="G3299" i="1"/>
  <c r="G3300" i="1"/>
  <c r="G3306" i="1"/>
  <c r="G3302" i="1"/>
  <c r="G3303" i="1"/>
  <c r="G3304" i="1"/>
  <c r="G3305" i="1"/>
  <c r="G3312" i="1"/>
  <c r="G3307" i="1"/>
  <c r="G3308" i="1"/>
  <c r="G3309" i="1"/>
  <c r="G3310" i="1"/>
  <c r="G3311" i="1"/>
  <c r="G3077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68" i="1"/>
  <c r="G3326" i="1"/>
  <c r="G3327" i="1"/>
  <c r="G3328" i="1"/>
  <c r="G3329" i="1"/>
  <c r="G3325" i="1"/>
  <c r="G3331" i="1"/>
  <c r="G3330" i="1"/>
  <c r="G3333" i="1"/>
  <c r="G3334" i="1"/>
  <c r="G3335" i="1"/>
  <c r="G3336" i="1"/>
  <c r="G3337" i="1"/>
  <c r="G3339" i="1"/>
  <c r="G3340" i="1"/>
  <c r="G3341" i="1"/>
  <c r="G3342" i="1"/>
  <c r="G3343" i="1"/>
  <c r="G3344" i="1"/>
  <c r="G3345" i="1"/>
  <c r="G3346" i="1"/>
  <c r="G3347" i="1"/>
  <c r="G3338" i="1"/>
  <c r="G3349" i="1"/>
  <c r="G3350" i="1"/>
  <c r="G3351" i="1"/>
  <c r="G3352" i="1"/>
  <c r="G3353" i="1"/>
  <c r="G3354" i="1"/>
  <c r="G3355" i="1"/>
  <c r="G3356" i="1"/>
  <c r="G3357" i="1"/>
  <c r="G3358" i="1"/>
  <c r="G3359" i="1"/>
  <c r="G3348" i="1"/>
  <c r="G3361" i="1"/>
  <c r="G3362" i="1"/>
  <c r="G3363" i="1"/>
  <c r="G3364" i="1"/>
  <c r="G3365" i="1"/>
  <c r="G3360" i="1"/>
  <c r="G3367" i="1"/>
  <c r="G3368" i="1"/>
  <c r="G3369" i="1"/>
  <c r="G3366" i="1"/>
  <c r="G3371" i="1"/>
  <c r="G3370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4" i="1"/>
  <c r="G3395" i="1"/>
  <c r="G3396" i="1"/>
  <c r="G3397" i="1"/>
  <c r="G3398" i="1"/>
  <c r="G3399" i="1"/>
  <c r="G3400" i="1"/>
  <c r="G3401" i="1"/>
  <c r="G3404" i="1"/>
  <c r="G1341" i="1"/>
  <c r="G3405" i="1"/>
  <c r="G3406" i="1"/>
  <c r="G3407" i="1"/>
  <c r="G3408" i="1"/>
  <c r="G3409" i="1"/>
  <c r="G3410" i="1"/>
  <c r="G3412" i="1"/>
  <c r="G3413" i="1"/>
  <c r="G3415" i="1"/>
  <c r="G3414" i="1"/>
  <c r="G3417" i="1"/>
  <c r="G3418" i="1"/>
  <c r="G3419" i="1"/>
  <c r="G3420" i="1"/>
  <c r="G3416" i="1"/>
  <c r="G3422" i="1"/>
  <c r="G3421" i="1"/>
  <c r="G3424" i="1"/>
  <c r="G3425" i="1"/>
  <c r="G3426" i="1"/>
  <c r="G3423" i="1"/>
  <c r="G3427" i="1"/>
  <c r="G3429" i="1"/>
  <c r="G3430" i="1"/>
  <c r="G3431" i="1"/>
  <c r="G3432" i="1"/>
  <c r="G3433" i="1"/>
  <c r="G3434" i="1"/>
  <c r="G3435" i="1"/>
  <c r="G3428" i="1"/>
  <c r="G3436" i="1"/>
  <c r="G3438" i="1"/>
  <c r="G3437" i="1"/>
  <c r="G3439" i="1"/>
  <c r="G3440" i="1"/>
  <c r="G3441" i="1"/>
  <c r="G3442" i="1"/>
  <c r="G3443" i="1"/>
  <c r="G3444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1" i="1"/>
  <c r="G3462" i="1"/>
  <c r="G3463" i="1"/>
  <c r="G3464" i="1"/>
  <c r="G3465" i="1"/>
  <c r="G3466" i="1"/>
  <c r="G3467" i="1"/>
  <c r="G3468" i="1"/>
  <c r="G3470" i="1"/>
  <c r="G3471" i="1"/>
  <c r="G3472" i="1"/>
  <c r="G3473" i="1"/>
  <c r="G3469" i="1"/>
  <c r="G3474" i="1"/>
  <c r="G3476" i="1"/>
  <c r="G3477" i="1"/>
  <c r="G3475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78" i="1"/>
  <c r="G3496" i="1"/>
  <c r="G3497" i="1"/>
  <c r="G3498" i="1"/>
  <c r="G3078" i="1"/>
  <c r="G3500" i="1"/>
  <c r="G3501" i="1"/>
  <c r="G3502" i="1"/>
  <c r="G3503" i="1"/>
  <c r="G3495" i="1"/>
  <c r="G3505" i="1"/>
  <c r="G3506" i="1"/>
  <c r="G3507" i="1"/>
  <c r="G3508" i="1"/>
  <c r="G3509" i="1"/>
  <c r="G3510" i="1"/>
  <c r="G3511" i="1"/>
  <c r="G76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499" i="1"/>
  <c r="G3532" i="1"/>
  <c r="G3533" i="1"/>
  <c r="G3534" i="1"/>
  <c r="G3535" i="1"/>
  <c r="G3504" i="1"/>
  <c r="G3512" i="1"/>
  <c r="G3531" i="1"/>
  <c r="G3536" i="1"/>
  <c r="G3537" i="1"/>
  <c r="G3538" i="1"/>
  <c r="G3540" i="1"/>
  <c r="G3543" i="1"/>
  <c r="G3541" i="1"/>
  <c r="G3542" i="1"/>
  <c r="G3544" i="1"/>
  <c r="G3545" i="1"/>
  <c r="G3548" i="1"/>
  <c r="G3549" i="1"/>
  <c r="G3546" i="1"/>
  <c r="G3551" i="1"/>
  <c r="G3552" i="1"/>
  <c r="G3547" i="1"/>
  <c r="G3550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54" i="1"/>
  <c r="G3588" i="1"/>
  <c r="G3589" i="1"/>
  <c r="G3590" i="1"/>
  <c r="G3591" i="1"/>
  <c r="G3592" i="1"/>
  <c r="G3586" i="1"/>
  <c r="G3587" i="1"/>
  <c r="G3595" i="1"/>
  <c r="G3596" i="1"/>
  <c r="G3597" i="1"/>
  <c r="G3598" i="1"/>
  <c r="G3599" i="1"/>
  <c r="G3600" i="1"/>
  <c r="G3601" i="1"/>
  <c r="G3602" i="1"/>
  <c r="G3593" i="1"/>
  <c r="G3604" i="1"/>
  <c r="G3605" i="1"/>
  <c r="G3606" i="1"/>
  <c r="G3607" i="1"/>
  <c r="G3594" i="1"/>
  <c r="G3609" i="1"/>
  <c r="G3610" i="1"/>
  <c r="G3611" i="1"/>
  <c r="G3603" i="1"/>
  <c r="G3613" i="1"/>
  <c r="G3614" i="1"/>
  <c r="G3615" i="1"/>
  <c r="G3616" i="1"/>
  <c r="G3617" i="1"/>
  <c r="G3618" i="1"/>
  <c r="G3619" i="1"/>
  <c r="G3621" i="1"/>
  <c r="G3622" i="1"/>
  <c r="G3623" i="1"/>
  <c r="G3624" i="1"/>
  <c r="G3625" i="1"/>
  <c r="G3626" i="1"/>
  <c r="G3612" i="1"/>
  <c r="G3628" i="1"/>
  <c r="G3620" i="1"/>
  <c r="G3630" i="1"/>
  <c r="G3631" i="1"/>
  <c r="G3632" i="1"/>
  <c r="G3633" i="1"/>
  <c r="G3634" i="1"/>
  <c r="G3635" i="1"/>
  <c r="G3636" i="1"/>
  <c r="G3627" i="1"/>
  <c r="G3638" i="1"/>
  <c r="G3639" i="1"/>
  <c r="G3640" i="1"/>
  <c r="G3629" i="1"/>
  <c r="G3642" i="1"/>
  <c r="G3643" i="1"/>
  <c r="G3644" i="1"/>
  <c r="G3645" i="1"/>
  <c r="G3646" i="1"/>
  <c r="G3637" i="1"/>
  <c r="G3648" i="1"/>
  <c r="G3649" i="1"/>
  <c r="G3650" i="1"/>
  <c r="G3641" i="1"/>
  <c r="G3652" i="1"/>
  <c r="G3653" i="1"/>
  <c r="G3654" i="1"/>
  <c r="G3651" i="1"/>
  <c r="G3656" i="1"/>
  <c r="G3655" i="1"/>
  <c r="G3657" i="1"/>
  <c r="G3658" i="1"/>
  <c r="G3659" i="1"/>
  <c r="G3660" i="1"/>
  <c r="G3661" i="1"/>
  <c r="G3662" i="1"/>
  <c r="G3663" i="1"/>
  <c r="G3665" i="1"/>
  <c r="G3664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7" i="1"/>
  <c r="G3696" i="1"/>
  <c r="G3698" i="1"/>
  <c r="G3699" i="1"/>
  <c r="G3700" i="1"/>
  <c r="G3701" i="1"/>
  <c r="G3702" i="1"/>
  <c r="G3703" i="1"/>
  <c r="G3704" i="1"/>
  <c r="G3705" i="1"/>
  <c r="G3706" i="1"/>
  <c r="G3708" i="1"/>
  <c r="G3018" i="1"/>
  <c r="G3711" i="1"/>
  <c r="G3712" i="1"/>
  <c r="G3713" i="1"/>
  <c r="G3714" i="1"/>
  <c r="G3715" i="1"/>
  <c r="G3716" i="1"/>
  <c r="G3717" i="1"/>
  <c r="G439" i="1"/>
  <c r="G3710" i="1"/>
  <c r="G3718" i="1"/>
  <c r="G3719" i="1"/>
  <c r="G3720" i="1"/>
  <c r="G3721" i="1"/>
  <c r="G3724" i="1"/>
  <c r="G3723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3" i="1"/>
  <c r="G3741" i="1"/>
  <c r="G3742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66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767" i="1"/>
  <c r="G3811" i="1"/>
  <c r="G3812" i="1"/>
  <c r="G3785" i="1"/>
  <c r="G3814" i="1"/>
  <c r="G3815" i="1"/>
  <c r="G3816" i="1"/>
  <c r="G3817" i="1"/>
  <c r="G3818" i="1"/>
  <c r="G3819" i="1"/>
  <c r="G3820" i="1"/>
  <c r="G3821" i="1"/>
  <c r="G3822" i="1"/>
  <c r="G3810" i="1"/>
  <c r="G3824" i="1"/>
  <c r="G3825" i="1"/>
  <c r="G3826" i="1"/>
  <c r="G3827" i="1"/>
  <c r="G3828" i="1"/>
  <c r="G3829" i="1"/>
  <c r="G3830" i="1"/>
  <c r="G3813" i="1"/>
  <c r="G3832" i="1"/>
  <c r="G3833" i="1"/>
  <c r="G3834" i="1"/>
  <c r="G3835" i="1"/>
  <c r="G3836" i="1"/>
  <c r="G3837" i="1"/>
  <c r="G3838" i="1"/>
  <c r="G3823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831" i="1"/>
  <c r="G3909" i="1"/>
  <c r="G3910" i="1"/>
  <c r="G3911" i="1"/>
  <c r="G391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619" i="1"/>
  <c r="E45" i="1"/>
  <c r="E44" i="1"/>
  <c r="E47" i="1"/>
  <c r="E48" i="1"/>
  <c r="E49" i="1"/>
  <c r="E50" i="1"/>
  <c r="E51" i="1"/>
  <c r="E46" i="1"/>
  <c r="E52" i="1"/>
  <c r="E54" i="1"/>
  <c r="E55" i="1"/>
  <c r="E53" i="1"/>
  <c r="E57" i="1"/>
  <c r="E58" i="1"/>
  <c r="E59" i="1"/>
  <c r="E60" i="1"/>
  <c r="E56" i="1"/>
  <c r="E62" i="1"/>
  <c r="E63" i="1"/>
  <c r="E64" i="1"/>
  <c r="E61" i="1"/>
  <c r="E66" i="1"/>
  <c r="E65" i="1"/>
  <c r="E67" i="1"/>
  <c r="E69" i="1"/>
  <c r="E70" i="1"/>
  <c r="E71" i="1"/>
  <c r="E72" i="1"/>
  <c r="E73" i="1"/>
  <c r="E74" i="1"/>
  <c r="E75" i="1"/>
  <c r="E80" i="1"/>
  <c r="E77" i="1"/>
  <c r="E78" i="1"/>
  <c r="E79" i="1"/>
  <c r="E96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105" i="1"/>
  <c r="E97" i="1"/>
  <c r="E98" i="1"/>
  <c r="E99" i="1"/>
  <c r="E100" i="1"/>
  <c r="E101" i="1"/>
  <c r="E102" i="1"/>
  <c r="E103" i="1"/>
  <c r="E104" i="1"/>
  <c r="E110" i="1"/>
  <c r="E106" i="1"/>
  <c r="E107" i="1"/>
  <c r="E108" i="1"/>
  <c r="E109" i="1"/>
  <c r="E111" i="1"/>
  <c r="E115" i="1"/>
  <c r="E112" i="1"/>
  <c r="E113" i="1"/>
  <c r="E114" i="1"/>
  <c r="E118" i="1"/>
  <c r="E116" i="1"/>
  <c r="E117" i="1"/>
  <c r="E121" i="1"/>
  <c r="E119" i="1"/>
  <c r="E120" i="1"/>
  <c r="E3908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2812" i="1"/>
  <c r="E168" i="1"/>
  <c r="E169" i="1"/>
  <c r="E170" i="1"/>
  <c r="E2676" i="1"/>
  <c r="E172" i="1"/>
  <c r="E173" i="1"/>
  <c r="E174" i="1"/>
  <c r="E175" i="1"/>
  <c r="E176" i="1"/>
  <c r="E177" i="1"/>
  <c r="E178" i="1"/>
  <c r="E179" i="1"/>
  <c r="E180" i="1"/>
  <c r="E167" i="1"/>
  <c r="E182" i="1"/>
  <c r="E183" i="1"/>
  <c r="E184" i="1"/>
  <c r="E185" i="1"/>
  <c r="E186" i="1"/>
  <c r="E187" i="1"/>
  <c r="E188" i="1"/>
  <c r="E189" i="1"/>
  <c r="E3015" i="1"/>
  <c r="E191" i="1"/>
  <c r="E192" i="1"/>
  <c r="E193" i="1"/>
  <c r="E194" i="1"/>
  <c r="E195" i="1"/>
  <c r="E196" i="1"/>
  <c r="E197" i="1"/>
  <c r="E171" i="1"/>
  <c r="E199" i="1"/>
  <c r="E200" i="1"/>
  <c r="E201" i="1"/>
  <c r="E202" i="1"/>
  <c r="E181" i="1"/>
  <c r="E204" i="1"/>
  <c r="E205" i="1"/>
  <c r="E206" i="1"/>
  <c r="E207" i="1"/>
  <c r="E208" i="1"/>
  <c r="E209" i="1"/>
  <c r="E210" i="1"/>
  <c r="E211" i="1"/>
  <c r="E212" i="1"/>
  <c r="E213" i="1"/>
  <c r="E190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75" i="1"/>
  <c r="E230" i="1"/>
  <c r="E198" i="1"/>
  <c r="E232" i="1"/>
  <c r="E233" i="1"/>
  <c r="E234" i="1"/>
  <c r="E235" i="1"/>
  <c r="E236" i="1"/>
  <c r="E237" i="1"/>
  <c r="E238" i="1"/>
  <c r="E239" i="1"/>
  <c r="E240" i="1"/>
  <c r="E203" i="1"/>
  <c r="E242" i="1"/>
  <c r="E214" i="1"/>
  <c r="E244" i="1"/>
  <c r="E245" i="1"/>
  <c r="E246" i="1"/>
  <c r="E229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31" i="1"/>
  <c r="E262" i="1"/>
  <c r="E263" i="1"/>
  <c r="E264" i="1"/>
  <c r="E265" i="1"/>
  <c r="E241" i="1"/>
  <c r="E267" i="1"/>
  <c r="E268" i="1"/>
  <c r="E269" i="1"/>
  <c r="E247" i="1"/>
  <c r="E271" i="1"/>
  <c r="E272" i="1"/>
  <c r="E273" i="1"/>
  <c r="E261" i="1"/>
  <c r="E266" i="1"/>
  <c r="E276" i="1"/>
  <c r="E277" i="1"/>
  <c r="E278" i="1"/>
  <c r="E270" i="1"/>
  <c r="E280" i="1"/>
  <c r="E281" i="1"/>
  <c r="E282" i="1"/>
  <c r="E283" i="1"/>
  <c r="E284" i="1"/>
  <c r="E274" i="1"/>
  <c r="E285" i="1"/>
  <c r="E286" i="1"/>
  <c r="E288" i="1"/>
  <c r="E289" i="1"/>
  <c r="E290" i="1"/>
  <c r="E287" i="1"/>
  <c r="E292" i="1"/>
  <c r="E293" i="1"/>
  <c r="E291" i="1"/>
  <c r="E294" i="1"/>
  <c r="E295" i="1"/>
  <c r="E296" i="1"/>
  <c r="E297" i="1"/>
  <c r="E298" i="1"/>
  <c r="E299" i="1"/>
  <c r="E301" i="1"/>
  <c r="E302" i="1"/>
  <c r="E2620" i="1"/>
  <c r="E304" i="1"/>
  <c r="E305" i="1"/>
  <c r="E300" i="1"/>
  <c r="E307" i="1"/>
  <c r="E308" i="1"/>
  <c r="E309" i="1"/>
  <c r="E303" i="1"/>
  <c r="E311" i="1"/>
  <c r="E312" i="1"/>
  <c r="E313" i="1"/>
  <c r="E314" i="1"/>
  <c r="E315" i="1"/>
  <c r="E316" i="1"/>
  <c r="E317" i="1"/>
  <c r="E306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10" i="1"/>
  <c r="E337" i="1"/>
  <c r="E318" i="1"/>
  <c r="E339" i="1"/>
  <c r="E336" i="1"/>
  <c r="E341" i="1"/>
  <c r="E338" i="1"/>
  <c r="E343" i="1"/>
  <c r="E340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445" i="1"/>
  <c r="E360" i="1"/>
  <c r="E361" i="1"/>
  <c r="E362" i="1"/>
  <c r="E363" i="1"/>
  <c r="E364" i="1"/>
  <c r="E365" i="1"/>
  <c r="E366" i="1"/>
  <c r="E342" i="1"/>
  <c r="E344" i="1"/>
  <c r="E359" i="1"/>
  <c r="E370" i="1"/>
  <c r="E371" i="1"/>
  <c r="E372" i="1"/>
  <c r="E367" i="1"/>
  <c r="E374" i="1"/>
  <c r="E375" i="1"/>
  <c r="E376" i="1"/>
  <c r="E377" i="1"/>
  <c r="E36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369" i="1"/>
  <c r="E421" i="1"/>
  <c r="E422" i="1"/>
  <c r="E373" i="1"/>
  <c r="E424" i="1"/>
  <c r="E425" i="1"/>
  <c r="E426" i="1"/>
  <c r="E427" i="1"/>
  <c r="E428" i="1"/>
  <c r="E378" i="1"/>
  <c r="E430" i="1"/>
  <c r="E431" i="1"/>
  <c r="E420" i="1"/>
  <c r="E433" i="1"/>
  <c r="E434" i="1"/>
  <c r="E423" i="1"/>
  <c r="E436" i="1"/>
  <c r="E437" i="1"/>
  <c r="E438" i="1"/>
  <c r="E429" i="1"/>
  <c r="E440" i="1"/>
  <c r="E432" i="1"/>
  <c r="E442" i="1"/>
  <c r="E443" i="1"/>
  <c r="E444" i="1"/>
  <c r="E435" i="1"/>
  <c r="E446" i="1"/>
  <c r="E447" i="1"/>
  <c r="E448" i="1"/>
  <c r="E449" i="1"/>
  <c r="E441" i="1"/>
  <c r="E451" i="1"/>
  <c r="E452" i="1"/>
  <c r="E450" i="1"/>
  <c r="E454" i="1"/>
  <c r="E455" i="1"/>
  <c r="E456" i="1"/>
  <c r="E457" i="1"/>
  <c r="E2919" i="1"/>
  <c r="E453" i="1"/>
  <c r="E460" i="1"/>
  <c r="E461" i="1"/>
  <c r="E462" i="1"/>
  <c r="E463" i="1"/>
  <c r="E464" i="1"/>
  <c r="E465" i="1"/>
  <c r="E458" i="1"/>
  <c r="E467" i="1"/>
  <c r="E468" i="1"/>
  <c r="E469" i="1"/>
  <c r="E470" i="1"/>
  <c r="E471" i="1"/>
  <c r="E459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66" i="1"/>
  <c r="E488" i="1"/>
  <c r="E489" i="1"/>
  <c r="E490" i="1"/>
  <c r="E491" i="1"/>
  <c r="E492" i="1"/>
  <c r="E493" i="1"/>
  <c r="E494" i="1"/>
  <c r="E495" i="1"/>
  <c r="E496" i="1"/>
  <c r="E472" i="1"/>
  <c r="E487" i="1"/>
  <c r="E499" i="1"/>
  <c r="E500" i="1"/>
  <c r="E501" i="1"/>
  <c r="E502" i="1"/>
  <c r="E503" i="1"/>
  <c r="E497" i="1"/>
  <c r="E505" i="1"/>
  <c r="E506" i="1"/>
  <c r="E507" i="1"/>
  <c r="E49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04" i="1"/>
  <c r="E508" i="1"/>
  <c r="E533" i="1"/>
  <c r="E534" i="1"/>
  <c r="E535" i="1"/>
  <c r="E536" i="1"/>
  <c r="E531" i="1"/>
  <c r="E538" i="1"/>
  <c r="E532" i="1"/>
  <c r="E540" i="1"/>
  <c r="E541" i="1"/>
  <c r="E542" i="1"/>
  <c r="E537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39" i="1"/>
  <c r="E543" i="1"/>
  <c r="E564" i="1"/>
  <c r="E565" i="1"/>
  <c r="E566" i="1"/>
  <c r="E567" i="1"/>
  <c r="E568" i="1"/>
  <c r="E569" i="1"/>
  <c r="E570" i="1"/>
  <c r="E562" i="1"/>
  <c r="E572" i="1"/>
  <c r="E563" i="1"/>
  <c r="E574" i="1"/>
  <c r="E575" i="1"/>
  <c r="E576" i="1"/>
  <c r="E571" i="1"/>
  <c r="E578" i="1"/>
  <c r="E579" i="1"/>
  <c r="E580" i="1"/>
  <c r="E581" i="1"/>
  <c r="E582" i="1"/>
  <c r="E583" i="1"/>
  <c r="E573" i="1"/>
  <c r="E577" i="1"/>
  <c r="E584" i="1"/>
  <c r="E587" i="1"/>
  <c r="E585" i="1"/>
  <c r="E586" i="1"/>
  <c r="E588" i="1"/>
  <c r="E589" i="1"/>
  <c r="E590" i="1"/>
  <c r="E591" i="1"/>
  <c r="E592" i="1"/>
  <c r="E595" i="1"/>
  <c r="E593" i="1"/>
  <c r="E594" i="1"/>
  <c r="E596" i="1"/>
  <c r="E597" i="1"/>
  <c r="E600" i="1"/>
  <c r="E601" i="1"/>
  <c r="E598" i="1"/>
  <c r="E603" i="1"/>
  <c r="E604" i="1"/>
  <c r="E599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243" i="1"/>
  <c r="E622" i="1"/>
  <c r="E623" i="1"/>
  <c r="E624" i="1"/>
  <c r="E625" i="1"/>
  <c r="E626" i="1"/>
  <c r="E627" i="1"/>
  <c r="E628" i="1"/>
  <c r="E279" i="1"/>
  <c r="E630" i="1"/>
  <c r="E602" i="1"/>
  <c r="E632" i="1"/>
  <c r="E633" i="1"/>
  <c r="E634" i="1"/>
  <c r="E635" i="1"/>
  <c r="E636" i="1"/>
  <c r="E637" i="1"/>
  <c r="E605" i="1"/>
  <c r="E639" i="1"/>
  <c r="E640" i="1"/>
  <c r="E62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29" i="1"/>
  <c r="E662" i="1"/>
  <c r="E663" i="1"/>
  <c r="E664" i="1"/>
  <c r="E665" i="1"/>
  <c r="E631" i="1"/>
  <c r="E667" i="1"/>
  <c r="E668" i="1"/>
  <c r="E638" i="1"/>
  <c r="E670" i="1"/>
  <c r="E671" i="1"/>
  <c r="E672" i="1"/>
  <c r="E673" i="1"/>
  <c r="E674" i="1"/>
  <c r="E641" i="1"/>
  <c r="E676" i="1"/>
  <c r="E677" i="1"/>
  <c r="E678" i="1"/>
  <c r="E679" i="1"/>
  <c r="E680" i="1"/>
  <c r="E661" i="1"/>
  <c r="E682" i="1"/>
  <c r="E666" i="1"/>
  <c r="E684" i="1"/>
  <c r="E669" i="1"/>
  <c r="E675" i="1"/>
  <c r="E687" i="1"/>
  <c r="E688" i="1"/>
  <c r="E689" i="1"/>
  <c r="E690" i="1"/>
  <c r="E691" i="1"/>
  <c r="E692" i="1"/>
  <c r="E693" i="1"/>
  <c r="E694" i="1"/>
  <c r="E681" i="1"/>
  <c r="E696" i="1"/>
  <c r="E697" i="1"/>
  <c r="E698" i="1"/>
  <c r="E683" i="1"/>
  <c r="E700" i="1"/>
  <c r="E701" i="1"/>
  <c r="E702" i="1"/>
  <c r="E703" i="1"/>
  <c r="E704" i="1"/>
  <c r="E705" i="1"/>
  <c r="E685" i="1"/>
  <c r="E686" i="1"/>
  <c r="E695" i="1"/>
  <c r="E709" i="1"/>
  <c r="E710" i="1"/>
  <c r="E711" i="1"/>
  <c r="E712" i="1"/>
  <c r="E713" i="1"/>
  <c r="E699" i="1"/>
  <c r="E715" i="1"/>
  <c r="E706" i="1"/>
  <c r="E717" i="1"/>
  <c r="E718" i="1"/>
  <c r="E719" i="1"/>
  <c r="E720" i="1"/>
  <c r="E707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08" i="1"/>
  <c r="E737" i="1"/>
  <c r="E738" i="1"/>
  <c r="E739" i="1"/>
  <c r="E740" i="1"/>
  <c r="E714" i="1"/>
  <c r="E742" i="1"/>
  <c r="E743" i="1"/>
  <c r="E744" i="1"/>
  <c r="E745" i="1"/>
  <c r="E746" i="1"/>
  <c r="E747" i="1"/>
  <c r="E748" i="1"/>
  <c r="E749" i="1"/>
  <c r="E750" i="1"/>
  <c r="E716" i="1"/>
  <c r="E752" i="1"/>
  <c r="E753" i="1"/>
  <c r="E754" i="1"/>
  <c r="E755" i="1"/>
  <c r="E756" i="1"/>
  <c r="E721" i="1"/>
  <c r="E758" i="1"/>
  <c r="E759" i="1"/>
  <c r="E760" i="1"/>
  <c r="E761" i="1"/>
  <c r="E762" i="1"/>
  <c r="E763" i="1"/>
  <c r="E764" i="1"/>
  <c r="E765" i="1"/>
  <c r="E766" i="1"/>
  <c r="E736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41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751" i="1"/>
  <c r="E807" i="1"/>
  <c r="E757" i="1"/>
  <c r="E809" i="1"/>
  <c r="E810" i="1"/>
  <c r="E767" i="1"/>
  <c r="E812" i="1"/>
  <c r="E790" i="1"/>
  <c r="E814" i="1"/>
  <c r="E806" i="1"/>
  <c r="E816" i="1"/>
  <c r="E808" i="1"/>
  <c r="E811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13" i="1"/>
  <c r="E832" i="1"/>
  <c r="E815" i="1"/>
  <c r="E817" i="1"/>
  <c r="E818" i="1"/>
  <c r="E836" i="1"/>
  <c r="E837" i="1"/>
  <c r="E838" i="1"/>
  <c r="E839" i="1"/>
  <c r="E840" i="1"/>
  <c r="E841" i="1"/>
  <c r="E842" i="1"/>
  <c r="E843" i="1"/>
  <c r="E844" i="1"/>
  <c r="E831" i="1"/>
  <c r="E846" i="1"/>
  <c r="E847" i="1"/>
  <c r="E848" i="1"/>
  <c r="E849" i="1"/>
  <c r="E850" i="1"/>
  <c r="E851" i="1"/>
  <c r="E833" i="1"/>
  <c r="E853" i="1"/>
  <c r="E854" i="1"/>
  <c r="E855" i="1"/>
  <c r="E856" i="1"/>
  <c r="E857" i="1"/>
  <c r="E858" i="1"/>
  <c r="E859" i="1"/>
  <c r="E860" i="1"/>
  <c r="E2949" i="1"/>
  <c r="E3403" i="1"/>
  <c r="E863" i="1"/>
  <c r="E834" i="1"/>
  <c r="E865" i="1"/>
  <c r="E866" i="1"/>
  <c r="E867" i="1"/>
  <c r="E835" i="1"/>
  <c r="E869" i="1"/>
  <c r="E870" i="1"/>
  <c r="E871" i="1"/>
  <c r="E872" i="1"/>
  <c r="E873" i="1"/>
  <c r="E845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52" i="1"/>
  <c r="E898" i="1"/>
  <c r="E861" i="1"/>
  <c r="E900" i="1"/>
  <c r="E901" i="1"/>
  <c r="E902" i="1"/>
  <c r="E903" i="1"/>
  <c r="E904" i="1"/>
  <c r="E905" i="1"/>
  <c r="E906" i="1"/>
  <c r="E907" i="1"/>
  <c r="E908" i="1"/>
  <c r="E909" i="1"/>
  <c r="E862" i="1"/>
  <c r="E911" i="1"/>
  <c r="E864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868" i="1"/>
  <c r="E943" i="1"/>
  <c r="E944" i="1"/>
  <c r="E874" i="1"/>
  <c r="E897" i="1"/>
  <c r="E899" i="1"/>
  <c r="E948" i="1"/>
  <c r="E949" i="1"/>
  <c r="E950" i="1"/>
  <c r="E951" i="1"/>
  <c r="E952" i="1"/>
  <c r="E953" i="1"/>
  <c r="E954" i="1"/>
  <c r="E910" i="1"/>
  <c r="E956" i="1"/>
  <c r="E912" i="1"/>
  <c r="E958" i="1"/>
  <c r="E942" i="1"/>
  <c r="E960" i="1"/>
  <c r="E945" i="1"/>
  <c r="E946" i="1"/>
  <c r="E963" i="1"/>
  <c r="E947" i="1"/>
  <c r="E955" i="1"/>
  <c r="E957" i="1"/>
  <c r="E959" i="1"/>
  <c r="E968" i="1"/>
  <c r="E969" i="1"/>
  <c r="E970" i="1"/>
  <c r="E971" i="1"/>
  <c r="E961" i="1"/>
  <c r="E973" i="1"/>
  <c r="E974" i="1"/>
  <c r="E975" i="1"/>
  <c r="E962" i="1"/>
  <c r="E977" i="1"/>
  <c r="E978" i="1"/>
  <c r="E979" i="1"/>
  <c r="E980" i="1"/>
  <c r="E981" i="1"/>
  <c r="E982" i="1"/>
  <c r="E983" i="1"/>
  <c r="E964" i="1"/>
  <c r="E985" i="1"/>
  <c r="E986" i="1"/>
  <c r="E987" i="1"/>
  <c r="E965" i="1"/>
  <c r="E989" i="1"/>
  <c r="E990" i="1"/>
  <c r="E991" i="1"/>
  <c r="E992" i="1"/>
  <c r="E966" i="1"/>
  <c r="E967" i="1"/>
  <c r="E972" i="1"/>
  <c r="E996" i="1"/>
  <c r="E997" i="1"/>
  <c r="E998" i="1"/>
  <c r="E999" i="1"/>
  <c r="E1000" i="1"/>
  <c r="E1001" i="1"/>
  <c r="E976" i="1"/>
  <c r="E1003" i="1"/>
  <c r="E1004" i="1"/>
  <c r="E1005" i="1"/>
  <c r="E1006" i="1"/>
  <c r="E984" i="1"/>
  <c r="E988" i="1"/>
  <c r="E1009" i="1"/>
  <c r="E1010" i="1"/>
  <c r="E1011" i="1"/>
  <c r="E1012" i="1"/>
  <c r="E1013" i="1"/>
  <c r="E1014" i="1"/>
  <c r="E1015" i="1"/>
  <c r="E1016" i="1"/>
  <c r="E1017" i="1"/>
  <c r="E1018" i="1"/>
  <c r="E1019" i="1"/>
  <c r="E993" i="1"/>
  <c r="E1021" i="1"/>
  <c r="E1022" i="1"/>
  <c r="E1023" i="1"/>
  <c r="E1024" i="1"/>
  <c r="E1025" i="1"/>
  <c r="E994" i="1"/>
  <c r="E1027" i="1"/>
  <c r="E1028" i="1"/>
  <c r="E1029" i="1"/>
  <c r="E1030" i="1"/>
  <c r="E1031" i="1"/>
  <c r="E1032" i="1"/>
  <c r="E1033" i="1"/>
  <c r="E1034" i="1"/>
  <c r="E1035" i="1"/>
  <c r="E995" i="1"/>
  <c r="E1037" i="1"/>
  <c r="E1038" i="1"/>
  <c r="E1039" i="1"/>
  <c r="E1040" i="1"/>
  <c r="E1041" i="1"/>
  <c r="E1042" i="1"/>
  <c r="E1002" i="1"/>
  <c r="E1044" i="1"/>
  <c r="E1007" i="1"/>
  <c r="E1046" i="1"/>
  <c r="E1047" i="1"/>
  <c r="E1048" i="1"/>
  <c r="E1049" i="1"/>
  <c r="E1050" i="1"/>
  <c r="E1051" i="1"/>
  <c r="E1052" i="1"/>
  <c r="E1008" i="1"/>
  <c r="E1020" i="1"/>
  <c r="E1055" i="1"/>
  <c r="E1056" i="1"/>
  <c r="E1057" i="1"/>
  <c r="E1058" i="1"/>
  <c r="E1059" i="1"/>
  <c r="E1060" i="1"/>
  <c r="E1061" i="1"/>
  <c r="E1026" i="1"/>
  <c r="E1063" i="1"/>
  <c r="E1064" i="1"/>
  <c r="E1036" i="1"/>
  <c r="E1066" i="1"/>
  <c r="E1067" i="1"/>
  <c r="E1068" i="1"/>
  <c r="E1069" i="1"/>
  <c r="E1043" i="1"/>
  <c r="E1045" i="1"/>
  <c r="E1053" i="1"/>
  <c r="E1054" i="1"/>
  <c r="E1074" i="1"/>
  <c r="E1075" i="1"/>
  <c r="E1076" i="1"/>
  <c r="E1062" i="1"/>
  <c r="E1078" i="1"/>
  <c r="E1079" i="1"/>
  <c r="E1080" i="1"/>
  <c r="E1081" i="1"/>
  <c r="E1082" i="1"/>
  <c r="E1083" i="1"/>
  <c r="E1065" i="1"/>
  <c r="E1085" i="1"/>
  <c r="E1086" i="1"/>
  <c r="E1087" i="1"/>
  <c r="E1070" i="1"/>
  <c r="E1089" i="1"/>
  <c r="E1090" i="1"/>
  <c r="E1091" i="1"/>
  <c r="E1092" i="1"/>
  <c r="E1093" i="1"/>
  <c r="E1094" i="1"/>
  <c r="E1071" i="1"/>
  <c r="E1096" i="1"/>
  <c r="E1097" i="1"/>
  <c r="E1098" i="1"/>
  <c r="E1072" i="1"/>
  <c r="E1100" i="1"/>
  <c r="E1101" i="1"/>
  <c r="E1102" i="1"/>
  <c r="E1103" i="1"/>
  <c r="E1104" i="1"/>
  <c r="E1105" i="1"/>
  <c r="E1073" i="1"/>
  <c r="E1107" i="1"/>
  <c r="E1108" i="1"/>
  <c r="E1077" i="1"/>
  <c r="E1110" i="1"/>
  <c r="E1111" i="1"/>
  <c r="E1112" i="1"/>
  <c r="E1084" i="1"/>
  <c r="E1114" i="1"/>
  <c r="E1115" i="1"/>
  <c r="E1116" i="1"/>
  <c r="E1117" i="1"/>
  <c r="E1118" i="1"/>
  <c r="E1119" i="1"/>
  <c r="E1120" i="1"/>
  <c r="E1088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095" i="1"/>
  <c r="E1175" i="1"/>
  <c r="E1176" i="1"/>
  <c r="E1177" i="1"/>
  <c r="E1099" i="1"/>
  <c r="E1179" i="1"/>
  <c r="E1180" i="1"/>
  <c r="E1181" i="1"/>
  <c r="E1182" i="1"/>
  <c r="E1183" i="1"/>
  <c r="E1106" i="1"/>
  <c r="E1185" i="1"/>
  <c r="E1186" i="1"/>
  <c r="E1187" i="1"/>
  <c r="E1188" i="1"/>
  <c r="E1189" i="1"/>
  <c r="E1109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113" i="1"/>
  <c r="E1218" i="1"/>
  <c r="E1219" i="1"/>
  <c r="E1220" i="1"/>
  <c r="E1121" i="1"/>
  <c r="E1222" i="1"/>
  <c r="E1223" i="1"/>
  <c r="E263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174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178" i="1"/>
  <c r="E1252" i="1"/>
  <c r="E1253" i="1"/>
  <c r="E1254" i="1"/>
  <c r="E1255" i="1"/>
  <c r="E1256" i="1"/>
  <c r="E1257" i="1"/>
  <c r="E1258" i="1"/>
  <c r="E1184" i="1"/>
  <c r="E1260" i="1"/>
  <c r="E1261" i="1"/>
  <c r="E1262" i="1"/>
  <c r="E1263" i="1"/>
  <c r="E1264" i="1"/>
  <c r="E1190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17" i="1"/>
  <c r="E1280" i="1"/>
  <c r="E1281" i="1"/>
  <c r="E1282" i="1"/>
  <c r="E1221" i="1"/>
  <c r="E1284" i="1"/>
  <c r="E1224" i="1"/>
  <c r="E1286" i="1"/>
  <c r="E1287" i="1"/>
  <c r="E1288" i="1"/>
  <c r="E1289" i="1"/>
  <c r="E1290" i="1"/>
  <c r="E1291" i="1"/>
  <c r="E1292" i="1"/>
  <c r="E1293" i="1"/>
  <c r="E1238" i="1"/>
  <c r="E1295" i="1"/>
  <c r="E1296" i="1"/>
  <c r="E1297" i="1"/>
  <c r="E1298" i="1"/>
  <c r="E1299" i="1"/>
  <c r="E1300" i="1"/>
  <c r="E125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259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265" i="1"/>
  <c r="E1342" i="1"/>
  <c r="E1343" i="1"/>
  <c r="E1344" i="1"/>
  <c r="E1345" i="1"/>
  <c r="E1346" i="1"/>
  <c r="E1279" i="1"/>
  <c r="E1283" i="1"/>
  <c r="E1349" i="1"/>
  <c r="E1350" i="1"/>
  <c r="E1351" i="1"/>
  <c r="E1352" i="1"/>
  <c r="E1285" i="1"/>
  <c r="E1354" i="1"/>
  <c r="E1355" i="1"/>
  <c r="E1356" i="1"/>
  <c r="E1357" i="1"/>
  <c r="E1358" i="1"/>
  <c r="E1359" i="1"/>
  <c r="E1360" i="1"/>
  <c r="E1361" i="1"/>
  <c r="E1294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01" i="1"/>
  <c r="E1376" i="1"/>
  <c r="E1377" i="1"/>
  <c r="E1378" i="1"/>
  <c r="E1379" i="1"/>
  <c r="E1318" i="1"/>
  <c r="E1381" i="1"/>
  <c r="E1382" i="1"/>
  <c r="E1383" i="1"/>
  <c r="E1384" i="1"/>
  <c r="E1385" i="1"/>
  <c r="E1386" i="1"/>
  <c r="E1387" i="1"/>
  <c r="E1388" i="1"/>
  <c r="E3647" i="1"/>
  <c r="E1390" i="1"/>
  <c r="E1391" i="1"/>
  <c r="E1392" i="1"/>
  <c r="E1393" i="1"/>
  <c r="E1394" i="1"/>
  <c r="E1395" i="1"/>
  <c r="E1396" i="1"/>
  <c r="E1347" i="1"/>
  <c r="E1348" i="1"/>
  <c r="E1399" i="1"/>
  <c r="E1400" i="1"/>
  <c r="E1401" i="1"/>
  <c r="E1402" i="1"/>
  <c r="E1403" i="1"/>
  <c r="E1404" i="1"/>
  <c r="E1405" i="1"/>
  <c r="E1406" i="1"/>
  <c r="E1353" i="1"/>
  <c r="E1362" i="1"/>
  <c r="E1409" i="1"/>
  <c r="E1410" i="1"/>
  <c r="E1411" i="1"/>
  <c r="E1412" i="1"/>
  <c r="E1413" i="1"/>
  <c r="E1375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380" i="1"/>
  <c r="E1433" i="1"/>
  <c r="E1434" i="1"/>
  <c r="E1435" i="1"/>
  <c r="E1389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397" i="1"/>
  <c r="E1461" i="1"/>
  <c r="E1462" i="1"/>
  <c r="E1463" i="1"/>
  <c r="E1464" i="1"/>
  <c r="E1465" i="1"/>
  <c r="E1398" i="1"/>
  <c r="E1467" i="1"/>
  <c r="E1468" i="1"/>
  <c r="E1469" i="1"/>
  <c r="E1470" i="1"/>
  <c r="E1471" i="1"/>
  <c r="E1472" i="1"/>
  <c r="E1473" i="1"/>
  <c r="E1474" i="1"/>
  <c r="E1475" i="1"/>
  <c r="E1476" i="1"/>
  <c r="E1477" i="1"/>
  <c r="E1407" i="1"/>
  <c r="E1479" i="1"/>
  <c r="E1480" i="1"/>
  <c r="E1481" i="1"/>
  <c r="E1482" i="1"/>
  <c r="E1483" i="1"/>
  <c r="E1408" i="1"/>
  <c r="E1485" i="1"/>
  <c r="E1486" i="1"/>
  <c r="E1487" i="1"/>
  <c r="E1488" i="1"/>
  <c r="E1414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432" i="1"/>
  <c r="E1436" i="1"/>
  <c r="E1508" i="1"/>
  <c r="E1509" i="1"/>
  <c r="E1510" i="1"/>
  <c r="E1511" i="1"/>
  <c r="E1460" i="1"/>
  <c r="E1513" i="1"/>
  <c r="E1514" i="1"/>
  <c r="E1466" i="1"/>
  <c r="E1516" i="1"/>
  <c r="E1517" i="1"/>
  <c r="E147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484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489" i="1"/>
  <c r="E1550" i="1"/>
  <c r="E1551" i="1"/>
  <c r="E1552" i="1"/>
  <c r="E1553" i="1"/>
  <c r="E1506" i="1"/>
  <c r="E1555" i="1"/>
  <c r="E1556" i="1"/>
  <c r="E1557" i="1"/>
  <c r="E1558" i="1"/>
  <c r="E1559" i="1"/>
  <c r="E1507" i="1"/>
  <c r="E1561" i="1"/>
  <c r="E1562" i="1"/>
  <c r="E1563" i="1"/>
  <c r="E1564" i="1"/>
  <c r="E1565" i="1"/>
  <c r="E1566" i="1"/>
  <c r="E1567" i="1"/>
  <c r="E1568" i="1"/>
  <c r="E1569" i="1"/>
  <c r="E1512" i="1"/>
  <c r="E1571" i="1"/>
  <c r="E1572" i="1"/>
  <c r="E1573" i="1"/>
  <c r="E1515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518" i="1"/>
  <c r="E1601" i="1"/>
  <c r="E1602" i="1"/>
  <c r="E1603" i="1"/>
  <c r="E1604" i="1"/>
  <c r="E1532" i="1"/>
  <c r="E1606" i="1"/>
  <c r="E1607" i="1"/>
  <c r="E1608" i="1"/>
  <c r="E1609" i="1"/>
  <c r="E1610" i="1"/>
  <c r="E1611" i="1"/>
  <c r="E1612" i="1"/>
  <c r="E1549" i="1"/>
  <c r="E1554" i="1"/>
  <c r="E1560" i="1"/>
  <c r="E1570" i="1"/>
  <c r="E1617" i="1"/>
  <c r="E1618" i="1"/>
  <c r="E1574" i="1"/>
  <c r="E1620" i="1"/>
  <c r="E1621" i="1"/>
  <c r="E1600" i="1"/>
  <c r="E1605" i="1"/>
  <c r="E1613" i="1"/>
  <c r="E1614" i="1"/>
  <c r="E1626" i="1"/>
  <c r="E1615" i="1"/>
  <c r="E1616" i="1"/>
  <c r="E1629" i="1"/>
  <c r="E1619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22" i="1"/>
  <c r="E1646" i="1"/>
  <c r="E1623" i="1"/>
  <c r="E1624" i="1"/>
  <c r="E1649" i="1"/>
  <c r="E1650" i="1"/>
  <c r="E1651" i="1"/>
  <c r="E1652" i="1"/>
  <c r="E1653" i="1"/>
  <c r="E1654" i="1"/>
  <c r="E1655" i="1"/>
  <c r="E1656" i="1"/>
  <c r="E1657" i="1"/>
  <c r="E1658" i="1"/>
  <c r="E1625" i="1"/>
  <c r="E1660" i="1"/>
  <c r="E1661" i="1"/>
  <c r="E1662" i="1"/>
  <c r="E1663" i="1"/>
  <c r="E1664" i="1"/>
  <c r="E1665" i="1"/>
  <c r="E1666" i="1"/>
  <c r="E1667" i="1"/>
  <c r="E1627" i="1"/>
  <c r="E1628" i="1"/>
  <c r="E1670" i="1"/>
  <c r="E1671" i="1"/>
  <c r="E1672" i="1"/>
  <c r="E1630" i="1"/>
  <c r="E1645" i="1"/>
  <c r="E1675" i="1"/>
  <c r="E1647" i="1"/>
  <c r="E1677" i="1"/>
  <c r="E1678" i="1"/>
  <c r="E1648" i="1"/>
  <c r="E1680" i="1"/>
  <c r="E1681" i="1"/>
  <c r="E1682" i="1"/>
  <c r="E1683" i="1"/>
  <c r="E1684" i="1"/>
  <c r="E1685" i="1"/>
  <c r="E1659" i="1"/>
  <c r="E1687" i="1"/>
  <c r="E1688" i="1"/>
  <c r="E1689" i="1"/>
  <c r="E1690" i="1"/>
  <c r="E1668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669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673" i="1"/>
  <c r="E1741" i="1"/>
  <c r="E1742" i="1"/>
  <c r="E1743" i="1"/>
  <c r="E1744" i="1"/>
  <c r="E1674" i="1"/>
  <c r="E1746" i="1"/>
  <c r="E1747" i="1"/>
  <c r="E1748" i="1"/>
  <c r="E1749" i="1"/>
  <c r="E1750" i="1"/>
  <c r="E1751" i="1"/>
  <c r="E1752" i="1"/>
  <c r="E1676" i="1"/>
  <c r="E1754" i="1"/>
  <c r="E1755" i="1"/>
  <c r="E1756" i="1"/>
  <c r="E1757" i="1"/>
  <c r="E1758" i="1"/>
  <c r="E1759" i="1"/>
  <c r="E1760" i="1"/>
  <c r="E1761" i="1"/>
  <c r="E1679" i="1"/>
  <c r="E1763" i="1"/>
  <c r="E1764" i="1"/>
  <c r="E1765" i="1"/>
  <c r="E1766" i="1"/>
  <c r="E1767" i="1"/>
  <c r="E1768" i="1"/>
  <c r="E1769" i="1"/>
  <c r="E1770" i="1"/>
  <c r="E1771" i="1"/>
  <c r="E1772" i="1"/>
  <c r="E1773" i="1"/>
  <c r="E1686" i="1"/>
  <c r="E1691" i="1"/>
  <c r="E1776" i="1"/>
  <c r="E1777" i="1"/>
  <c r="E1778" i="1"/>
  <c r="E1779" i="1"/>
  <c r="E1780" i="1"/>
  <c r="E1781" i="1"/>
  <c r="E1782" i="1"/>
  <c r="E1717" i="1"/>
  <c r="E1784" i="1"/>
  <c r="E1785" i="1"/>
  <c r="E1786" i="1"/>
  <c r="E1787" i="1"/>
  <c r="E1788" i="1"/>
  <c r="E1789" i="1"/>
  <c r="E1790" i="1"/>
  <c r="E1740" i="1"/>
  <c r="E1792" i="1"/>
  <c r="E1793" i="1"/>
  <c r="E1794" i="1"/>
  <c r="E1795" i="1"/>
  <c r="E1796" i="1"/>
  <c r="E1797" i="1"/>
  <c r="E1798" i="1"/>
  <c r="E1799" i="1"/>
  <c r="E1800" i="1"/>
  <c r="E1801" i="1"/>
  <c r="E1745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753" i="1"/>
  <c r="E1762" i="1"/>
  <c r="E1821" i="1"/>
  <c r="E1774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775" i="1"/>
  <c r="E1840" i="1"/>
  <c r="E1841" i="1"/>
  <c r="E1783" i="1"/>
  <c r="E1843" i="1"/>
  <c r="E1791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02" i="1"/>
  <c r="E1858" i="1"/>
  <c r="E1859" i="1"/>
  <c r="E1860" i="1"/>
  <c r="E1861" i="1"/>
  <c r="E1819" i="1"/>
  <c r="E1863" i="1"/>
  <c r="E1864" i="1"/>
  <c r="E1865" i="1"/>
  <c r="E1866" i="1"/>
  <c r="E1867" i="1"/>
  <c r="E1868" i="1"/>
  <c r="E1869" i="1"/>
  <c r="E1820" i="1"/>
  <c r="E1871" i="1"/>
  <c r="E1872" i="1"/>
  <c r="E1873" i="1"/>
  <c r="E1874" i="1"/>
  <c r="E1822" i="1"/>
  <c r="E1839" i="1"/>
  <c r="E1842" i="1"/>
  <c r="E1844" i="1"/>
  <c r="E1857" i="1"/>
  <c r="E1862" i="1"/>
  <c r="E1870" i="1"/>
  <c r="E1875" i="1"/>
  <c r="E1876" i="1"/>
  <c r="E1877" i="1"/>
  <c r="E1878" i="1"/>
  <c r="E1879" i="1"/>
  <c r="E1887" i="1"/>
  <c r="E1888" i="1"/>
  <c r="E1889" i="1"/>
  <c r="E1890" i="1"/>
  <c r="E1891" i="1"/>
  <c r="E1880" i="1"/>
  <c r="E1893" i="1"/>
  <c r="E1894" i="1"/>
  <c r="E1895" i="1"/>
  <c r="E1881" i="1"/>
  <c r="E1897" i="1"/>
  <c r="E1898" i="1"/>
  <c r="E1899" i="1"/>
  <c r="E1900" i="1"/>
  <c r="E1882" i="1"/>
  <c r="E1902" i="1"/>
  <c r="E1903" i="1"/>
  <c r="E1883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884" i="1"/>
  <c r="E1918" i="1"/>
  <c r="E1919" i="1"/>
  <c r="E1920" i="1"/>
  <c r="E1921" i="1"/>
  <c r="E1885" i="1"/>
  <c r="E1923" i="1"/>
  <c r="E1924" i="1"/>
  <c r="E1925" i="1"/>
  <c r="E1926" i="1"/>
  <c r="E1927" i="1"/>
  <c r="E1928" i="1"/>
  <c r="E1929" i="1"/>
  <c r="E1930" i="1"/>
  <c r="E1931" i="1"/>
  <c r="E1932" i="1"/>
  <c r="E1933" i="1"/>
  <c r="E1886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892" i="1"/>
  <c r="E1948" i="1"/>
  <c r="E1949" i="1"/>
  <c r="E1950" i="1"/>
  <c r="E1951" i="1"/>
  <c r="E1952" i="1"/>
  <c r="E1896" i="1"/>
  <c r="E1954" i="1"/>
  <c r="E1955" i="1"/>
  <c r="E1956" i="1"/>
  <c r="E1901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04" i="1"/>
  <c r="E1992" i="1"/>
  <c r="E1993" i="1"/>
  <c r="E1994" i="1"/>
  <c r="E1995" i="1"/>
  <c r="E1996" i="1"/>
  <c r="E1997" i="1"/>
  <c r="E1998" i="1"/>
  <c r="E1917" i="1"/>
  <c r="E2000" i="1"/>
  <c r="E2001" i="1"/>
  <c r="E2002" i="1"/>
  <c r="E2003" i="1"/>
  <c r="E1922" i="1"/>
  <c r="E2005" i="1"/>
  <c r="E2006" i="1"/>
  <c r="E2007" i="1"/>
  <c r="E2008" i="1"/>
  <c r="E1934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1947" i="1"/>
  <c r="E1953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1957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1991" i="1"/>
  <c r="E2053" i="1"/>
  <c r="E2054" i="1"/>
  <c r="E1999" i="1"/>
  <c r="E2056" i="1"/>
  <c r="E2057" i="1"/>
  <c r="E2058" i="1"/>
  <c r="E2059" i="1"/>
  <c r="E2060" i="1"/>
  <c r="E2061" i="1"/>
  <c r="E2062" i="1"/>
  <c r="E2063" i="1"/>
  <c r="E2004" i="1"/>
  <c r="E2065" i="1"/>
  <c r="E2066" i="1"/>
  <c r="E2067" i="1"/>
  <c r="E2068" i="1"/>
  <c r="E2069" i="1"/>
  <c r="E2070" i="1"/>
  <c r="E2071" i="1"/>
  <c r="E2072" i="1"/>
  <c r="E2009" i="1"/>
  <c r="E2074" i="1"/>
  <c r="E2024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25" i="1"/>
  <c r="E2097" i="1"/>
  <c r="E2098" i="1"/>
  <c r="E2099" i="1"/>
  <c r="E2100" i="1"/>
  <c r="E2101" i="1"/>
  <c r="E2039" i="1"/>
  <c r="E2103" i="1"/>
  <c r="E2104" i="1"/>
  <c r="E2105" i="1"/>
  <c r="E2106" i="1"/>
  <c r="E2107" i="1"/>
  <c r="E2108" i="1"/>
  <c r="E2109" i="1"/>
  <c r="E2110" i="1"/>
  <c r="E2052" i="1"/>
  <c r="E2055" i="1"/>
  <c r="E2113" i="1"/>
  <c r="E2064" i="1"/>
  <c r="E2073" i="1"/>
  <c r="E2075" i="1"/>
  <c r="E2096" i="1"/>
  <c r="E2102" i="1"/>
  <c r="E2111" i="1"/>
  <c r="E2112" i="1"/>
  <c r="E2114" i="1"/>
  <c r="E2115" i="1"/>
  <c r="E2116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17" i="1"/>
  <c r="E2170" i="1"/>
  <c r="E2171" i="1"/>
  <c r="E2172" i="1"/>
  <c r="E2173" i="1"/>
  <c r="E2174" i="1"/>
  <c r="E2175" i="1"/>
  <c r="E2176" i="1"/>
  <c r="E2118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119" i="1"/>
  <c r="E2202" i="1"/>
  <c r="E2203" i="1"/>
  <c r="E2204" i="1"/>
  <c r="E2205" i="1"/>
  <c r="E2206" i="1"/>
  <c r="E2207" i="1"/>
  <c r="E2208" i="1"/>
  <c r="E2209" i="1"/>
  <c r="E2210" i="1"/>
  <c r="E2120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121" i="1"/>
  <c r="E2239" i="1"/>
  <c r="E2240" i="1"/>
  <c r="E2122" i="1"/>
  <c r="E2242" i="1"/>
  <c r="E2243" i="1"/>
  <c r="E2244" i="1"/>
  <c r="E2245" i="1"/>
  <c r="E2246" i="1"/>
  <c r="E2247" i="1"/>
  <c r="E2248" i="1"/>
  <c r="E2249" i="1"/>
  <c r="E2250" i="1"/>
  <c r="E2251" i="1"/>
  <c r="E2123" i="1"/>
  <c r="E2253" i="1"/>
  <c r="E2254" i="1"/>
  <c r="E2255" i="1"/>
  <c r="E2256" i="1"/>
  <c r="E2257" i="1"/>
  <c r="E2258" i="1"/>
  <c r="E2259" i="1"/>
  <c r="E2260" i="1"/>
  <c r="E2169" i="1"/>
  <c r="E2262" i="1"/>
  <c r="E2263" i="1"/>
  <c r="E2264" i="1"/>
  <c r="E2265" i="1"/>
  <c r="E2266" i="1"/>
  <c r="E2267" i="1"/>
  <c r="E2177" i="1"/>
  <c r="E2269" i="1"/>
  <c r="E2270" i="1"/>
  <c r="E2271" i="1"/>
  <c r="E2272" i="1"/>
  <c r="E2273" i="1"/>
  <c r="E2274" i="1"/>
  <c r="E2275" i="1"/>
  <c r="E2201" i="1"/>
  <c r="E2211" i="1"/>
  <c r="E2278" i="1"/>
  <c r="E2279" i="1"/>
  <c r="E2280" i="1"/>
  <c r="E2238" i="1"/>
  <c r="E2241" i="1"/>
  <c r="E2283" i="1"/>
  <c r="E2252" i="1"/>
  <c r="E2285" i="1"/>
  <c r="E2286" i="1"/>
  <c r="E2261" i="1"/>
  <c r="E2268" i="1"/>
  <c r="E2276" i="1"/>
  <c r="E2277" i="1"/>
  <c r="E2291" i="1"/>
  <c r="E2281" i="1"/>
  <c r="E2293" i="1"/>
  <c r="E2294" i="1"/>
  <c r="E2282" i="1"/>
  <c r="E2296" i="1"/>
  <c r="E2297" i="1"/>
  <c r="E2298" i="1"/>
  <c r="E2299" i="1"/>
  <c r="E2300" i="1"/>
  <c r="E2301" i="1"/>
  <c r="E2302" i="1"/>
  <c r="E2284" i="1"/>
  <c r="E2287" i="1"/>
  <c r="E2305" i="1"/>
  <c r="E2306" i="1"/>
  <c r="E2307" i="1"/>
  <c r="E2308" i="1"/>
  <c r="E2309" i="1"/>
  <c r="E2310" i="1"/>
  <c r="E2311" i="1"/>
  <c r="E2312" i="1"/>
  <c r="E2288" i="1"/>
  <c r="E2289" i="1"/>
  <c r="E2315" i="1"/>
  <c r="E2290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292" i="1"/>
  <c r="E2340" i="1"/>
  <c r="E2341" i="1"/>
  <c r="E2342" i="1"/>
  <c r="E2343" i="1"/>
  <c r="E2344" i="1"/>
  <c r="E2345" i="1"/>
  <c r="E2346" i="1"/>
  <c r="E2347" i="1"/>
  <c r="E2348" i="1"/>
  <c r="E2349" i="1"/>
  <c r="E2295" i="1"/>
  <c r="E2303" i="1"/>
  <c r="E2304" i="1"/>
  <c r="E2313" i="1"/>
  <c r="E2314" i="1"/>
  <c r="E2355" i="1"/>
  <c r="E2356" i="1"/>
  <c r="E2357" i="1"/>
  <c r="E2316" i="1"/>
  <c r="E2359" i="1"/>
  <c r="E2360" i="1"/>
  <c r="E2339" i="1"/>
  <c r="E2362" i="1"/>
  <c r="E2350" i="1"/>
  <c r="E2364" i="1"/>
  <c r="E2351" i="1"/>
  <c r="E2352" i="1"/>
  <c r="E2353" i="1"/>
  <c r="E2368" i="1"/>
  <c r="E2369" i="1"/>
  <c r="E2370" i="1"/>
  <c r="E2371" i="1"/>
  <c r="E2372" i="1"/>
  <c r="E2373" i="1"/>
  <c r="E2354" i="1"/>
  <c r="E2358" i="1"/>
  <c r="E2361" i="1"/>
  <c r="E2377" i="1"/>
  <c r="E2378" i="1"/>
  <c r="E2379" i="1"/>
  <c r="E2380" i="1"/>
  <c r="E2363" i="1"/>
  <c r="E2365" i="1"/>
  <c r="E2366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67" i="1"/>
  <c r="E2374" i="1"/>
  <c r="E2375" i="1"/>
  <c r="E2399" i="1"/>
  <c r="E2376" i="1"/>
  <c r="E2401" i="1"/>
  <c r="E2381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382" i="1"/>
  <c r="E2446" i="1"/>
  <c r="E2447" i="1"/>
  <c r="E2448" i="1"/>
  <c r="E2449" i="1"/>
  <c r="E2450" i="1"/>
  <c r="E2383" i="1"/>
  <c r="E2452" i="1"/>
  <c r="E2453" i="1"/>
  <c r="E2454" i="1"/>
  <c r="E2396" i="1"/>
  <c r="E2456" i="1"/>
  <c r="E239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3839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398" i="1"/>
  <c r="E2499" i="1"/>
  <c r="E2500" i="1"/>
  <c r="E2501" i="1"/>
  <c r="E2400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402" i="1"/>
  <c r="E2517" i="1"/>
  <c r="E2518" i="1"/>
  <c r="E2519" i="1"/>
  <c r="E2520" i="1"/>
  <c r="E2521" i="1"/>
  <c r="E2522" i="1"/>
  <c r="E2523" i="1"/>
  <c r="E2524" i="1"/>
  <c r="E2445" i="1"/>
  <c r="E2526" i="1"/>
  <c r="E2527" i="1"/>
  <c r="E2451" i="1"/>
  <c r="E2529" i="1"/>
  <c r="E2530" i="1"/>
  <c r="E2531" i="1"/>
  <c r="E2455" i="1"/>
  <c r="E2457" i="1"/>
  <c r="E2534" i="1"/>
  <c r="E2473" i="1"/>
  <c r="E2536" i="1"/>
  <c r="E2498" i="1"/>
  <c r="E2502" i="1"/>
  <c r="E2516" i="1"/>
  <c r="E2540" i="1"/>
  <c r="E2541" i="1"/>
  <c r="E2542" i="1"/>
  <c r="E2543" i="1"/>
  <c r="E2525" i="1"/>
  <c r="E2545" i="1"/>
  <c r="E2546" i="1"/>
  <c r="E2547" i="1"/>
  <c r="E2548" i="1"/>
  <c r="E2549" i="1"/>
  <c r="E2550" i="1"/>
  <c r="E2528" i="1"/>
  <c r="E2552" i="1"/>
  <c r="E2553" i="1"/>
  <c r="E2554" i="1"/>
  <c r="E2532" i="1"/>
  <c r="E2533" i="1"/>
  <c r="E2535" i="1"/>
  <c r="E2537" i="1"/>
  <c r="E2559" i="1"/>
  <c r="E2538" i="1"/>
  <c r="E2561" i="1"/>
  <c r="E2562" i="1"/>
  <c r="E2539" i="1"/>
  <c r="E2564" i="1"/>
  <c r="E2565" i="1"/>
  <c r="E2566" i="1"/>
  <c r="E2544" i="1"/>
  <c r="E2568" i="1"/>
  <c r="E2551" i="1"/>
  <c r="E2570" i="1"/>
  <c r="E2555" i="1"/>
  <c r="E2556" i="1"/>
  <c r="E2573" i="1"/>
  <c r="E2574" i="1"/>
  <c r="E2557" i="1"/>
  <c r="E2558" i="1"/>
  <c r="E2560" i="1"/>
  <c r="E2578" i="1"/>
  <c r="E2579" i="1"/>
  <c r="E2580" i="1"/>
  <c r="E2563" i="1"/>
  <c r="E2567" i="1"/>
  <c r="E2583" i="1"/>
  <c r="E2584" i="1"/>
  <c r="E2585" i="1"/>
  <c r="E2586" i="1"/>
  <c r="E2587" i="1"/>
  <c r="E2588" i="1"/>
  <c r="E2589" i="1"/>
  <c r="E2569" i="1"/>
  <c r="E2571" i="1"/>
  <c r="E2572" i="1"/>
  <c r="E2575" i="1"/>
  <c r="E2576" i="1"/>
  <c r="E2577" i="1"/>
  <c r="E2581" i="1"/>
  <c r="E2582" i="1"/>
  <c r="E2590" i="1"/>
  <c r="E2591" i="1"/>
  <c r="E3040" i="1"/>
  <c r="E2592" i="1"/>
  <c r="E2593" i="1"/>
  <c r="E2594" i="1"/>
  <c r="E2595" i="1"/>
  <c r="E2596" i="1"/>
  <c r="E2606" i="1"/>
  <c r="E2607" i="1"/>
  <c r="E2608" i="1"/>
  <c r="E2609" i="1"/>
  <c r="E2610" i="1"/>
  <c r="E2611" i="1"/>
  <c r="E2612" i="1"/>
  <c r="E2613" i="1"/>
  <c r="E2614" i="1"/>
  <c r="E2615" i="1"/>
  <c r="E2597" i="1"/>
  <c r="E2598" i="1"/>
  <c r="E2599" i="1"/>
  <c r="E2600" i="1"/>
  <c r="E2601" i="1"/>
  <c r="E2602" i="1"/>
  <c r="E2603" i="1"/>
  <c r="E2604" i="1"/>
  <c r="E2605" i="1"/>
  <c r="E2616" i="1"/>
  <c r="E2617" i="1"/>
  <c r="E2618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3" i="1"/>
  <c r="E2714" i="1"/>
  <c r="E2715" i="1"/>
  <c r="E2716" i="1"/>
  <c r="E2717" i="1"/>
  <c r="E2718" i="1"/>
  <c r="E2719" i="1"/>
  <c r="E2720" i="1"/>
  <c r="E2721" i="1"/>
  <c r="E2722" i="1"/>
  <c r="E2723" i="1"/>
  <c r="E2728" i="1"/>
  <c r="E2729" i="1"/>
  <c r="E2730" i="1"/>
  <c r="E2731" i="1"/>
  <c r="E2732" i="1"/>
  <c r="E2724" i="1"/>
  <c r="E2734" i="1"/>
  <c r="E2735" i="1"/>
  <c r="E2725" i="1"/>
  <c r="E2737" i="1"/>
  <c r="E2726" i="1"/>
  <c r="E2739" i="1"/>
  <c r="E2740" i="1"/>
  <c r="E2741" i="1"/>
  <c r="E2742" i="1"/>
  <c r="E2743" i="1"/>
  <c r="E2744" i="1"/>
  <c r="E2745" i="1"/>
  <c r="E2727" i="1"/>
  <c r="E2733" i="1"/>
  <c r="E2736" i="1"/>
  <c r="E2738" i="1"/>
  <c r="E2750" i="1"/>
  <c r="E2751" i="1"/>
  <c r="E2752" i="1"/>
  <c r="E2753" i="1"/>
  <c r="E2754" i="1"/>
  <c r="E2755" i="1"/>
  <c r="E2756" i="1"/>
  <c r="E2757" i="1"/>
  <c r="E2758" i="1"/>
  <c r="E2746" i="1"/>
  <c r="E2747" i="1"/>
  <c r="E2748" i="1"/>
  <c r="E2749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5" i="1"/>
  <c r="E2816" i="1"/>
  <c r="E2817" i="1"/>
  <c r="E2818" i="1"/>
  <c r="E2819" i="1"/>
  <c r="E2820" i="1"/>
  <c r="E2821" i="1"/>
  <c r="E2813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14" i="1"/>
  <c r="E2822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7" i="1"/>
  <c r="E2878" i="1"/>
  <c r="E2879" i="1"/>
  <c r="E2880" i="1"/>
  <c r="E2881" i="1"/>
  <c r="E2882" i="1"/>
  <c r="E2883" i="1"/>
  <c r="E2875" i="1"/>
  <c r="E2885" i="1"/>
  <c r="E2886" i="1"/>
  <c r="E2887" i="1"/>
  <c r="E2888" i="1"/>
  <c r="E2889" i="1"/>
  <c r="E2890" i="1"/>
  <c r="E2876" i="1"/>
  <c r="E3016" i="1"/>
  <c r="E2893" i="1"/>
  <c r="E2894" i="1"/>
  <c r="E2895" i="1"/>
  <c r="E2884" i="1"/>
  <c r="E2891" i="1"/>
  <c r="E2898" i="1"/>
  <c r="E2899" i="1"/>
  <c r="E2900" i="1"/>
  <c r="E2901" i="1"/>
  <c r="E2902" i="1"/>
  <c r="E2903" i="1"/>
  <c r="E2904" i="1"/>
  <c r="E2905" i="1"/>
  <c r="E2892" i="1"/>
  <c r="E2907" i="1"/>
  <c r="E2908" i="1"/>
  <c r="E3036" i="1"/>
  <c r="E2910" i="1"/>
  <c r="E2911" i="1"/>
  <c r="E2912" i="1"/>
  <c r="E2913" i="1"/>
  <c r="E2914" i="1"/>
  <c r="E2915" i="1"/>
  <c r="E2916" i="1"/>
  <c r="E2917" i="1"/>
  <c r="E2918" i="1"/>
  <c r="E2896" i="1"/>
  <c r="E2897" i="1"/>
  <c r="E2921" i="1"/>
  <c r="E2906" i="1"/>
  <c r="E2923" i="1"/>
  <c r="E2924" i="1"/>
  <c r="E2925" i="1"/>
  <c r="E2909" i="1"/>
  <c r="E2927" i="1"/>
  <c r="E2928" i="1"/>
  <c r="E2929" i="1"/>
  <c r="E2930" i="1"/>
  <c r="E2920" i="1"/>
  <c r="E2932" i="1"/>
  <c r="E2933" i="1"/>
  <c r="E2934" i="1"/>
  <c r="E2935" i="1"/>
  <c r="E2936" i="1"/>
  <c r="E2937" i="1"/>
  <c r="E2938" i="1"/>
  <c r="E3037" i="1"/>
  <c r="E2940" i="1"/>
  <c r="E2941" i="1"/>
  <c r="E2712" i="1"/>
  <c r="E2943" i="1"/>
  <c r="E2944" i="1"/>
  <c r="E2945" i="1"/>
  <c r="E2946" i="1"/>
  <c r="E2947" i="1"/>
  <c r="E2922" i="1"/>
  <c r="E2926" i="1"/>
  <c r="E2950" i="1"/>
  <c r="E2951" i="1"/>
  <c r="E2931" i="1"/>
  <c r="E2953" i="1"/>
  <c r="E2939" i="1"/>
  <c r="E2955" i="1"/>
  <c r="E2942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48" i="1"/>
  <c r="E2977" i="1"/>
  <c r="E2978" i="1"/>
  <c r="E2979" i="1"/>
  <c r="E2980" i="1"/>
  <c r="E2952" i="1"/>
  <c r="E2982" i="1"/>
  <c r="E2983" i="1"/>
  <c r="E2954" i="1"/>
  <c r="E2985" i="1"/>
  <c r="E2986" i="1"/>
  <c r="E2987" i="1"/>
  <c r="E2988" i="1"/>
  <c r="E2989" i="1"/>
  <c r="E2990" i="1"/>
  <c r="E2956" i="1"/>
  <c r="E2992" i="1"/>
  <c r="E2976" i="1"/>
  <c r="E2994" i="1"/>
  <c r="E2981" i="1"/>
  <c r="E2996" i="1"/>
  <c r="E2984" i="1"/>
  <c r="E2998" i="1"/>
  <c r="E2999" i="1"/>
  <c r="E3000" i="1"/>
  <c r="E3001" i="1"/>
  <c r="E2991" i="1"/>
  <c r="E2993" i="1"/>
  <c r="E2995" i="1"/>
  <c r="E2997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9" i="1"/>
  <c r="E3020" i="1"/>
  <c r="E3021" i="1"/>
  <c r="E3022" i="1"/>
  <c r="E3023" i="1"/>
  <c r="E3025" i="1"/>
  <c r="E3026" i="1"/>
  <c r="E3027" i="1"/>
  <c r="E3028" i="1"/>
  <c r="E3029" i="1"/>
  <c r="E3030" i="1"/>
  <c r="E3031" i="1"/>
  <c r="E3032" i="1"/>
  <c r="E3033" i="1"/>
  <c r="E3034" i="1"/>
  <c r="E3035" i="1"/>
  <c r="E3038" i="1"/>
  <c r="E3039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8" i="1"/>
  <c r="E3060" i="1"/>
  <c r="E3062" i="1"/>
  <c r="E3063" i="1"/>
  <c r="E3057" i="1"/>
  <c r="E3064" i="1"/>
  <c r="E3059" i="1"/>
  <c r="E3065" i="1"/>
  <c r="E3061" i="1"/>
  <c r="E3066" i="1"/>
  <c r="E3067" i="1"/>
  <c r="E3068" i="1"/>
  <c r="E3069" i="1"/>
  <c r="E3070" i="1"/>
  <c r="E3071" i="1"/>
  <c r="E3072" i="1"/>
  <c r="E3073" i="1"/>
  <c r="E3074" i="1"/>
  <c r="E3075" i="1"/>
  <c r="E3076" i="1"/>
  <c r="E3086" i="1"/>
  <c r="E3087" i="1"/>
  <c r="E3092" i="1"/>
  <c r="E3097" i="1"/>
  <c r="E3110" i="1"/>
  <c r="E3111" i="1"/>
  <c r="E3079" i="1"/>
  <c r="E3080" i="1"/>
  <c r="E3081" i="1"/>
  <c r="E3082" i="1"/>
  <c r="E3083" i="1"/>
  <c r="E3084" i="1"/>
  <c r="E3085" i="1"/>
  <c r="E3115" i="1"/>
  <c r="E3119" i="1"/>
  <c r="E3088" i="1"/>
  <c r="E3089" i="1"/>
  <c r="E3090" i="1"/>
  <c r="E3091" i="1"/>
  <c r="E3120" i="1"/>
  <c r="E3093" i="1"/>
  <c r="E3094" i="1"/>
  <c r="E3095" i="1"/>
  <c r="E3096" i="1"/>
  <c r="E3121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25" i="1"/>
  <c r="E3130" i="1"/>
  <c r="E3112" i="1"/>
  <c r="E3113" i="1"/>
  <c r="E3114" i="1"/>
  <c r="E3138" i="1"/>
  <c r="E3116" i="1"/>
  <c r="E3117" i="1"/>
  <c r="E3118" i="1"/>
  <c r="E3146" i="1"/>
  <c r="E3147" i="1"/>
  <c r="E3148" i="1"/>
  <c r="E3122" i="1"/>
  <c r="E3123" i="1"/>
  <c r="E3124" i="1"/>
  <c r="E3149" i="1"/>
  <c r="E3126" i="1"/>
  <c r="E3127" i="1"/>
  <c r="E3128" i="1"/>
  <c r="E3129" i="1"/>
  <c r="E3151" i="1"/>
  <c r="E3131" i="1"/>
  <c r="E3132" i="1"/>
  <c r="E3133" i="1"/>
  <c r="E3134" i="1"/>
  <c r="E3135" i="1"/>
  <c r="E3136" i="1"/>
  <c r="E3137" i="1"/>
  <c r="E3152" i="1"/>
  <c r="E3139" i="1"/>
  <c r="E3140" i="1"/>
  <c r="E3141" i="1"/>
  <c r="E3142" i="1"/>
  <c r="E3143" i="1"/>
  <c r="E3144" i="1"/>
  <c r="E3145" i="1"/>
  <c r="E3154" i="1"/>
  <c r="E3155" i="1"/>
  <c r="E3157" i="1"/>
  <c r="E3162" i="1"/>
  <c r="E3150" i="1"/>
  <c r="E3539" i="1"/>
  <c r="E3164" i="1"/>
  <c r="E3153" i="1"/>
  <c r="E2811" i="1"/>
  <c r="E3169" i="1"/>
  <c r="E3156" i="1"/>
  <c r="E3178" i="1"/>
  <c r="E3158" i="1"/>
  <c r="E3159" i="1"/>
  <c r="E3160" i="1"/>
  <c r="E3161" i="1"/>
  <c r="E3180" i="1"/>
  <c r="E3163" i="1"/>
  <c r="E3183" i="1"/>
  <c r="E3165" i="1"/>
  <c r="E3166" i="1"/>
  <c r="E3167" i="1"/>
  <c r="E3168" i="1"/>
  <c r="E3184" i="1"/>
  <c r="E3170" i="1"/>
  <c r="E3171" i="1"/>
  <c r="E3172" i="1"/>
  <c r="E3173" i="1"/>
  <c r="E3174" i="1"/>
  <c r="E3175" i="1"/>
  <c r="E3176" i="1"/>
  <c r="E3177" i="1"/>
  <c r="E3185" i="1"/>
  <c r="E3179" i="1"/>
  <c r="E3195" i="1"/>
  <c r="E3181" i="1"/>
  <c r="E3182" i="1"/>
  <c r="E3209" i="1"/>
  <c r="E3211" i="1"/>
  <c r="E3024" i="1"/>
  <c r="E3186" i="1"/>
  <c r="E3187" i="1"/>
  <c r="E3188" i="1"/>
  <c r="E3189" i="1"/>
  <c r="E3190" i="1"/>
  <c r="E3191" i="1"/>
  <c r="E3192" i="1"/>
  <c r="E3193" i="1"/>
  <c r="E3194" i="1"/>
  <c r="E3214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22" i="1"/>
  <c r="E3210" i="1"/>
  <c r="E3228" i="1"/>
  <c r="E3212" i="1"/>
  <c r="E3213" i="1"/>
  <c r="E3233" i="1"/>
  <c r="E3215" i="1"/>
  <c r="E3216" i="1"/>
  <c r="E3217" i="1"/>
  <c r="E3218" i="1"/>
  <c r="E3219" i="1"/>
  <c r="E3220" i="1"/>
  <c r="E3221" i="1"/>
  <c r="E3234" i="1"/>
  <c r="E3223" i="1"/>
  <c r="E3224" i="1"/>
  <c r="E3225" i="1"/>
  <c r="E3226" i="1"/>
  <c r="E3227" i="1"/>
  <c r="E3235" i="1"/>
  <c r="E3229" i="1"/>
  <c r="E3230" i="1"/>
  <c r="E3231" i="1"/>
  <c r="E3232" i="1"/>
  <c r="E3243" i="1"/>
  <c r="E3017" i="1"/>
  <c r="E3254" i="1"/>
  <c r="E3236" i="1"/>
  <c r="E3237" i="1"/>
  <c r="E3238" i="1"/>
  <c r="E3239" i="1"/>
  <c r="E3240" i="1"/>
  <c r="E3241" i="1"/>
  <c r="E3242" i="1"/>
  <c r="E3261" i="1"/>
  <c r="E3244" i="1"/>
  <c r="E3245" i="1"/>
  <c r="E3246" i="1"/>
  <c r="E3247" i="1"/>
  <c r="E3248" i="1"/>
  <c r="E3249" i="1"/>
  <c r="E3250" i="1"/>
  <c r="E3251" i="1"/>
  <c r="E3252" i="1"/>
  <c r="E3253" i="1"/>
  <c r="E3263" i="1"/>
  <c r="E3255" i="1"/>
  <c r="E3256" i="1"/>
  <c r="E3257" i="1"/>
  <c r="E3258" i="1"/>
  <c r="E3259" i="1"/>
  <c r="E3260" i="1"/>
  <c r="E3269" i="1"/>
  <c r="E3262" i="1"/>
  <c r="E3279" i="1"/>
  <c r="E3264" i="1"/>
  <c r="E3265" i="1"/>
  <c r="E3266" i="1"/>
  <c r="E3267" i="1"/>
  <c r="E3268" i="1"/>
  <c r="E3282" i="1"/>
  <c r="E3270" i="1"/>
  <c r="E3271" i="1"/>
  <c r="E3272" i="1"/>
  <c r="E3273" i="1"/>
  <c r="E3274" i="1"/>
  <c r="E3275" i="1"/>
  <c r="E3276" i="1"/>
  <c r="E3277" i="1"/>
  <c r="E3278" i="1"/>
  <c r="E3285" i="1"/>
  <c r="E3280" i="1"/>
  <c r="E3281" i="1"/>
  <c r="E3287" i="1"/>
  <c r="E3283" i="1"/>
  <c r="E3284" i="1"/>
  <c r="E3288" i="1"/>
  <c r="E3286" i="1"/>
  <c r="E3289" i="1"/>
  <c r="E3707" i="1"/>
  <c r="E3290" i="1"/>
  <c r="E3301" i="1"/>
  <c r="E3291" i="1"/>
  <c r="E3292" i="1"/>
  <c r="E3293" i="1"/>
  <c r="E3294" i="1"/>
  <c r="E3295" i="1"/>
  <c r="E3296" i="1"/>
  <c r="E3297" i="1"/>
  <c r="E3298" i="1"/>
  <c r="E3299" i="1"/>
  <c r="E3300" i="1"/>
  <c r="E3306" i="1"/>
  <c r="E3302" i="1"/>
  <c r="E3303" i="1"/>
  <c r="E3304" i="1"/>
  <c r="E3305" i="1"/>
  <c r="E3312" i="1"/>
  <c r="E3307" i="1"/>
  <c r="E3308" i="1"/>
  <c r="E3309" i="1"/>
  <c r="E3310" i="1"/>
  <c r="E3311" i="1"/>
  <c r="E3077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68" i="1"/>
  <c r="E3326" i="1"/>
  <c r="E3327" i="1"/>
  <c r="E3328" i="1"/>
  <c r="E3329" i="1"/>
  <c r="E3325" i="1"/>
  <c r="E3331" i="1"/>
  <c r="E3330" i="1"/>
  <c r="E3333" i="1"/>
  <c r="E3334" i="1"/>
  <c r="E3335" i="1"/>
  <c r="E3336" i="1"/>
  <c r="E3337" i="1"/>
  <c r="E3332" i="1"/>
  <c r="E3339" i="1"/>
  <c r="E3340" i="1"/>
  <c r="E3341" i="1"/>
  <c r="E3342" i="1"/>
  <c r="E3343" i="1"/>
  <c r="E3344" i="1"/>
  <c r="E3345" i="1"/>
  <c r="E3346" i="1"/>
  <c r="E3347" i="1"/>
  <c r="E3338" i="1"/>
  <c r="E3349" i="1"/>
  <c r="E3350" i="1"/>
  <c r="E3351" i="1"/>
  <c r="E3352" i="1"/>
  <c r="E3353" i="1"/>
  <c r="E3354" i="1"/>
  <c r="E3355" i="1"/>
  <c r="E3356" i="1"/>
  <c r="E3357" i="1"/>
  <c r="E3358" i="1"/>
  <c r="E3359" i="1"/>
  <c r="E3348" i="1"/>
  <c r="E3361" i="1"/>
  <c r="E3362" i="1"/>
  <c r="E3363" i="1"/>
  <c r="E3364" i="1"/>
  <c r="E3365" i="1"/>
  <c r="E3360" i="1"/>
  <c r="E3367" i="1"/>
  <c r="E3368" i="1"/>
  <c r="E3369" i="1"/>
  <c r="E3366" i="1"/>
  <c r="E3371" i="1"/>
  <c r="E3370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72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4" i="1"/>
  <c r="E1341" i="1"/>
  <c r="E3405" i="1"/>
  <c r="E3406" i="1"/>
  <c r="E3407" i="1"/>
  <c r="E3408" i="1"/>
  <c r="E3409" i="1"/>
  <c r="E3410" i="1"/>
  <c r="E3411" i="1"/>
  <c r="E3412" i="1"/>
  <c r="E3413" i="1"/>
  <c r="E3415" i="1"/>
  <c r="E3414" i="1"/>
  <c r="E3417" i="1"/>
  <c r="E3418" i="1"/>
  <c r="E3419" i="1"/>
  <c r="E3420" i="1"/>
  <c r="E3416" i="1"/>
  <c r="E3422" i="1"/>
  <c r="E3421" i="1"/>
  <c r="E3424" i="1"/>
  <c r="E3425" i="1"/>
  <c r="E3426" i="1"/>
  <c r="E3423" i="1"/>
  <c r="E3427" i="1"/>
  <c r="E3429" i="1"/>
  <c r="E3430" i="1"/>
  <c r="E3431" i="1"/>
  <c r="E3432" i="1"/>
  <c r="E3433" i="1"/>
  <c r="E3434" i="1"/>
  <c r="E3435" i="1"/>
  <c r="E3428" i="1"/>
  <c r="E3436" i="1"/>
  <c r="E3438" i="1"/>
  <c r="E3437" i="1"/>
  <c r="E3439" i="1"/>
  <c r="E3440" i="1"/>
  <c r="E3441" i="1"/>
  <c r="E3442" i="1"/>
  <c r="E3443" i="1"/>
  <c r="E3444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45" i="1"/>
  <c r="E3461" i="1"/>
  <c r="E3462" i="1"/>
  <c r="E3463" i="1"/>
  <c r="E3464" i="1"/>
  <c r="E3465" i="1"/>
  <c r="E3466" i="1"/>
  <c r="E3467" i="1"/>
  <c r="E3468" i="1"/>
  <c r="E3460" i="1"/>
  <c r="E3470" i="1"/>
  <c r="E3471" i="1"/>
  <c r="E3472" i="1"/>
  <c r="E3473" i="1"/>
  <c r="E3469" i="1"/>
  <c r="E3474" i="1"/>
  <c r="E3475" i="1"/>
  <c r="E3487" i="1"/>
  <c r="E3490" i="1"/>
  <c r="E3491" i="1"/>
  <c r="E3492" i="1"/>
  <c r="E3493" i="1"/>
  <c r="E3494" i="1"/>
  <c r="E3478" i="1"/>
  <c r="E3496" i="1"/>
  <c r="E3497" i="1"/>
  <c r="E3498" i="1"/>
  <c r="E3078" i="1"/>
  <c r="E3500" i="1"/>
  <c r="E3501" i="1"/>
  <c r="E3502" i="1"/>
  <c r="E3503" i="1"/>
  <c r="E3495" i="1"/>
  <c r="E3505" i="1"/>
  <c r="E3506" i="1"/>
  <c r="E3507" i="1"/>
  <c r="E3508" i="1"/>
  <c r="E3509" i="1"/>
  <c r="E3510" i="1"/>
  <c r="E3511" i="1"/>
  <c r="E76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499" i="1"/>
  <c r="E3532" i="1"/>
  <c r="E3533" i="1"/>
  <c r="E3534" i="1"/>
  <c r="E3535" i="1"/>
  <c r="E3504" i="1"/>
  <c r="E3512" i="1"/>
  <c r="E3531" i="1"/>
  <c r="E3536" i="1"/>
  <c r="E3537" i="1"/>
  <c r="E3538" i="1"/>
  <c r="E3540" i="1"/>
  <c r="E3543" i="1"/>
  <c r="E3541" i="1"/>
  <c r="E3542" i="1"/>
  <c r="E3544" i="1"/>
  <c r="E3545" i="1"/>
  <c r="E3548" i="1"/>
  <c r="E3549" i="1"/>
  <c r="E3546" i="1"/>
  <c r="E3551" i="1"/>
  <c r="E3552" i="1"/>
  <c r="E3547" i="1"/>
  <c r="E3550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53" i="1"/>
  <c r="E3554" i="1"/>
  <c r="E3588" i="1"/>
  <c r="E3589" i="1"/>
  <c r="E3590" i="1"/>
  <c r="E3591" i="1"/>
  <c r="E3592" i="1"/>
  <c r="E3586" i="1"/>
  <c r="E3587" i="1"/>
  <c r="E3595" i="1"/>
  <c r="E3596" i="1"/>
  <c r="E3597" i="1"/>
  <c r="E3598" i="1"/>
  <c r="E3599" i="1"/>
  <c r="E3600" i="1"/>
  <c r="E3601" i="1"/>
  <c r="E3602" i="1"/>
  <c r="E3593" i="1"/>
  <c r="E3604" i="1"/>
  <c r="E3605" i="1"/>
  <c r="E3606" i="1"/>
  <c r="E3607" i="1"/>
  <c r="E3594" i="1"/>
  <c r="E3609" i="1"/>
  <c r="E3610" i="1"/>
  <c r="E3611" i="1"/>
  <c r="E3603" i="1"/>
  <c r="E3613" i="1"/>
  <c r="E3614" i="1"/>
  <c r="E3615" i="1"/>
  <c r="E3616" i="1"/>
  <c r="E3617" i="1"/>
  <c r="E3618" i="1"/>
  <c r="E3619" i="1"/>
  <c r="E3608" i="1"/>
  <c r="E3621" i="1"/>
  <c r="E3622" i="1"/>
  <c r="E3623" i="1"/>
  <c r="E3624" i="1"/>
  <c r="E3625" i="1"/>
  <c r="E3626" i="1"/>
  <c r="E3612" i="1"/>
  <c r="E3628" i="1"/>
  <c r="E3620" i="1"/>
  <c r="E3630" i="1"/>
  <c r="E3631" i="1"/>
  <c r="E3632" i="1"/>
  <c r="E3633" i="1"/>
  <c r="E3634" i="1"/>
  <c r="E3635" i="1"/>
  <c r="E3636" i="1"/>
  <c r="E3627" i="1"/>
  <c r="E3638" i="1"/>
  <c r="E3639" i="1"/>
  <c r="E3640" i="1"/>
  <c r="E3629" i="1"/>
  <c r="E3642" i="1"/>
  <c r="E3643" i="1"/>
  <c r="E3644" i="1"/>
  <c r="E3645" i="1"/>
  <c r="E3646" i="1"/>
  <c r="E3637" i="1"/>
  <c r="E3648" i="1"/>
  <c r="E3649" i="1"/>
  <c r="E3650" i="1"/>
  <c r="E3641" i="1"/>
  <c r="E3652" i="1"/>
  <c r="E3653" i="1"/>
  <c r="E3654" i="1"/>
  <c r="E3651" i="1"/>
  <c r="E3656" i="1"/>
  <c r="E3655" i="1"/>
  <c r="E3657" i="1"/>
  <c r="E3658" i="1"/>
  <c r="E3659" i="1"/>
  <c r="E3660" i="1"/>
  <c r="E3661" i="1"/>
  <c r="E3662" i="1"/>
  <c r="E3663" i="1"/>
  <c r="E3665" i="1"/>
  <c r="E3664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7" i="1"/>
  <c r="E3696" i="1"/>
  <c r="E3698" i="1"/>
  <c r="E3699" i="1"/>
  <c r="E3700" i="1"/>
  <c r="E3701" i="1"/>
  <c r="E3702" i="1"/>
  <c r="E3703" i="1"/>
  <c r="E3704" i="1"/>
  <c r="E3705" i="1"/>
  <c r="E3706" i="1"/>
  <c r="E3708" i="1"/>
  <c r="E3709" i="1"/>
  <c r="E3018" i="1"/>
  <c r="E3711" i="1"/>
  <c r="E3712" i="1"/>
  <c r="E3713" i="1"/>
  <c r="E3714" i="1"/>
  <c r="E3715" i="1"/>
  <c r="E3716" i="1"/>
  <c r="E3717" i="1"/>
  <c r="E439" i="1"/>
  <c r="E3710" i="1"/>
  <c r="E3718" i="1"/>
  <c r="E3719" i="1"/>
  <c r="E3720" i="1"/>
  <c r="E3721" i="1"/>
  <c r="E3724" i="1"/>
  <c r="E3722" i="1"/>
  <c r="E3723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3" i="1"/>
  <c r="E3741" i="1"/>
  <c r="E3742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66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767" i="1"/>
  <c r="E3811" i="1"/>
  <c r="E3812" i="1"/>
  <c r="E3785" i="1"/>
  <c r="E3814" i="1"/>
  <c r="E3815" i="1"/>
  <c r="E3816" i="1"/>
  <c r="E3817" i="1"/>
  <c r="E3818" i="1"/>
  <c r="E3819" i="1"/>
  <c r="E3820" i="1"/>
  <c r="E3821" i="1"/>
  <c r="E3822" i="1"/>
  <c r="E3810" i="1"/>
  <c r="E3824" i="1"/>
  <c r="E3825" i="1"/>
  <c r="E3826" i="1"/>
  <c r="E3827" i="1"/>
  <c r="E3828" i="1"/>
  <c r="E3829" i="1"/>
  <c r="E3830" i="1"/>
  <c r="E3813" i="1"/>
  <c r="E3832" i="1"/>
  <c r="E3833" i="1"/>
  <c r="E3834" i="1"/>
  <c r="E3835" i="1"/>
  <c r="E3836" i="1"/>
  <c r="E3837" i="1"/>
  <c r="E3838" i="1"/>
  <c r="E3823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831" i="1"/>
  <c r="E3909" i="1"/>
  <c r="E3910" i="1"/>
  <c r="E3911" i="1"/>
  <c r="E391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2619" i="1"/>
  <c r="D45" i="1"/>
  <c r="D44" i="1"/>
  <c r="D47" i="1"/>
  <c r="D48" i="1"/>
  <c r="D49" i="1"/>
  <c r="D50" i="1"/>
  <c r="D51" i="1"/>
  <c r="D46" i="1"/>
  <c r="D52" i="1"/>
  <c r="D54" i="1"/>
  <c r="D55" i="1"/>
  <c r="D53" i="1"/>
  <c r="D57" i="1"/>
  <c r="D58" i="1"/>
  <c r="D59" i="1"/>
  <c r="D60" i="1"/>
  <c r="D56" i="1"/>
  <c r="D62" i="1"/>
  <c r="D63" i="1"/>
  <c r="D64" i="1"/>
  <c r="D61" i="1"/>
  <c r="D66" i="1"/>
  <c r="D65" i="1"/>
  <c r="D67" i="1"/>
  <c r="D69" i="1"/>
  <c r="D70" i="1"/>
  <c r="D71" i="1"/>
  <c r="D72" i="1"/>
  <c r="D73" i="1"/>
  <c r="D74" i="1"/>
  <c r="D75" i="1"/>
  <c r="D80" i="1"/>
  <c r="D77" i="1"/>
  <c r="D78" i="1"/>
  <c r="D79" i="1"/>
  <c r="D96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105" i="1"/>
  <c r="D97" i="1"/>
  <c r="D98" i="1"/>
  <c r="D99" i="1"/>
  <c r="D100" i="1"/>
  <c r="D101" i="1"/>
  <c r="D102" i="1"/>
  <c r="D103" i="1"/>
  <c r="D104" i="1"/>
  <c r="D110" i="1"/>
  <c r="D106" i="1"/>
  <c r="D107" i="1"/>
  <c r="D108" i="1"/>
  <c r="D109" i="1"/>
  <c r="D111" i="1"/>
  <c r="D115" i="1"/>
  <c r="D112" i="1"/>
  <c r="D113" i="1"/>
  <c r="D114" i="1"/>
  <c r="D118" i="1"/>
  <c r="D116" i="1"/>
  <c r="D117" i="1"/>
  <c r="D121" i="1"/>
  <c r="D119" i="1"/>
  <c r="D120" i="1"/>
  <c r="D3908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2812" i="1"/>
  <c r="D168" i="1"/>
  <c r="D169" i="1"/>
  <c r="D170" i="1"/>
  <c r="D2676" i="1"/>
  <c r="D172" i="1"/>
  <c r="D173" i="1"/>
  <c r="D174" i="1"/>
  <c r="D175" i="1"/>
  <c r="D176" i="1"/>
  <c r="D177" i="1"/>
  <c r="D178" i="1"/>
  <c r="D179" i="1"/>
  <c r="D180" i="1"/>
  <c r="D167" i="1"/>
  <c r="D182" i="1"/>
  <c r="D183" i="1"/>
  <c r="D184" i="1"/>
  <c r="D185" i="1"/>
  <c r="D186" i="1"/>
  <c r="D187" i="1"/>
  <c r="D188" i="1"/>
  <c r="D189" i="1"/>
  <c r="D3015" i="1"/>
  <c r="D191" i="1"/>
  <c r="D192" i="1"/>
  <c r="D193" i="1"/>
  <c r="D194" i="1"/>
  <c r="D195" i="1"/>
  <c r="D196" i="1"/>
  <c r="D197" i="1"/>
  <c r="D171" i="1"/>
  <c r="D199" i="1"/>
  <c r="D200" i="1"/>
  <c r="D201" i="1"/>
  <c r="D202" i="1"/>
  <c r="D181" i="1"/>
  <c r="D204" i="1"/>
  <c r="D205" i="1"/>
  <c r="D206" i="1"/>
  <c r="D207" i="1"/>
  <c r="D208" i="1"/>
  <c r="D209" i="1"/>
  <c r="D210" i="1"/>
  <c r="D211" i="1"/>
  <c r="D212" i="1"/>
  <c r="D213" i="1"/>
  <c r="D190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75" i="1"/>
  <c r="D230" i="1"/>
  <c r="D198" i="1"/>
  <c r="D232" i="1"/>
  <c r="D233" i="1"/>
  <c r="D234" i="1"/>
  <c r="D235" i="1"/>
  <c r="D236" i="1"/>
  <c r="D237" i="1"/>
  <c r="D238" i="1"/>
  <c r="D239" i="1"/>
  <c r="D240" i="1"/>
  <c r="D203" i="1"/>
  <c r="D242" i="1"/>
  <c r="D214" i="1"/>
  <c r="D244" i="1"/>
  <c r="D245" i="1"/>
  <c r="D246" i="1"/>
  <c r="D229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31" i="1"/>
  <c r="D262" i="1"/>
  <c r="D263" i="1"/>
  <c r="D264" i="1"/>
  <c r="D265" i="1"/>
  <c r="D241" i="1"/>
  <c r="D267" i="1"/>
  <c r="D268" i="1"/>
  <c r="D269" i="1"/>
  <c r="D247" i="1"/>
  <c r="D271" i="1"/>
  <c r="D272" i="1"/>
  <c r="D273" i="1"/>
  <c r="D261" i="1"/>
  <c r="D266" i="1"/>
  <c r="D276" i="1"/>
  <c r="D277" i="1"/>
  <c r="D278" i="1"/>
  <c r="D270" i="1"/>
  <c r="D280" i="1"/>
  <c r="D281" i="1"/>
  <c r="D282" i="1"/>
  <c r="D283" i="1"/>
  <c r="D284" i="1"/>
  <c r="D274" i="1"/>
  <c r="D285" i="1"/>
  <c r="D286" i="1"/>
  <c r="D288" i="1"/>
  <c r="D289" i="1"/>
  <c r="D290" i="1"/>
  <c r="D287" i="1"/>
  <c r="D292" i="1"/>
  <c r="D293" i="1"/>
  <c r="D291" i="1"/>
  <c r="D294" i="1"/>
  <c r="D295" i="1"/>
  <c r="D296" i="1"/>
  <c r="D297" i="1"/>
  <c r="D298" i="1"/>
  <c r="D299" i="1"/>
  <c r="D301" i="1"/>
  <c r="D302" i="1"/>
  <c r="D2620" i="1"/>
  <c r="D304" i="1"/>
  <c r="D305" i="1"/>
  <c r="D300" i="1"/>
  <c r="D307" i="1"/>
  <c r="D308" i="1"/>
  <c r="D309" i="1"/>
  <c r="D303" i="1"/>
  <c r="D311" i="1"/>
  <c r="D312" i="1"/>
  <c r="D313" i="1"/>
  <c r="D314" i="1"/>
  <c r="D315" i="1"/>
  <c r="D316" i="1"/>
  <c r="D317" i="1"/>
  <c r="D306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10" i="1"/>
  <c r="D337" i="1"/>
  <c r="D318" i="1"/>
  <c r="D339" i="1"/>
  <c r="D336" i="1"/>
  <c r="D341" i="1"/>
  <c r="D338" i="1"/>
  <c r="D343" i="1"/>
  <c r="D340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445" i="1"/>
  <c r="D360" i="1"/>
  <c r="D361" i="1"/>
  <c r="D362" i="1"/>
  <c r="D363" i="1"/>
  <c r="D364" i="1"/>
  <c r="D365" i="1"/>
  <c r="D366" i="1"/>
  <c r="D342" i="1"/>
  <c r="D344" i="1"/>
  <c r="D359" i="1"/>
  <c r="D370" i="1"/>
  <c r="D371" i="1"/>
  <c r="D372" i="1"/>
  <c r="D367" i="1"/>
  <c r="D374" i="1"/>
  <c r="D375" i="1"/>
  <c r="D376" i="1"/>
  <c r="D377" i="1"/>
  <c r="D36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369" i="1"/>
  <c r="D421" i="1"/>
  <c r="D422" i="1"/>
  <c r="D373" i="1"/>
  <c r="D424" i="1"/>
  <c r="D425" i="1"/>
  <c r="D426" i="1"/>
  <c r="D427" i="1"/>
  <c r="D428" i="1"/>
  <c r="D378" i="1"/>
  <c r="D430" i="1"/>
  <c r="D431" i="1"/>
  <c r="D420" i="1"/>
  <c r="D433" i="1"/>
  <c r="D434" i="1"/>
  <c r="D423" i="1"/>
  <c r="D436" i="1"/>
  <c r="D437" i="1"/>
  <c r="D438" i="1"/>
  <c r="D429" i="1"/>
  <c r="D440" i="1"/>
  <c r="D432" i="1"/>
  <c r="D442" i="1"/>
  <c r="D443" i="1"/>
  <c r="D444" i="1"/>
  <c r="D435" i="1"/>
  <c r="D446" i="1"/>
  <c r="D447" i="1"/>
  <c r="D448" i="1"/>
  <c r="D449" i="1"/>
  <c r="D441" i="1"/>
  <c r="D451" i="1"/>
  <c r="D452" i="1"/>
  <c r="D450" i="1"/>
  <c r="D454" i="1"/>
  <c r="D455" i="1"/>
  <c r="D456" i="1"/>
  <c r="D457" i="1"/>
  <c r="D2919" i="1"/>
  <c r="D453" i="1"/>
  <c r="D460" i="1"/>
  <c r="D461" i="1"/>
  <c r="D462" i="1"/>
  <c r="D463" i="1"/>
  <c r="D464" i="1"/>
  <c r="D465" i="1"/>
  <c r="D458" i="1"/>
  <c r="D467" i="1"/>
  <c r="D468" i="1"/>
  <c r="D469" i="1"/>
  <c r="D470" i="1"/>
  <c r="D471" i="1"/>
  <c r="D459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66" i="1"/>
  <c r="D488" i="1"/>
  <c r="D489" i="1"/>
  <c r="D490" i="1"/>
  <c r="D491" i="1"/>
  <c r="D492" i="1"/>
  <c r="D493" i="1"/>
  <c r="D494" i="1"/>
  <c r="D495" i="1"/>
  <c r="D496" i="1"/>
  <c r="D472" i="1"/>
  <c r="D487" i="1"/>
  <c r="D499" i="1"/>
  <c r="D500" i="1"/>
  <c r="D501" i="1"/>
  <c r="D502" i="1"/>
  <c r="D503" i="1"/>
  <c r="D497" i="1"/>
  <c r="D505" i="1"/>
  <c r="D506" i="1"/>
  <c r="D507" i="1"/>
  <c r="D49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04" i="1"/>
  <c r="D508" i="1"/>
  <c r="D533" i="1"/>
  <c r="D534" i="1"/>
  <c r="D535" i="1"/>
  <c r="D536" i="1"/>
  <c r="D538" i="1"/>
  <c r="D532" i="1"/>
  <c r="D540" i="1"/>
  <c r="D541" i="1"/>
  <c r="D542" i="1"/>
  <c r="D537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39" i="1"/>
  <c r="D543" i="1"/>
  <c r="D564" i="1"/>
  <c r="D565" i="1"/>
  <c r="D566" i="1"/>
  <c r="D567" i="1"/>
  <c r="D568" i="1"/>
  <c r="D569" i="1"/>
  <c r="D570" i="1"/>
  <c r="D562" i="1"/>
  <c r="D572" i="1"/>
  <c r="D563" i="1"/>
  <c r="D574" i="1"/>
  <c r="D575" i="1"/>
  <c r="D576" i="1"/>
  <c r="D571" i="1"/>
  <c r="D578" i="1"/>
  <c r="D579" i="1"/>
  <c r="D580" i="1"/>
  <c r="D581" i="1"/>
  <c r="D582" i="1"/>
  <c r="D583" i="1"/>
  <c r="D573" i="1"/>
  <c r="D577" i="1"/>
  <c r="D587" i="1"/>
  <c r="D586" i="1"/>
  <c r="D589" i="1"/>
  <c r="D590" i="1"/>
  <c r="D591" i="1"/>
  <c r="D595" i="1"/>
  <c r="D594" i="1"/>
  <c r="D597" i="1"/>
  <c r="D600" i="1"/>
  <c r="D601" i="1"/>
  <c r="D598" i="1"/>
  <c r="D603" i="1"/>
  <c r="D604" i="1"/>
  <c r="D599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243" i="1"/>
  <c r="D622" i="1"/>
  <c r="D623" i="1"/>
  <c r="D624" i="1"/>
  <c r="D625" i="1"/>
  <c r="D626" i="1"/>
  <c r="D627" i="1"/>
  <c r="D628" i="1"/>
  <c r="D279" i="1"/>
  <c r="D630" i="1"/>
  <c r="D602" i="1"/>
  <c r="D632" i="1"/>
  <c r="D633" i="1"/>
  <c r="D634" i="1"/>
  <c r="D635" i="1"/>
  <c r="D636" i="1"/>
  <c r="D637" i="1"/>
  <c r="D605" i="1"/>
  <c r="D639" i="1"/>
  <c r="D640" i="1"/>
  <c r="D62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29" i="1"/>
  <c r="D662" i="1"/>
  <c r="D663" i="1"/>
  <c r="D664" i="1"/>
  <c r="D665" i="1"/>
  <c r="D631" i="1"/>
  <c r="D667" i="1"/>
  <c r="D668" i="1"/>
  <c r="D638" i="1"/>
  <c r="D670" i="1"/>
  <c r="D671" i="1"/>
  <c r="D672" i="1"/>
  <c r="D673" i="1"/>
  <c r="D674" i="1"/>
  <c r="D641" i="1"/>
  <c r="D676" i="1"/>
  <c r="D677" i="1"/>
  <c r="D678" i="1"/>
  <c r="D679" i="1"/>
  <c r="D680" i="1"/>
  <c r="D661" i="1"/>
  <c r="D682" i="1"/>
  <c r="D666" i="1"/>
  <c r="D684" i="1"/>
  <c r="D669" i="1"/>
  <c r="D675" i="1"/>
  <c r="D687" i="1"/>
  <c r="D688" i="1"/>
  <c r="D689" i="1"/>
  <c r="D690" i="1"/>
  <c r="D691" i="1"/>
  <c r="D692" i="1"/>
  <c r="D693" i="1"/>
  <c r="D694" i="1"/>
  <c r="D681" i="1"/>
  <c r="D696" i="1"/>
  <c r="D697" i="1"/>
  <c r="D698" i="1"/>
  <c r="D683" i="1"/>
  <c r="D700" i="1"/>
  <c r="D701" i="1"/>
  <c r="D702" i="1"/>
  <c r="D703" i="1"/>
  <c r="D704" i="1"/>
  <c r="D705" i="1"/>
  <c r="D685" i="1"/>
  <c r="D686" i="1"/>
  <c r="D695" i="1"/>
  <c r="D709" i="1"/>
  <c r="D710" i="1"/>
  <c r="D711" i="1"/>
  <c r="D712" i="1"/>
  <c r="D713" i="1"/>
  <c r="D699" i="1"/>
  <c r="D715" i="1"/>
  <c r="D706" i="1"/>
  <c r="D717" i="1"/>
  <c r="D718" i="1"/>
  <c r="D719" i="1"/>
  <c r="D720" i="1"/>
  <c r="D707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08" i="1"/>
  <c r="D737" i="1"/>
  <c r="D738" i="1"/>
  <c r="D739" i="1"/>
  <c r="D740" i="1"/>
  <c r="D714" i="1"/>
  <c r="D742" i="1"/>
  <c r="D743" i="1"/>
  <c r="D744" i="1"/>
  <c r="D745" i="1"/>
  <c r="D746" i="1"/>
  <c r="D747" i="1"/>
  <c r="D748" i="1"/>
  <c r="D749" i="1"/>
  <c r="D750" i="1"/>
  <c r="D716" i="1"/>
  <c r="D752" i="1"/>
  <c r="D753" i="1"/>
  <c r="D754" i="1"/>
  <c r="D755" i="1"/>
  <c r="D756" i="1"/>
  <c r="D721" i="1"/>
  <c r="D758" i="1"/>
  <c r="D759" i="1"/>
  <c r="D760" i="1"/>
  <c r="D761" i="1"/>
  <c r="D762" i="1"/>
  <c r="D763" i="1"/>
  <c r="D764" i="1"/>
  <c r="D765" i="1"/>
  <c r="D766" i="1"/>
  <c r="D736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41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751" i="1"/>
  <c r="D807" i="1"/>
  <c r="D757" i="1"/>
  <c r="D809" i="1"/>
  <c r="D810" i="1"/>
  <c r="D767" i="1"/>
  <c r="D812" i="1"/>
  <c r="D790" i="1"/>
  <c r="D814" i="1"/>
  <c r="D806" i="1"/>
  <c r="D816" i="1"/>
  <c r="D808" i="1"/>
  <c r="D811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13" i="1"/>
  <c r="D832" i="1"/>
  <c r="D815" i="1"/>
  <c r="D817" i="1"/>
  <c r="D818" i="1"/>
  <c r="D836" i="1"/>
  <c r="D837" i="1"/>
  <c r="D838" i="1"/>
  <c r="D839" i="1"/>
  <c r="D840" i="1"/>
  <c r="D841" i="1"/>
  <c r="D842" i="1"/>
  <c r="D843" i="1"/>
  <c r="D844" i="1"/>
  <c r="D831" i="1"/>
  <c r="D846" i="1"/>
  <c r="D847" i="1"/>
  <c r="D848" i="1"/>
  <c r="D849" i="1"/>
  <c r="D850" i="1"/>
  <c r="D851" i="1"/>
  <c r="D833" i="1"/>
  <c r="D853" i="1"/>
  <c r="D854" i="1"/>
  <c r="D855" i="1"/>
  <c r="D856" i="1"/>
  <c r="D857" i="1"/>
  <c r="D858" i="1"/>
  <c r="D859" i="1"/>
  <c r="D860" i="1"/>
  <c r="D2949" i="1"/>
  <c r="D3403" i="1"/>
  <c r="D863" i="1"/>
  <c r="D834" i="1"/>
  <c r="D865" i="1"/>
  <c r="D866" i="1"/>
  <c r="D867" i="1"/>
  <c r="D835" i="1"/>
  <c r="D869" i="1"/>
  <c r="D870" i="1"/>
  <c r="D871" i="1"/>
  <c r="D872" i="1"/>
  <c r="D873" i="1"/>
  <c r="D845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52" i="1"/>
  <c r="D898" i="1"/>
  <c r="D861" i="1"/>
  <c r="D900" i="1"/>
  <c r="D901" i="1"/>
  <c r="D902" i="1"/>
  <c r="D903" i="1"/>
  <c r="D904" i="1"/>
  <c r="D905" i="1"/>
  <c r="D906" i="1"/>
  <c r="D907" i="1"/>
  <c r="D908" i="1"/>
  <c r="D909" i="1"/>
  <c r="D862" i="1"/>
  <c r="D911" i="1"/>
  <c r="D864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868" i="1"/>
  <c r="D943" i="1"/>
  <c r="D944" i="1"/>
  <c r="D874" i="1"/>
  <c r="D897" i="1"/>
  <c r="D899" i="1"/>
  <c r="D948" i="1"/>
  <c r="D949" i="1"/>
  <c r="D950" i="1"/>
  <c r="D951" i="1"/>
  <c r="D952" i="1"/>
  <c r="D953" i="1"/>
  <c r="D954" i="1"/>
  <c r="D910" i="1"/>
  <c r="D956" i="1"/>
  <c r="D912" i="1"/>
  <c r="D958" i="1"/>
  <c r="D942" i="1"/>
  <c r="D960" i="1"/>
  <c r="D945" i="1"/>
  <c r="D946" i="1"/>
  <c r="D963" i="1"/>
  <c r="D947" i="1"/>
  <c r="D955" i="1"/>
  <c r="D957" i="1"/>
  <c r="D959" i="1"/>
  <c r="D968" i="1"/>
  <c r="D969" i="1"/>
  <c r="D970" i="1"/>
  <c r="D971" i="1"/>
  <c r="D961" i="1"/>
  <c r="D973" i="1"/>
  <c r="D974" i="1"/>
  <c r="D975" i="1"/>
  <c r="D962" i="1"/>
  <c r="D977" i="1"/>
  <c r="D978" i="1"/>
  <c r="D979" i="1"/>
  <c r="D980" i="1"/>
  <c r="D981" i="1"/>
  <c r="D982" i="1"/>
  <c r="D983" i="1"/>
  <c r="D964" i="1"/>
  <c r="D985" i="1"/>
  <c r="D986" i="1"/>
  <c r="D987" i="1"/>
  <c r="D965" i="1"/>
  <c r="D989" i="1"/>
  <c r="D990" i="1"/>
  <c r="D991" i="1"/>
  <c r="D992" i="1"/>
  <c r="D966" i="1"/>
  <c r="D967" i="1"/>
  <c r="D972" i="1"/>
  <c r="D996" i="1"/>
  <c r="D997" i="1"/>
  <c r="D998" i="1"/>
  <c r="D999" i="1"/>
  <c r="D1000" i="1"/>
  <c r="D1001" i="1"/>
  <c r="D976" i="1"/>
  <c r="D1003" i="1"/>
  <c r="D1004" i="1"/>
  <c r="D1005" i="1"/>
  <c r="D1006" i="1"/>
  <c r="D984" i="1"/>
  <c r="D988" i="1"/>
  <c r="D1009" i="1"/>
  <c r="D1010" i="1"/>
  <c r="D1011" i="1"/>
  <c r="D1012" i="1"/>
  <c r="D1013" i="1"/>
  <c r="D1014" i="1"/>
  <c r="D1015" i="1"/>
  <c r="D1016" i="1"/>
  <c r="D1017" i="1"/>
  <c r="D1018" i="1"/>
  <c r="D1019" i="1"/>
  <c r="D993" i="1"/>
  <c r="D1021" i="1"/>
  <c r="D1022" i="1"/>
  <c r="D1023" i="1"/>
  <c r="D1024" i="1"/>
  <c r="D1025" i="1"/>
  <c r="D994" i="1"/>
  <c r="D1027" i="1"/>
  <c r="D1028" i="1"/>
  <c r="D1029" i="1"/>
  <c r="D1030" i="1"/>
  <c r="D1031" i="1"/>
  <c r="D1032" i="1"/>
  <c r="D1033" i="1"/>
  <c r="D1034" i="1"/>
  <c r="D1035" i="1"/>
  <c r="D995" i="1"/>
  <c r="D1037" i="1"/>
  <c r="D1038" i="1"/>
  <c r="D1039" i="1"/>
  <c r="D1040" i="1"/>
  <c r="D1041" i="1"/>
  <c r="D1042" i="1"/>
  <c r="D1002" i="1"/>
  <c r="D1044" i="1"/>
  <c r="D1007" i="1"/>
  <c r="D1046" i="1"/>
  <c r="D1047" i="1"/>
  <c r="D1048" i="1"/>
  <c r="D1049" i="1"/>
  <c r="D1050" i="1"/>
  <c r="D1051" i="1"/>
  <c r="D1052" i="1"/>
  <c r="D1008" i="1"/>
  <c r="D1020" i="1"/>
  <c r="D1055" i="1"/>
  <c r="D1056" i="1"/>
  <c r="D1057" i="1"/>
  <c r="D1058" i="1"/>
  <c r="D1059" i="1"/>
  <c r="D1060" i="1"/>
  <c r="D1061" i="1"/>
  <c r="D1026" i="1"/>
  <c r="D1063" i="1"/>
  <c r="D1064" i="1"/>
  <c r="D1036" i="1"/>
  <c r="D1066" i="1"/>
  <c r="D1067" i="1"/>
  <c r="D1068" i="1"/>
  <c r="D1069" i="1"/>
  <c r="D1043" i="1"/>
  <c r="D1045" i="1"/>
  <c r="D1053" i="1"/>
  <c r="D1054" i="1"/>
  <c r="D1074" i="1"/>
  <c r="D1075" i="1"/>
  <c r="D1076" i="1"/>
  <c r="D1062" i="1"/>
  <c r="D1078" i="1"/>
  <c r="D1079" i="1"/>
  <c r="D1080" i="1"/>
  <c r="D1081" i="1"/>
  <c r="D1082" i="1"/>
  <c r="D1083" i="1"/>
  <c r="D1065" i="1"/>
  <c r="D1085" i="1"/>
  <c r="D1086" i="1"/>
  <c r="D1087" i="1"/>
  <c r="D1070" i="1"/>
  <c r="D1089" i="1"/>
  <c r="D1090" i="1"/>
  <c r="D1091" i="1"/>
  <c r="D1092" i="1"/>
  <c r="D1093" i="1"/>
  <c r="D1094" i="1"/>
  <c r="D1071" i="1"/>
  <c r="D1096" i="1"/>
  <c r="D1097" i="1"/>
  <c r="D1098" i="1"/>
  <c r="D1072" i="1"/>
  <c r="D1100" i="1"/>
  <c r="D1101" i="1"/>
  <c r="D1102" i="1"/>
  <c r="D1103" i="1"/>
  <c r="D1104" i="1"/>
  <c r="D1105" i="1"/>
  <c r="D1073" i="1"/>
  <c r="D1107" i="1"/>
  <c r="D1108" i="1"/>
  <c r="D1110" i="1"/>
  <c r="D1111" i="1"/>
  <c r="D1112" i="1"/>
  <c r="D1084" i="1"/>
  <c r="D1114" i="1"/>
  <c r="D1115" i="1"/>
  <c r="D1116" i="1"/>
  <c r="D1117" i="1"/>
  <c r="D1118" i="1"/>
  <c r="D1119" i="1"/>
  <c r="D1120" i="1"/>
  <c r="D1088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095" i="1"/>
  <c r="D1175" i="1"/>
  <c r="D1176" i="1"/>
  <c r="D1177" i="1"/>
  <c r="D1099" i="1"/>
  <c r="D1179" i="1"/>
  <c r="D1180" i="1"/>
  <c r="D1181" i="1"/>
  <c r="D1182" i="1"/>
  <c r="D1183" i="1"/>
  <c r="D1106" i="1"/>
  <c r="D1185" i="1"/>
  <c r="D1186" i="1"/>
  <c r="D1187" i="1"/>
  <c r="D1188" i="1"/>
  <c r="D1189" i="1"/>
  <c r="D1109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113" i="1"/>
  <c r="D1218" i="1"/>
  <c r="D1219" i="1"/>
  <c r="D1220" i="1"/>
  <c r="D1121" i="1"/>
  <c r="D1222" i="1"/>
  <c r="D1223" i="1"/>
  <c r="D263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174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178" i="1"/>
  <c r="D1252" i="1"/>
  <c r="D1253" i="1"/>
  <c r="D1254" i="1"/>
  <c r="D1255" i="1"/>
  <c r="D1256" i="1"/>
  <c r="D1257" i="1"/>
  <c r="D1258" i="1"/>
  <c r="D1184" i="1"/>
  <c r="D1260" i="1"/>
  <c r="D1261" i="1"/>
  <c r="D1262" i="1"/>
  <c r="D1263" i="1"/>
  <c r="D1264" i="1"/>
  <c r="D1190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17" i="1"/>
  <c r="D1280" i="1"/>
  <c r="D1281" i="1"/>
  <c r="D1282" i="1"/>
  <c r="D1221" i="1"/>
  <c r="D1284" i="1"/>
  <c r="D1224" i="1"/>
  <c r="D1286" i="1"/>
  <c r="D1287" i="1"/>
  <c r="D1288" i="1"/>
  <c r="D1289" i="1"/>
  <c r="D1290" i="1"/>
  <c r="D1291" i="1"/>
  <c r="D1292" i="1"/>
  <c r="D1293" i="1"/>
  <c r="D1238" i="1"/>
  <c r="D1295" i="1"/>
  <c r="D1296" i="1"/>
  <c r="D1297" i="1"/>
  <c r="D1298" i="1"/>
  <c r="D1299" i="1"/>
  <c r="D1300" i="1"/>
  <c r="D125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259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265" i="1"/>
  <c r="D1342" i="1"/>
  <c r="D1343" i="1"/>
  <c r="D1344" i="1"/>
  <c r="D1345" i="1"/>
  <c r="D1346" i="1"/>
  <c r="D1279" i="1"/>
  <c r="D1283" i="1"/>
  <c r="D1349" i="1"/>
  <c r="D1350" i="1"/>
  <c r="D1351" i="1"/>
  <c r="D1352" i="1"/>
  <c r="D1285" i="1"/>
  <c r="D1354" i="1"/>
  <c r="D1355" i="1"/>
  <c r="D1356" i="1"/>
  <c r="D1357" i="1"/>
  <c r="D1358" i="1"/>
  <c r="D1359" i="1"/>
  <c r="D1360" i="1"/>
  <c r="D1361" i="1"/>
  <c r="D1294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01" i="1"/>
  <c r="D1376" i="1"/>
  <c r="D1377" i="1"/>
  <c r="D1378" i="1"/>
  <c r="D1379" i="1"/>
  <c r="D1318" i="1"/>
  <c r="D1381" i="1"/>
  <c r="D1382" i="1"/>
  <c r="D1383" i="1"/>
  <c r="D1384" i="1"/>
  <c r="D1385" i="1"/>
  <c r="D1386" i="1"/>
  <c r="D1387" i="1"/>
  <c r="D1388" i="1"/>
  <c r="D3647" i="1"/>
  <c r="D1390" i="1"/>
  <c r="D1391" i="1"/>
  <c r="D1392" i="1"/>
  <c r="D1393" i="1"/>
  <c r="D1394" i="1"/>
  <c r="D1395" i="1"/>
  <c r="D1396" i="1"/>
  <c r="D1347" i="1"/>
  <c r="D1348" i="1"/>
  <c r="D1399" i="1"/>
  <c r="D1400" i="1"/>
  <c r="D1401" i="1"/>
  <c r="D1402" i="1"/>
  <c r="D1403" i="1"/>
  <c r="D1404" i="1"/>
  <c r="D1405" i="1"/>
  <c r="D1406" i="1"/>
  <c r="D1353" i="1"/>
  <c r="D1362" i="1"/>
  <c r="D1409" i="1"/>
  <c r="D1410" i="1"/>
  <c r="D1411" i="1"/>
  <c r="D1412" i="1"/>
  <c r="D1413" i="1"/>
  <c r="D1375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380" i="1"/>
  <c r="D1433" i="1"/>
  <c r="D1434" i="1"/>
  <c r="D1435" i="1"/>
  <c r="D1389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397" i="1"/>
  <c r="D1461" i="1"/>
  <c r="D1462" i="1"/>
  <c r="D1463" i="1"/>
  <c r="D1464" i="1"/>
  <c r="D1465" i="1"/>
  <c r="D1398" i="1"/>
  <c r="D1467" i="1"/>
  <c r="D1468" i="1"/>
  <c r="D1469" i="1"/>
  <c r="D1470" i="1"/>
  <c r="D1471" i="1"/>
  <c r="D1472" i="1"/>
  <c r="D1473" i="1"/>
  <c r="D1474" i="1"/>
  <c r="D1475" i="1"/>
  <c r="D1476" i="1"/>
  <c r="D1477" i="1"/>
  <c r="D1407" i="1"/>
  <c r="D1479" i="1"/>
  <c r="D1480" i="1"/>
  <c r="D1481" i="1"/>
  <c r="D1482" i="1"/>
  <c r="D1483" i="1"/>
  <c r="D1408" i="1"/>
  <c r="D1485" i="1"/>
  <c r="D1486" i="1"/>
  <c r="D1487" i="1"/>
  <c r="D1488" i="1"/>
  <c r="D1414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432" i="1"/>
  <c r="D1436" i="1"/>
  <c r="D1508" i="1"/>
  <c r="D1509" i="1"/>
  <c r="D1510" i="1"/>
  <c r="D1511" i="1"/>
  <c r="D1460" i="1"/>
  <c r="D1513" i="1"/>
  <c r="D1514" i="1"/>
  <c r="D1466" i="1"/>
  <c r="D1516" i="1"/>
  <c r="D1517" i="1"/>
  <c r="D147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484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489" i="1"/>
  <c r="D1550" i="1"/>
  <c r="D1551" i="1"/>
  <c r="D1552" i="1"/>
  <c r="D1553" i="1"/>
  <c r="D1506" i="1"/>
  <c r="D1555" i="1"/>
  <c r="D1556" i="1"/>
  <c r="D1557" i="1"/>
  <c r="D1558" i="1"/>
  <c r="D1559" i="1"/>
  <c r="D1507" i="1"/>
  <c r="D1561" i="1"/>
  <c r="D1562" i="1"/>
  <c r="D1563" i="1"/>
  <c r="D1564" i="1"/>
  <c r="D1565" i="1"/>
  <c r="D1566" i="1"/>
  <c r="D1567" i="1"/>
  <c r="D1568" i="1"/>
  <c r="D1569" i="1"/>
  <c r="D1512" i="1"/>
  <c r="D1571" i="1"/>
  <c r="D1572" i="1"/>
  <c r="D1573" i="1"/>
  <c r="D1515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518" i="1"/>
  <c r="D1601" i="1"/>
  <c r="D1602" i="1"/>
  <c r="D1603" i="1"/>
  <c r="D1604" i="1"/>
  <c r="D1532" i="1"/>
  <c r="D1606" i="1"/>
  <c r="D1607" i="1"/>
  <c r="D1608" i="1"/>
  <c r="D1609" i="1"/>
  <c r="D1610" i="1"/>
  <c r="D1611" i="1"/>
  <c r="D1612" i="1"/>
  <c r="D1549" i="1"/>
  <c r="D1554" i="1"/>
  <c r="D1560" i="1"/>
  <c r="D1570" i="1"/>
  <c r="D1617" i="1"/>
  <c r="D1618" i="1"/>
  <c r="D1574" i="1"/>
  <c r="D1620" i="1"/>
  <c r="D1621" i="1"/>
  <c r="D1600" i="1"/>
  <c r="D1605" i="1"/>
  <c r="D1613" i="1"/>
  <c r="D1614" i="1"/>
  <c r="D1626" i="1"/>
  <c r="D1615" i="1"/>
  <c r="D1616" i="1"/>
  <c r="D1629" i="1"/>
  <c r="D1619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22" i="1"/>
  <c r="D1646" i="1"/>
  <c r="D1623" i="1"/>
  <c r="D1624" i="1"/>
  <c r="D1649" i="1"/>
  <c r="D1650" i="1"/>
  <c r="D1651" i="1"/>
  <c r="D1652" i="1"/>
  <c r="D1653" i="1"/>
  <c r="D1654" i="1"/>
  <c r="D1655" i="1"/>
  <c r="D1656" i="1"/>
  <c r="D1657" i="1"/>
  <c r="D1658" i="1"/>
  <c r="D1625" i="1"/>
  <c r="D1660" i="1"/>
  <c r="D1661" i="1"/>
  <c r="D1662" i="1"/>
  <c r="D1663" i="1"/>
  <c r="D1664" i="1"/>
  <c r="D1665" i="1"/>
  <c r="D1666" i="1"/>
  <c r="D1667" i="1"/>
  <c r="D1627" i="1"/>
  <c r="D1628" i="1"/>
  <c r="D1670" i="1"/>
  <c r="D1671" i="1"/>
  <c r="D1672" i="1"/>
  <c r="D1630" i="1"/>
  <c r="D1645" i="1"/>
  <c r="D1675" i="1"/>
  <c r="D1647" i="1"/>
  <c r="D1677" i="1"/>
  <c r="D1678" i="1"/>
  <c r="D1648" i="1"/>
  <c r="D1680" i="1"/>
  <c r="D1681" i="1"/>
  <c r="D1682" i="1"/>
  <c r="D1683" i="1"/>
  <c r="D1684" i="1"/>
  <c r="D1685" i="1"/>
  <c r="D1659" i="1"/>
  <c r="D1687" i="1"/>
  <c r="D1688" i="1"/>
  <c r="D1689" i="1"/>
  <c r="D1690" i="1"/>
  <c r="D1668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669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673" i="1"/>
  <c r="D1741" i="1"/>
  <c r="D1742" i="1"/>
  <c r="D1743" i="1"/>
  <c r="D1744" i="1"/>
  <c r="D1674" i="1"/>
  <c r="D1746" i="1"/>
  <c r="D1747" i="1"/>
  <c r="D1748" i="1"/>
  <c r="D1749" i="1"/>
  <c r="D1750" i="1"/>
  <c r="D1751" i="1"/>
  <c r="D1752" i="1"/>
  <c r="D1676" i="1"/>
  <c r="D1754" i="1"/>
  <c r="D1755" i="1"/>
  <c r="D1756" i="1"/>
  <c r="D1757" i="1"/>
  <c r="D1758" i="1"/>
  <c r="D1759" i="1"/>
  <c r="D1760" i="1"/>
  <c r="D1761" i="1"/>
  <c r="D1679" i="1"/>
  <c r="D1763" i="1"/>
  <c r="D1764" i="1"/>
  <c r="D1765" i="1"/>
  <c r="D1766" i="1"/>
  <c r="D1767" i="1"/>
  <c r="D1768" i="1"/>
  <c r="D1769" i="1"/>
  <c r="D1770" i="1"/>
  <c r="D1771" i="1"/>
  <c r="D1772" i="1"/>
  <c r="D1773" i="1"/>
  <c r="D1686" i="1"/>
  <c r="D1691" i="1"/>
  <c r="D1776" i="1"/>
  <c r="D1777" i="1"/>
  <c r="D1778" i="1"/>
  <c r="D1779" i="1"/>
  <c r="D1780" i="1"/>
  <c r="D1781" i="1"/>
  <c r="D1782" i="1"/>
  <c r="D1717" i="1"/>
  <c r="D1784" i="1"/>
  <c r="D1785" i="1"/>
  <c r="D1786" i="1"/>
  <c r="D1787" i="1"/>
  <c r="D1788" i="1"/>
  <c r="D1789" i="1"/>
  <c r="D1790" i="1"/>
  <c r="D1740" i="1"/>
  <c r="D1792" i="1"/>
  <c r="D1793" i="1"/>
  <c r="D1794" i="1"/>
  <c r="D1795" i="1"/>
  <c r="D1796" i="1"/>
  <c r="D1797" i="1"/>
  <c r="D1798" i="1"/>
  <c r="D1799" i="1"/>
  <c r="D1800" i="1"/>
  <c r="D1801" i="1"/>
  <c r="D1745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753" i="1"/>
  <c r="D1762" i="1"/>
  <c r="D1821" i="1"/>
  <c r="D1774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775" i="1"/>
  <c r="D1840" i="1"/>
  <c r="D1841" i="1"/>
  <c r="D1783" i="1"/>
  <c r="D1843" i="1"/>
  <c r="D1791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02" i="1"/>
  <c r="D1858" i="1"/>
  <c r="D1859" i="1"/>
  <c r="D1860" i="1"/>
  <c r="D1861" i="1"/>
  <c r="D1819" i="1"/>
  <c r="D1863" i="1"/>
  <c r="D1864" i="1"/>
  <c r="D1865" i="1"/>
  <c r="D1866" i="1"/>
  <c r="D1867" i="1"/>
  <c r="D1868" i="1"/>
  <c r="D1869" i="1"/>
  <c r="D1820" i="1"/>
  <c r="D1871" i="1"/>
  <c r="D1872" i="1"/>
  <c r="D1873" i="1"/>
  <c r="D1874" i="1"/>
  <c r="D1822" i="1"/>
  <c r="D1839" i="1"/>
  <c r="D1842" i="1"/>
  <c r="D1844" i="1"/>
  <c r="D1857" i="1"/>
  <c r="D1862" i="1"/>
  <c r="D1870" i="1"/>
  <c r="D1875" i="1"/>
  <c r="D1876" i="1"/>
  <c r="D1877" i="1"/>
  <c r="D1878" i="1"/>
  <c r="D1879" i="1"/>
  <c r="D1887" i="1"/>
  <c r="D1888" i="1"/>
  <c r="D1889" i="1"/>
  <c r="D1890" i="1"/>
  <c r="D1891" i="1"/>
  <c r="D1880" i="1"/>
  <c r="D1893" i="1"/>
  <c r="D1894" i="1"/>
  <c r="D1895" i="1"/>
  <c r="D1881" i="1"/>
  <c r="D1897" i="1"/>
  <c r="D1898" i="1"/>
  <c r="D1899" i="1"/>
  <c r="D1900" i="1"/>
  <c r="D1882" i="1"/>
  <c r="D1902" i="1"/>
  <c r="D1903" i="1"/>
  <c r="D1883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884" i="1"/>
  <c r="D1918" i="1"/>
  <c r="D1919" i="1"/>
  <c r="D1920" i="1"/>
  <c r="D1921" i="1"/>
  <c r="D1885" i="1"/>
  <c r="D1923" i="1"/>
  <c r="D1924" i="1"/>
  <c r="D1925" i="1"/>
  <c r="D1926" i="1"/>
  <c r="D1927" i="1"/>
  <c r="D1928" i="1"/>
  <c r="D1929" i="1"/>
  <c r="D1930" i="1"/>
  <c r="D1931" i="1"/>
  <c r="D1932" i="1"/>
  <c r="D1933" i="1"/>
  <c r="D1886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892" i="1"/>
  <c r="D1948" i="1"/>
  <c r="D1949" i="1"/>
  <c r="D1950" i="1"/>
  <c r="D1951" i="1"/>
  <c r="D1952" i="1"/>
  <c r="D1896" i="1"/>
  <c r="D1954" i="1"/>
  <c r="D1955" i="1"/>
  <c r="D1956" i="1"/>
  <c r="D1901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04" i="1"/>
  <c r="D1992" i="1"/>
  <c r="D1993" i="1"/>
  <c r="D1994" i="1"/>
  <c r="D1995" i="1"/>
  <c r="D1996" i="1"/>
  <c r="D1997" i="1"/>
  <c r="D1998" i="1"/>
  <c r="D1917" i="1"/>
  <c r="D2000" i="1"/>
  <c r="D2001" i="1"/>
  <c r="D2002" i="1"/>
  <c r="D2003" i="1"/>
  <c r="D1922" i="1"/>
  <c r="D2005" i="1"/>
  <c r="D2006" i="1"/>
  <c r="D2007" i="1"/>
  <c r="D2008" i="1"/>
  <c r="D1934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1947" i="1"/>
  <c r="D1953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1957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1991" i="1"/>
  <c r="D2053" i="1"/>
  <c r="D2054" i="1"/>
  <c r="D1999" i="1"/>
  <c r="D2056" i="1"/>
  <c r="D2057" i="1"/>
  <c r="D2058" i="1"/>
  <c r="D2059" i="1"/>
  <c r="D2060" i="1"/>
  <c r="D2061" i="1"/>
  <c r="D2062" i="1"/>
  <c r="D2063" i="1"/>
  <c r="D2004" i="1"/>
  <c r="D2065" i="1"/>
  <c r="D2066" i="1"/>
  <c r="D2067" i="1"/>
  <c r="D2068" i="1"/>
  <c r="D2069" i="1"/>
  <c r="D2070" i="1"/>
  <c r="D2071" i="1"/>
  <c r="D2072" i="1"/>
  <c r="D2009" i="1"/>
  <c r="D2074" i="1"/>
  <c r="D2024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25" i="1"/>
  <c r="D2097" i="1"/>
  <c r="D2098" i="1"/>
  <c r="D2099" i="1"/>
  <c r="D2100" i="1"/>
  <c r="D2101" i="1"/>
  <c r="D2039" i="1"/>
  <c r="D2103" i="1"/>
  <c r="D2104" i="1"/>
  <c r="D2105" i="1"/>
  <c r="D2106" i="1"/>
  <c r="D2107" i="1"/>
  <c r="D2108" i="1"/>
  <c r="D2109" i="1"/>
  <c r="D2110" i="1"/>
  <c r="D2052" i="1"/>
  <c r="D2055" i="1"/>
  <c r="D2113" i="1"/>
  <c r="D2064" i="1"/>
  <c r="D2073" i="1"/>
  <c r="D2075" i="1"/>
  <c r="D2096" i="1"/>
  <c r="D2102" i="1"/>
  <c r="D2112" i="1"/>
  <c r="D2115" i="1"/>
  <c r="D2116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17" i="1"/>
  <c r="D2170" i="1"/>
  <c r="D2171" i="1"/>
  <c r="D2172" i="1"/>
  <c r="D2173" i="1"/>
  <c r="D2174" i="1"/>
  <c r="D2175" i="1"/>
  <c r="D2176" i="1"/>
  <c r="D2118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119" i="1"/>
  <c r="D2202" i="1"/>
  <c r="D2203" i="1"/>
  <c r="D2204" i="1"/>
  <c r="D2205" i="1"/>
  <c r="D2206" i="1"/>
  <c r="D2207" i="1"/>
  <c r="D2208" i="1"/>
  <c r="D2209" i="1"/>
  <c r="D2210" i="1"/>
  <c r="D2120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121" i="1"/>
  <c r="D2239" i="1"/>
  <c r="D2240" i="1"/>
  <c r="D2122" i="1"/>
  <c r="D2242" i="1"/>
  <c r="D2243" i="1"/>
  <c r="D2244" i="1"/>
  <c r="D2245" i="1"/>
  <c r="D2246" i="1"/>
  <c r="D2247" i="1"/>
  <c r="D2248" i="1"/>
  <c r="D2249" i="1"/>
  <c r="D2250" i="1"/>
  <c r="D2251" i="1"/>
  <c r="D2123" i="1"/>
  <c r="D2253" i="1"/>
  <c r="D2254" i="1"/>
  <c r="D2255" i="1"/>
  <c r="D2256" i="1"/>
  <c r="D2257" i="1"/>
  <c r="D2258" i="1"/>
  <c r="D2259" i="1"/>
  <c r="D2260" i="1"/>
  <c r="D2169" i="1"/>
  <c r="D2262" i="1"/>
  <c r="D2263" i="1"/>
  <c r="D2264" i="1"/>
  <c r="D2265" i="1"/>
  <c r="D2266" i="1"/>
  <c r="D2267" i="1"/>
  <c r="D2177" i="1"/>
  <c r="D2269" i="1"/>
  <c r="D2270" i="1"/>
  <c r="D2271" i="1"/>
  <c r="D2272" i="1"/>
  <c r="D2273" i="1"/>
  <c r="D2274" i="1"/>
  <c r="D2275" i="1"/>
  <c r="D2201" i="1"/>
  <c r="D2211" i="1"/>
  <c r="D2278" i="1"/>
  <c r="D2279" i="1"/>
  <c r="D2280" i="1"/>
  <c r="D2238" i="1"/>
  <c r="D2241" i="1"/>
  <c r="D2283" i="1"/>
  <c r="D2252" i="1"/>
  <c r="D2285" i="1"/>
  <c r="D2286" i="1"/>
  <c r="D2261" i="1"/>
  <c r="D2268" i="1"/>
  <c r="D2276" i="1"/>
  <c r="D2277" i="1"/>
  <c r="D2291" i="1"/>
  <c r="D2281" i="1"/>
  <c r="D2293" i="1"/>
  <c r="D2294" i="1"/>
  <c r="D2282" i="1"/>
  <c r="D2296" i="1"/>
  <c r="D2297" i="1"/>
  <c r="D2298" i="1"/>
  <c r="D2299" i="1"/>
  <c r="D2300" i="1"/>
  <c r="D2301" i="1"/>
  <c r="D2302" i="1"/>
  <c r="D2284" i="1"/>
  <c r="D2287" i="1"/>
  <c r="D2305" i="1"/>
  <c r="D2306" i="1"/>
  <c r="D2307" i="1"/>
  <c r="D2308" i="1"/>
  <c r="D2309" i="1"/>
  <c r="D2310" i="1"/>
  <c r="D2311" i="1"/>
  <c r="D2312" i="1"/>
  <c r="D2288" i="1"/>
  <c r="D2289" i="1"/>
  <c r="D2315" i="1"/>
  <c r="D2290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292" i="1"/>
  <c r="D2340" i="1"/>
  <c r="D2341" i="1"/>
  <c r="D2342" i="1"/>
  <c r="D2343" i="1"/>
  <c r="D2344" i="1"/>
  <c r="D2345" i="1"/>
  <c r="D2346" i="1"/>
  <c r="D2347" i="1"/>
  <c r="D2348" i="1"/>
  <c r="D2349" i="1"/>
  <c r="D2295" i="1"/>
  <c r="D2303" i="1"/>
  <c r="D2304" i="1"/>
  <c r="D2313" i="1"/>
  <c r="D2314" i="1"/>
  <c r="D2355" i="1"/>
  <c r="D2356" i="1"/>
  <c r="D2357" i="1"/>
  <c r="D2316" i="1"/>
  <c r="D2359" i="1"/>
  <c r="D2360" i="1"/>
  <c r="D2339" i="1"/>
  <c r="D2362" i="1"/>
  <c r="D2350" i="1"/>
  <c r="D2364" i="1"/>
  <c r="D2351" i="1"/>
  <c r="D2352" i="1"/>
  <c r="D2353" i="1"/>
  <c r="D2368" i="1"/>
  <c r="D2369" i="1"/>
  <c r="D2370" i="1"/>
  <c r="D2371" i="1"/>
  <c r="D2372" i="1"/>
  <c r="D2373" i="1"/>
  <c r="D2361" i="1"/>
  <c r="D2377" i="1"/>
  <c r="D2378" i="1"/>
  <c r="D2379" i="1"/>
  <c r="D2380" i="1"/>
  <c r="D2366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75" i="1"/>
  <c r="D2399" i="1"/>
  <c r="D2401" i="1"/>
  <c r="D2381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382" i="1"/>
  <c r="D2446" i="1"/>
  <c r="D2447" i="1"/>
  <c r="D2448" i="1"/>
  <c r="D2449" i="1"/>
  <c r="D2450" i="1"/>
  <c r="D2383" i="1"/>
  <c r="D2452" i="1"/>
  <c r="D2453" i="1"/>
  <c r="D2454" i="1"/>
  <c r="D2396" i="1"/>
  <c r="D2456" i="1"/>
  <c r="D239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3839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398" i="1"/>
  <c r="D2499" i="1"/>
  <c r="D2500" i="1"/>
  <c r="D2501" i="1"/>
  <c r="D2400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402" i="1"/>
  <c r="D2517" i="1"/>
  <c r="D2518" i="1"/>
  <c r="D2519" i="1"/>
  <c r="D2520" i="1"/>
  <c r="D2521" i="1"/>
  <c r="D2522" i="1"/>
  <c r="D2523" i="1"/>
  <c r="D2524" i="1"/>
  <c r="D2445" i="1"/>
  <c r="D2526" i="1"/>
  <c r="D2527" i="1"/>
  <c r="D2451" i="1"/>
  <c r="D2529" i="1"/>
  <c r="D2530" i="1"/>
  <c r="D2531" i="1"/>
  <c r="D2455" i="1"/>
  <c r="D2457" i="1"/>
  <c r="D2534" i="1"/>
  <c r="D2473" i="1"/>
  <c r="D2536" i="1"/>
  <c r="D2498" i="1"/>
  <c r="D2502" i="1"/>
  <c r="D2516" i="1"/>
  <c r="D2540" i="1"/>
  <c r="D2541" i="1"/>
  <c r="D2542" i="1"/>
  <c r="D2543" i="1"/>
  <c r="D2525" i="1"/>
  <c r="D2545" i="1"/>
  <c r="D2546" i="1"/>
  <c r="D2547" i="1"/>
  <c r="D2548" i="1"/>
  <c r="D2549" i="1"/>
  <c r="D2550" i="1"/>
  <c r="D2528" i="1"/>
  <c r="D2552" i="1"/>
  <c r="D2553" i="1"/>
  <c r="D2554" i="1"/>
  <c r="D2532" i="1"/>
  <c r="D2533" i="1"/>
  <c r="D2535" i="1"/>
  <c r="D2537" i="1"/>
  <c r="D2559" i="1"/>
  <c r="D2538" i="1"/>
  <c r="D2561" i="1"/>
  <c r="D2562" i="1"/>
  <c r="D2539" i="1"/>
  <c r="D2564" i="1"/>
  <c r="D2565" i="1"/>
  <c r="D2566" i="1"/>
  <c r="D2544" i="1"/>
  <c r="D2568" i="1"/>
  <c r="D2551" i="1"/>
  <c r="D2570" i="1"/>
  <c r="D2555" i="1"/>
  <c r="D2556" i="1"/>
  <c r="D2573" i="1"/>
  <c r="D2574" i="1"/>
  <c r="D2557" i="1"/>
  <c r="D2558" i="1"/>
  <c r="D2560" i="1"/>
  <c r="D2578" i="1"/>
  <c r="D2579" i="1"/>
  <c r="D2580" i="1"/>
  <c r="D2563" i="1"/>
  <c r="D2567" i="1"/>
  <c r="D2583" i="1"/>
  <c r="D2584" i="1"/>
  <c r="D2585" i="1"/>
  <c r="D2586" i="1"/>
  <c r="D2587" i="1"/>
  <c r="D2588" i="1"/>
  <c r="D2589" i="1"/>
  <c r="D2569" i="1"/>
  <c r="D2571" i="1"/>
  <c r="D2572" i="1"/>
  <c r="D2575" i="1"/>
  <c r="D2576" i="1"/>
  <c r="D2577" i="1"/>
  <c r="D2581" i="1"/>
  <c r="D2582" i="1"/>
  <c r="D2590" i="1"/>
  <c r="D2591" i="1"/>
  <c r="D3040" i="1"/>
  <c r="D2592" i="1"/>
  <c r="D2593" i="1"/>
  <c r="D2594" i="1"/>
  <c r="D2595" i="1"/>
  <c r="D2596" i="1"/>
  <c r="D2606" i="1"/>
  <c r="D2607" i="1"/>
  <c r="D2608" i="1"/>
  <c r="D2609" i="1"/>
  <c r="D2610" i="1"/>
  <c r="D2611" i="1"/>
  <c r="D2612" i="1"/>
  <c r="D2613" i="1"/>
  <c r="D2614" i="1"/>
  <c r="D2615" i="1"/>
  <c r="D2597" i="1"/>
  <c r="D2598" i="1"/>
  <c r="D2599" i="1"/>
  <c r="D2600" i="1"/>
  <c r="D2601" i="1"/>
  <c r="D2602" i="1"/>
  <c r="D2603" i="1"/>
  <c r="D2604" i="1"/>
  <c r="D2605" i="1"/>
  <c r="D2616" i="1"/>
  <c r="D2617" i="1"/>
  <c r="D2618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3" i="1"/>
  <c r="D2714" i="1"/>
  <c r="D2715" i="1"/>
  <c r="D2716" i="1"/>
  <c r="D2717" i="1"/>
  <c r="D2718" i="1"/>
  <c r="D2719" i="1"/>
  <c r="D2720" i="1"/>
  <c r="D2721" i="1"/>
  <c r="D2722" i="1"/>
  <c r="D2723" i="1"/>
  <c r="D2728" i="1"/>
  <c r="D2729" i="1"/>
  <c r="D2730" i="1"/>
  <c r="D2731" i="1"/>
  <c r="D2732" i="1"/>
  <c r="D2724" i="1"/>
  <c r="D2734" i="1"/>
  <c r="D2735" i="1"/>
  <c r="D2725" i="1"/>
  <c r="D2737" i="1"/>
  <c r="D2726" i="1"/>
  <c r="D2739" i="1"/>
  <c r="D2740" i="1"/>
  <c r="D2741" i="1"/>
  <c r="D2742" i="1"/>
  <c r="D2743" i="1"/>
  <c r="D2744" i="1"/>
  <c r="D2745" i="1"/>
  <c r="D2727" i="1"/>
  <c r="D2733" i="1"/>
  <c r="D2736" i="1"/>
  <c r="D2738" i="1"/>
  <c r="D2750" i="1"/>
  <c r="D2751" i="1"/>
  <c r="D2752" i="1"/>
  <c r="D2753" i="1"/>
  <c r="D2754" i="1"/>
  <c r="D2755" i="1"/>
  <c r="D2756" i="1"/>
  <c r="D2757" i="1"/>
  <c r="D2758" i="1"/>
  <c r="D2746" i="1"/>
  <c r="D2747" i="1"/>
  <c r="D2748" i="1"/>
  <c r="D2749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5" i="1"/>
  <c r="D2816" i="1"/>
  <c r="D2817" i="1"/>
  <c r="D2818" i="1"/>
  <c r="D2819" i="1"/>
  <c r="D2820" i="1"/>
  <c r="D2821" i="1"/>
  <c r="D2813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14" i="1"/>
  <c r="D2822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7" i="1"/>
  <c r="D2878" i="1"/>
  <c r="D2879" i="1"/>
  <c r="D2880" i="1"/>
  <c r="D2881" i="1"/>
  <c r="D2882" i="1"/>
  <c r="D2883" i="1"/>
  <c r="D2875" i="1"/>
  <c r="D2885" i="1"/>
  <c r="D2886" i="1"/>
  <c r="D2887" i="1"/>
  <c r="D2888" i="1"/>
  <c r="D2889" i="1"/>
  <c r="D2890" i="1"/>
  <c r="D2876" i="1"/>
  <c r="D3016" i="1"/>
  <c r="D2893" i="1"/>
  <c r="D2894" i="1"/>
  <c r="D2895" i="1"/>
  <c r="D2884" i="1"/>
  <c r="D2891" i="1"/>
  <c r="D2898" i="1"/>
  <c r="D2899" i="1"/>
  <c r="D2900" i="1"/>
  <c r="D2901" i="1"/>
  <c r="D2902" i="1"/>
  <c r="D2903" i="1"/>
  <c r="D2904" i="1"/>
  <c r="D2905" i="1"/>
  <c r="D2892" i="1"/>
  <c r="D2907" i="1"/>
  <c r="D2908" i="1"/>
  <c r="D3036" i="1"/>
  <c r="D2910" i="1"/>
  <c r="D2911" i="1"/>
  <c r="D2912" i="1"/>
  <c r="D2913" i="1"/>
  <c r="D2914" i="1"/>
  <c r="D2915" i="1"/>
  <c r="D2916" i="1"/>
  <c r="D2917" i="1"/>
  <c r="D2918" i="1"/>
  <c r="D2896" i="1"/>
  <c r="D2897" i="1"/>
  <c r="D2921" i="1"/>
  <c r="D2906" i="1"/>
  <c r="D2923" i="1"/>
  <c r="D2924" i="1"/>
  <c r="D2925" i="1"/>
  <c r="D2909" i="1"/>
  <c r="D2927" i="1"/>
  <c r="D2928" i="1"/>
  <c r="D2929" i="1"/>
  <c r="D2930" i="1"/>
  <c r="D2920" i="1"/>
  <c r="D2932" i="1"/>
  <c r="D2933" i="1"/>
  <c r="D2934" i="1"/>
  <c r="D2935" i="1"/>
  <c r="D2936" i="1"/>
  <c r="D2937" i="1"/>
  <c r="D2938" i="1"/>
  <c r="D3037" i="1"/>
  <c r="D2940" i="1"/>
  <c r="D2941" i="1"/>
  <c r="D2712" i="1"/>
  <c r="D2943" i="1"/>
  <c r="D2944" i="1"/>
  <c r="D2945" i="1"/>
  <c r="D2946" i="1"/>
  <c r="D2947" i="1"/>
  <c r="D2922" i="1"/>
  <c r="D2926" i="1"/>
  <c r="D2950" i="1"/>
  <c r="D2951" i="1"/>
  <c r="D2931" i="1"/>
  <c r="D2953" i="1"/>
  <c r="D2939" i="1"/>
  <c r="D2955" i="1"/>
  <c r="D2942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48" i="1"/>
  <c r="D2977" i="1"/>
  <c r="D2978" i="1"/>
  <c r="D2979" i="1"/>
  <c r="D2980" i="1"/>
  <c r="D2952" i="1"/>
  <c r="D2982" i="1"/>
  <c r="D2983" i="1"/>
  <c r="D2954" i="1"/>
  <c r="D2985" i="1"/>
  <c r="D2986" i="1"/>
  <c r="D2987" i="1"/>
  <c r="D2988" i="1"/>
  <c r="D2989" i="1"/>
  <c r="D2990" i="1"/>
  <c r="D2956" i="1"/>
  <c r="D2992" i="1"/>
  <c r="D2976" i="1"/>
  <c r="D2994" i="1"/>
  <c r="D2981" i="1"/>
  <c r="D2996" i="1"/>
  <c r="D2984" i="1"/>
  <c r="D2998" i="1"/>
  <c r="D2999" i="1"/>
  <c r="D3000" i="1"/>
  <c r="D3001" i="1"/>
  <c r="D2991" i="1"/>
  <c r="D2993" i="1"/>
  <c r="D2995" i="1"/>
  <c r="D2997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9" i="1"/>
  <c r="D3020" i="1"/>
  <c r="D3021" i="1"/>
  <c r="D3022" i="1"/>
  <c r="D3023" i="1"/>
  <c r="D3025" i="1"/>
  <c r="D3026" i="1"/>
  <c r="D3027" i="1"/>
  <c r="D3028" i="1"/>
  <c r="D3029" i="1"/>
  <c r="D3030" i="1"/>
  <c r="D3031" i="1"/>
  <c r="D3032" i="1"/>
  <c r="D3033" i="1"/>
  <c r="D3034" i="1"/>
  <c r="D3035" i="1"/>
  <c r="D3038" i="1"/>
  <c r="D3039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8" i="1"/>
  <c r="D3060" i="1"/>
  <c r="D3062" i="1"/>
  <c r="D3063" i="1"/>
  <c r="D3057" i="1"/>
  <c r="D3064" i="1"/>
  <c r="D3059" i="1"/>
  <c r="D3065" i="1"/>
  <c r="D3061" i="1"/>
  <c r="D3066" i="1"/>
  <c r="D3067" i="1"/>
  <c r="D3068" i="1"/>
  <c r="D3069" i="1"/>
  <c r="D3070" i="1"/>
  <c r="D3071" i="1"/>
  <c r="D3072" i="1"/>
  <c r="D3073" i="1"/>
  <c r="D3074" i="1"/>
  <c r="D3075" i="1"/>
  <c r="D3076" i="1"/>
  <c r="D3086" i="1"/>
  <c r="D3087" i="1"/>
  <c r="D3092" i="1"/>
  <c r="D3097" i="1"/>
  <c r="D3110" i="1"/>
  <c r="D3111" i="1"/>
  <c r="D3079" i="1"/>
  <c r="D3080" i="1"/>
  <c r="D3081" i="1"/>
  <c r="D3082" i="1"/>
  <c r="D3083" i="1"/>
  <c r="D3084" i="1"/>
  <c r="D3085" i="1"/>
  <c r="D3115" i="1"/>
  <c r="D3119" i="1"/>
  <c r="D3088" i="1"/>
  <c r="D3089" i="1"/>
  <c r="D3090" i="1"/>
  <c r="D3091" i="1"/>
  <c r="D3120" i="1"/>
  <c r="D3093" i="1"/>
  <c r="D3094" i="1"/>
  <c r="D3095" i="1"/>
  <c r="D3096" i="1"/>
  <c r="D3121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25" i="1"/>
  <c r="D3130" i="1"/>
  <c r="D3112" i="1"/>
  <c r="D3113" i="1"/>
  <c r="D3114" i="1"/>
  <c r="D3138" i="1"/>
  <c r="D3116" i="1"/>
  <c r="D3117" i="1"/>
  <c r="D3118" i="1"/>
  <c r="D3146" i="1"/>
  <c r="D3147" i="1"/>
  <c r="D3148" i="1"/>
  <c r="D3122" i="1"/>
  <c r="D3123" i="1"/>
  <c r="D3124" i="1"/>
  <c r="D3149" i="1"/>
  <c r="D3126" i="1"/>
  <c r="D3127" i="1"/>
  <c r="D3128" i="1"/>
  <c r="D3129" i="1"/>
  <c r="D3151" i="1"/>
  <c r="D3131" i="1"/>
  <c r="D3132" i="1"/>
  <c r="D3133" i="1"/>
  <c r="D3134" i="1"/>
  <c r="D3135" i="1"/>
  <c r="D3136" i="1"/>
  <c r="D3137" i="1"/>
  <c r="D3152" i="1"/>
  <c r="D3139" i="1"/>
  <c r="D3140" i="1"/>
  <c r="D3141" i="1"/>
  <c r="D3142" i="1"/>
  <c r="D3143" i="1"/>
  <c r="D3144" i="1"/>
  <c r="D3145" i="1"/>
  <c r="D3154" i="1"/>
  <c r="D3155" i="1"/>
  <c r="D3157" i="1"/>
  <c r="D3162" i="1"/>
  <c r="D3150" i="1"/>
  <c r="D3539" i="1"/>
  <c r="D3164" i="1"/>
  <c r="D3153" i="1"/>
  <c r="D2811" i="1"/>
  <c r="D3169" i="1"/>
  <c r="D3156" i="1"/>
  <c r="D3178" i="1"/>
  <c r="D3158" i="1"/>
  <c r="D3159" i="1"/>
  <c r="D3160" i="1"/>
  <c r="D3161" i="1"/>
  <c r="D3180" i="1"/>
  <c r="D3163" i="1"/>
  <c r="D3183" i="1"/>
  <c r="D3165" i="1"/>
  <c r="D3166" i="1"/>
  <c r="D3167" i="1"/>
  <c r="D3168" i="1"/>
  <c r="D3184" i="1"/>
  <c r="D3170" i="1"/>
  <c r="D3171" i="1"/>
  <c r="D3172" i="1"/>
  <c r="D3173" i="1"/>
  <c r="D3174" i="1"/>
  <c r="D3175" i="1"/>
  <c r="D3176" i="1"/>
  <c r="D3177" i="1"/>
  <c r="D3185" i="1"/>
  <c r="D3179" i="1"/>
  <c r="D3195" i="1"/>
  <c r="D3181" i="1"/>
  <c r="D3182" i="1"/>
  <c r="D3209" i="1"/>
  <c r="D3211" i="1"/>
  <c r="D3024" i="1"/>
  <c r="D3186" i="1"/>
  <c r="D3187" i="1"/>
  <c r="D3188" i="1"/>
  <c r="D3189" i="1"/>
  <c r="D3190" i="1"/>
  <c r="D3191" i="1"/>
  <c r="D3192" i="1"/>
  <c r="D3193" i="1"/>
  <c r="D3194" i="1"/>
  <c r="D3214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22" i="1"/>
  <c r="D3210" i="1"/>
  <c r="D3228" i="1"/>
  <c r="D3212" i="1"/>
  <c r="D3213" i="1"/>
  <c r="D3233" i="1"/>
  <c r="D3215" i="1"/>
  <c r="D3216" i="1"/>
  <c r="D3217" i="1"/>
  <c r="D3218" i="1"/>
  <c r="D3219" i="1"/>
  <c r="D3220" i="1"/>
  <c r="D3221" i="1"/>
  <c r="D3234" i="1"/>
  <c r="D3223" i="1"/>
  <c r="D3224" i="1"/>
  <c r="D3225" i="1"/>
  <c r="D3226" i="1"/>
  <c r="D3227" i="1"/>
  <c r="D3235" i="1"/>
  <c r="D3229" i="1"/>
  <c r="D3230" i="1"/>
  <c r="D3231" i="1"/>
  <c r="D3232" i="1"/>
  <c r="D3243" i="1"/>
  <c r="D3017" i="1"/>
  <c r="D3254" i="1"/>
  <c r="D3236" i="1"/>
  <c r="D3237" i="1"/>
  <c r="D3238" i="1"/>
  <c r="D3239" i="1"/>
  <c r="D3240" i="1"/>
  <c r="D3241" i="1"/>
  <c r="D3242" i="1"/>
  <c r="D3261" i="1"/>
  <c r="D3244" i="1"/>
  <c r="D3245" i="1"/>
  <c r="D3246" i="1"/>
  <c r="D3247" i="1"/>
  <c r="D3248" i="1"/>
  <c r="D3249" i="1"/>
  <c r="D3250" i="1"/>
  <c r="D3251" i="1"/>
  <c r="D3252" i="1"/>
  <c r="D3253" i="1"/>
  <c r="D3263" i="1"/>
  <c r="D3255" i="1"/>
  <c r="D3256" i="1"/>
  <c r="D3257" i="1"/>
  <c r="D3258" i="1"/>
  <c r="D3259" i="1"/>
  <c r="D3260" i="1"/>
  <c r="D3269" i="1"/>
  <c r="D3262" i="1"/>
  <c r="D3279" i="1"/>
  <c r="D3264" i="1"/>
  <c r="D3265" i="1"/>
  <c r="D3266" i="1"/>
  <c r="D3267" i="1"/>
  <c r="D3268" i="1"/>
  <c r="D3282" i="1"/>
  <c r="D3270" i="1"/>
  <c r="D3271" i="1"/>
  <c r="D3272" i="1"/>
  <c r="D3273" i="1"/>
  <c r="D3274" i="1"/>
  <c r="D3275" i="1"/>
  <c r="D3276" i="1"/>
  <c r="D3277" i="1"/>
  <c r="D3278" i="1"/>
  <c r="D3285" i="1"/>
  <c r="D3280" i="1"/>
  <c r="D3281" i="1"/>
  <c r="D3287" i="1"/>
  <c r="D3283" i="1"/>
  <c r="D3284" i="1"/>
  <c r="D3288" i="1"/>
  <c r="D3286" i="1"/>
  <c r="D3289" i="1"/>
  <c r="D3707" i="1"/>
  <c r="D3290" i="1"/>
  <c r="D3301" i="1"/>
  <c r="D3291" i="1"/>
  <c r="D3292" i="1"/>
  <c r="D3293" i="1"/>
  <c r="D3294" i="1"/>
  <c r="D3295" i="1"/>
  <c r="D3296" i="1"/>
  <c r="D3297" i="1"/>
  <c r="D3298" i="1"/>
  <c r="D3299" i="1"/>
  <c r="D3300" i="1"/>
  <c r="D3306" i="1"/>
  <c r="D3302" i="1"/>
  <c r="D3303" i="1"/>
  <c r="D3304" i="1"/>
  <c r="D3305" i="1"/>
  <c r="D3312" i="1"/>
  <c r="D3307" i="1"/>
  <c r="D3308" i="1"/>
  <c r="D3309" i="1"/>
  <c r="D3310" i="1"/>
  <c r="D3311" i="1"/>
  <c r="D3077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68" i="1"/>
  <c r="D3326" i="1"/>
  <c r="D3327" i="1"/>
  <c r="D3328" i="1"/>
  <c r="D3329" i="1"/>
  <c r="D3325" i="1"/>
  <c r="D3331" i="1"/>
  <c r="D3330" i="1"/>
  <c r="D3333" i="1"/>
  <c r="D3334" i="1"/>
  <c r="D3335" i="1"/>
  <c r="D3336" i="1"/>
  <c r="D3337" i="1"/>
  <c r="D3332" i="1"/>
  <c r="D3339" i="1"/>
  <c r="D3340" i="1"/>
  <c r="D3341" i="1"/>
  <c r="D3342" i="1"/>
  <c r="D3343" i="1"/>
  <c r="D3344" i="1"/>
  <c r="D3345" i="1"/>
  <c r="D3346" i="1"/>
  <c r="D3347" i="1"/>
  <c r="D3338" i="1"/>
  <c r="D3349" i="1"/>
  <c r="D3350" i="1"/>
  <c r="D3351" i="1"/>
  <c r="D3352" i="1"/>
  <c r="D3353" i="1"/>
  <c r="D3354" i="1"/>
  <c r="D3355" i="1"/>
  <c r="D3356" i="1"/>
  <c r="D3357" i="1"/>
  <c r="D3358" i="1"/>
  <c r="D3359" i="1"/>
  <c r="D3348" i="1"/>
  <c r="D3361" i="1"/>
  <c r="D3362" i="1"/>
  <c r="D3363" i="1"/>
  <c r="D3364" i="1"/>
  <c r="D3365" i="1"/>
  <c r="D3360" i="1"/>
  <c r="D3367" i="1"/>
  <c r="D3368" i="1"/>
  <c r="D3369" i="1"/>
  <c r="D3366" i="1"/>
  <c r="D3371" i="1"/>
  <c r="D3370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72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4" i="1"/>
  <c r="D1341" i="1"/>
  <c r="D3405" i="1"/>
  <c r="D3406" i="1"/>
  <c r="D3407" i="1"/>
  <c r="D3408" i="1"/>
  <c r="D3409" i="1"/>
  <c r="D3410" i="1"/>
  <c r="D3411" i="1"/>
  <c r="D3412" i="1"/>
  <c r="D3413" i="1"/>
  <c r="D3415" i="1"/>
  <c r="D3414" i="1"/>
  <c r="D3417" i="1"/>
  <c r="D3418" i="1"/>
  <c r="D3419" i="1"/>
  <c r="D3420" i="1"/>
  <c r="D3416" i="1"/>
  <c r="D3422" i="1"/>
  <c r="D3421" i="1"/>
  <c r="D3424" i="1"/>
  <c r="D3425" i="1"/>
  <c r="D3426" i="1"/>
  <c r="D3423" i="1"/>
  <c r="D3427" i="1"/>
  <c r="D3429" i="1"/>
  <c r="D3430" i="1"/>
  <c r="D3431" i="1"/>
  <c r="D3432" i="1"/>
  <c r="D3433" i="1"/>
  <c r="D3434" i="1"/>
  <c r="D3435" i="1"/>
  <c r="D3428" i="1"/>
  <c r="D3436" i="1"/>
  <c r="D3438" i="1"/>
  <c r="D3437" i="1"/>
  <c r="D3439" i="1"/>
  <c r="D3440" i="1"/>
  <c r="D3441" i="1"/>
  <c r="D3442" i="1"/>
  <c r="D3443" i="1"/>
  <c r="D3444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45" i="1"/>
  <c r="D3461" i="1"/>
  <c r="D3462" i="1"/>
  <c r="D3463" i="1"/>
  <c r="D3464" i="1"/>
  <c r="D3465" i="1"/>
  <c r="D3466" i="1"/>
  <c r="D3467" i="1"/>
  <c r="D3468" i="1"/>
  <c r="D3460" i="1"/>
  <c r="D3470" i="1"/>
  <c r="D3471" i="1"/>
  <c r="D3472" i="1"/>
  <c r="D3473" i="1"/>
  <c r="D3469" i="1"/>
  <c r="D3474" i="1"/>
  <c r="D3475" i="1"/>
  <c r="D3490" i="1"/>
  <c r="D3491" i="1"/>
  <c r="D3492" i="1"/>
  <c r="D3493" i="1"/>
  <c r="D3494" i="1"/>
  <c r="D3478" i="1"/>
  <c r="D3496" i="1"/>
  <c r="D3497" i="1"/>
  <c r="D3498" i="1"/>
  <c r="D3078" i="1"/>
  <c r="D3500" i="1"/>
  <c r="D3501" i="1"/>
  <c r="D3502" i="1"/>
  <c r="D3503" i="1"/>
  <c r="D3495" i="1"/>
  <c r="D3505" i="1"/>
  <c r="D3506" i="1"/>
  <c r="D3507" i="1"/>
  <c r="D3508" i="1"/>
  <c r="D3509" i="1"/>
  <c r="D3510" i="1"/>
  <c r="D3511" i="1"/>
  <c r="D76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499" i="1"/>
  <c r="D3532" i="1"/>
  <c r="D3533" i="1"/>
  <c r="D3534" i="1"/>
  <c r="D3535" i="1"/>
  <c r="D3504" i="1"/>
  <c r="D3512" i="1"/>
  <c r="D3531" i="1"/>
  <c r="D3536" i="1"/>
  <c r="D3537" i="1"/>
  <c r="D3538" i="1"/>
  <c r="D3540" i="1"/>
  <c r="D3543" i="1"/>
  <c r="D3541" i="1"/>
  <c r="D3542" i="1"/>
  <c r="D3544" i="1"/>
  <c r="D3545" i="1"/>
  <c r="D3548" i="1"/>
  <c r="D3549" i="1"/>
  <c r="D3546" i="1"/>
  <c r="D3551" i="1"/>
  <c r="D3552" i="1"/>
  <c r="D3547" i="1"/>
  <c r="D3550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53" i="1"/>
  <c r="D3554" i="1"/>
  <c r="D3588" i="1"/>
  <c r="D3589" i="1"/>
  <c r="D3590" i="1"/>
  <c r="D3591" i="1"/>
  <c r="D3592" i="1"/>
  <c r="D3586" i="1"/>
  <c r="D3587" i="1"/>
  <c r="D3595" i="1"/>
  <c r="D3596" i="1"/>
  <c r="D3597" i="1"/>
  <c r="D3598" i="1"/>
  <c r="D3599" i="1"/>
  <c r="D3600" i="1"/>
  <c r="D3601" i="1"/>
  <c r="D3602" i="1"/>
  <c r="D3593" i="1"/>
  <c r="D3604" i="1"/>
  <c r="D3605" i="1"/>
  <c r="D3606" i="1"/>
  <c r="D3607" i="1"/>
  <c r="D3594" i="1"/>
  <c r="D3609" i="1"/>
  <c r="D3610" i="1"/>
  <c r="D3611" i="1"/>
  <c r="D3603" i="1"/>
  <c r="D3613" i="1"/>
  <c r="D3614" i="1"/>
  <c r="D3615" i="1"/>
  <c r="D3616" i="1"/>
  <c r="D3617" i="1"/>
  <c r="D3618" i="1"/>
  <c r="D3619" i="1"/>
  <c r="D3608" i="1"/>
  <c r="D3621" i="1"/>
  <c r="D3622" i="1"/>
  <c r="D3623" i="1"/>
  <c r="D3624" i="1"/>
  <c r="D3625" i="1"/>
  <c r="D3626" i="1"/>
  <c r="D3612" i="1"/>
  <c r="D3628" i="1"/>
  <c r="D3620" i="1"/>
  <c r="D3630" i="1"/>
  <c r="D3631" i="1"/>
  <c r="D3632" i="1"/>
  <c r="D3633" i="1"/>
  <c r="D3634" i="1"/>
  <c r="D3635" i="1"/>
  <c r="D3636" i="1"/>
  <c r="D3627" i="1"/>
  <c r="D3638" i="1"/>
  <c r="D3639" i="1"/>
  <c r="D3640" i="1"/>
  <c r="D3629" i="1"/>
  <c r="D3642" i="1"/>
  <c r="D3643" i="1"/>
  <c r="D3644" i="1"/>
  <c r="D3645" i="1"/>
  <c r="D3646" i="1"/>
  <c r="D3637" i="1"/>
  <c r="D3648" i="1"/>
  <c r="D3649" i="1"/>
  <c r="D3650" i="1"/>
  <c r="D3641" i="1"/>
  <c r="D3652" i="1"/>
  <c r="D3653" i="1"/>
  <c r="D3654" i="1"/>
  <c r="D3651" i="1"/>
  <c r="D3656" i="1"/>
  <c r="D3655" i="1"/>
  <c r="D3657" i="1"/>
  <c r="D3658" i="1"/>
  <c r="D3659" i="1"/>
  <c r="D3660" i="1"/>
  <c r="D3661" i="1"/>
  <c r="D3662" i="1"/>
  <c r="D3663" i="1"/>
  <c r="D3665" i="1"/>
  <c r="D3664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7" i="1"/>
  <c r="D3696" i="1"/>
  <c r="D3698" i="1"/>
  <c r="D3699" i="1"/>
  <c r="D3700" i="1"/>
  <c r="D3701" i="1"/>
  <c r="D3702" i="1"/>
  <c r="D3703" i="1"/>
  <c r="D3704" i="1"/>
  <c r="D3705" i="1"/>
  <c r="D3706" i="1"/>
  <c r="D3708" i="1"/>
  <c r="D3709" i="1"/>
  <c r="D3018" i="1"/>
  <c r="D3711" i="1"/>
  <c r="D3712" i="1"/>
  <c r="D3713" i="1"/>
  <c r="D3714" i="1"/>
  <c r="D3715" i="1"/>
  <c r="D3716" i="1"/>
  <c r="D3717" i="1"/>
  <c r="D439" i="1"/>
  <c r="D3710" i="1"/>
  <c r="D3718" i="1"/>
  <c r="D3719" i="1"/>
  <c r="D3720" i="1"/>
  <c r="D3721" i="1"/>
  <c r="D3724" i="1"/>
  <c r="D3722" i="1"/>
  <c r="D3723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3" i="1"/>
  <c r="D3741" i="1"/>
  <c r="D3742" i="1"/>
  <c r="D3744" i="1"/>
  <c r="D3745" i="1"/>
  <c r="D3746" i="1"/>
  <c r="D3747" i="1"/>
  <c r="D3748" i="1"/>
  <c r="D3749" i="1"/>
  <c r="D3750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66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767" i="1"/>
  <c r="D3811" i="1"/>
  <c r="D3812" i="1"/>
  <c r="D3785" i="1"/>
  <c r="D3814" i="1"/>
  <c r="D3815" i="1"/>
  <c r="D3816" i="1"/>
  <c r="D3817" i="1"/>
  <c r="D3818" i="1"/>
  <c r="D3819" i="1"/>
  <c r="D3820" i="1"/>
  <c r="D3821" i="1"/>
  <c r="D3822" i="1"/>
  <c r="D3810" i="1"/>
  <c r="D3824" i="1"/>
  <c r="D3825" i="1"/>
  <c r="D3826" i="1"/>
  <c r="D3827" i="1"/>
  <c r="D3828" i="1"/>
  <c r="D3829" i="1"/>
  <c r="D3830" i="1"/>
  <c r="D3813" i="1"/>
  <c r="D3832" i="1"/>
  <c r="D3833" i="1"/>
  <c r="D3834" i="1"/>
  <c r="D3835" i="1"/>
  <c r="D3836" i="1"/>
  <c r="D3837" i="1"/>
  <c r="D3838" i="1"/>
  <c r="D3823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831" i="1"/>
  <c r="D3909" i="1"/>
  <c r="D3910" i="1"/>
  <c r="D3911" i="1"/>
  <c r="D3912" i="1"/>
  <c r="D2" i="1"/>
  <c r="C3476" i="1" a="1"/>
  <c r="C3476" i="1" s="1"/>
  <c r="D3476" i="1" s="1"/>
  <c r="C3477" i="1" a="1"/>
  <c r="C3477" i="1" s="1"/>
  <c r="D3477" i="1" s="1"/>
  <c r="C3479" i="1" a="1"/>
  <c r="C3479" i="1" s="1"/>
  <c r="D3479" i="1" s="1"/>
  <c r="C3480" i="1" a="1"/>
  <c r="C3480" i="1" s="1"/>
  <c r="D3480" i="1" s="1"/>
  <c r="C3481" i="1" a="1"/>
  <c r="C3481" i="1" s="1"/>
  <c r="D3481" i="1" s="1"/>
  <c r="C3482" i="1" a="1"/>
  <c r="C3482" i="1" s="1"/>
  <c r="D3482" i="1" s="1"/>
  <c r="C3483" i="1" a="1"/>
  <c r="C3483" i="1" s="1"/>
  <c r="D3483" i="1" s="1"/>
  <c r="C3484" i="1" a="1"/>
  <c r="C3484" i="1" s="1"/>
  <c r="D3484" i="1" s="1"/>
  <c r="C3485" i="1" a="1"/>
  <c r="C3485" i="1" s="1"/>
  <c r="D3485" i="1" s="1"/>
  <c r="C3486" i="1" a="1"/>
  <c r="C3486" i="1" s="1"/>
  <c r="D3486" i="1" s="1"/>
  <c r="C3487" i="1" a="1"/>
  <c r="C3487" i="1" s="1"/>
  <c r="D3487" i="1" s="1"/>
  <c r="C3488" i="1" a="1"/>
  <c r="C3488" i="1" s="1"/>
  <c r="D3488" i="1" s="1"/>
  <c r="C3489" i="1" a="1"/>
  <c r="C3489" i="1" s="1"/>
  <c r="D3489" i="1" s="1"/>
  <c r="E3480" i="1" l="1"/>
  <c r="E3486" i="1"/>
  <c r="E3485" i="1"/>
  <c r="E3484" i="1"/>
  <c r="E3483" i="1"/>
  <c r="E3482" i="1"/>
  <c r="E3481" i="1"/>
  <c r="E3479" i="1"/>
  <c r="E3489" i="1"/>
  <c r="E3477" i="1"/>
  <c r="E3488" i="1"/>
  <c r="E347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<sst xmlns="http://schemas.openxmlformats.org/spreadsheetml/2006/main" count="23688" uniqueCount="7891">
  <si>
    <t>Z:\Grateful Dead\# Dick's Picks #\01 - 1973-12-19 [Curtis Hixon Hall, Tampa, FL]\01 Here Comes Sunshine.flac</t>
  </si>
  <si>
    <t>Here Comes Sunshine</t>
  </si>
  <si>
    <t>Z:\Grateful Dead\# Dick's Picks #\01 - 1973-12-19 [Curtis Hixon Hall, Tampa, FL]\02 Big River.flac</t>
  </si>
  <si>
    <t>Big River</t>
  </si>
  <si>
    <t>Z:\Grateful Dead\# Dick's Picks #\01 - 1973-12-19 [Curtis Hixon Hall, Tampa, FL]\03 Mississippi Half-Step Uptown Toodleloo.flac</t>
  </si>
  <si>
    <t>Mississippi Half-Step Uptown Toodleloo</t>
  </si>
  <si>
    <t>Z:\Grateful Dead\# Dick's Picks #\01 - 1973-12-19 [Curtis Hixon Hall, Tampa, FL]\04 Weather Report Suite.flac</t>
  </si>
  <si>
    <t>Weather Report Suite</t>
  </si>
  <si>
    <t>Z:\Grateful Dead\# Dick's Picks #\01 - 1973-12-19 [Curtis Hixon Hall, Tampa, FL]\05 Big Railroad Blues.flac</t>
  </si>
  <si>
    <t>Big Railroad Blues</t>
  </si>
  <si>
    <t>Z:\Grateful Dead\# Dick's Picks #\01 - 1973-12-19 [Curtis Hixon Hall, Tampa, FL]\06 Playing in the Band.flac</t>
  </si>
  <si>
    <t>Playing in the Band</t>
  </si>
  <si>
    <t>Z:\Grateful Dead\# Dick's Picks #\01 - 1973-12-19 [Curtis Hixon Hall, Tampa, FL]\07 He's Gone.flac</t>
  </si>
  <si>
    <t>He's Gone</t>
  </si>
  <si>
    <t>Z:\Grateful Dead\# Dick's Picks #\01 - 1973-12-19 [Curtis Hixon Hall, Tampa, FL]\08 Truckin'.flac</t>
  </si>
  <si>
    <t>Truckin'</t>
  </si>
  <si>
    <t>Z:\Grateful Dead\# Dick's Picks #\01 - 1973-12-19 [Curtis Hixon Hall, Tampa, FL]\09 Nobody's Fault But Mine.flac</t>
  </si>
  <si>
    <t>Nobody's Fault But Mine</t>
  </si>
  <si>
    <t>Z:\Grateful Dead\# Dick's Picks #\01 - 1973-12-19 [Curtis Hixon Hall, Tampa, FL]\10 Jam.flac</t>
  </si>
  <si>
    <t>Jam</t>
  </si>
  <si>
    <t>Z:\Grateful Dead\# Dick's Picks #\01 - 1973-12-19 [Curtis Hixon Hall, Tampa, FL]\11 Other One.flac</t>
  </si>
  <si>
    <t>Other One</t>
  </si>
  <si>
    <t>Z:\Grateful Dead\# Dick's Picks #\01 - 1973-12-19 [Curtis Hixon Hall, Tampa, FL]\12 Jam.flac</t>
  </si>
  <si>
    <t>Z:\Grateful Dead\# Dick's Picks #\01 - 1973-12-19 [Curtis Hixon Hall, Tampa, FL]\13 Stella Blue.flac</t>
  </si>
  <si>
    <t>Stella Blue</t>
  </si>
  <si>
    <t>Z:\Grateful Dead\# Dick's Picks #\01 - 1973-12-19 [Curtis Hixon Hall, Tampa, FL]\14 Around and Around.flac</t>
  </si>
  <si>
    <t>Around and Around</t>
  </si>
  <si>
    <t>Z:\Grateful Dead\# Dick's Picks #\02 - 1971-10-31 [Ohio Theatre, Columbus, OH]\01 Dark Star-Jam.flac</t>
  </si>
  <si>
    <t>Dark Star-Jam</t>
  </si>
  <si>
    <t>Z:\Grateful Dead\# Dick's Picks #\02 - 1971-10-31 [Ohio Theatre, Columbus, OH]\02 Sugar Magnolia.flac</t>
  </si>
  <si>
    <t>Sugar Magnolia</t>
  </si>
  <si>
    <t>Z:\Grateful Dead\# Dick's Picks #\02 - 1971-10-31 [Ohio Theatre, Columbus, OH]\03 St. Stephen.flac</t>
  </si>
  <si>
    <t>St. Stephen</t>
  </si>
  <si>
    <t>Z:\Grateful Dead\# Dick's Picks #\02 - 1971-10-31 [Ohio Theatre, Columbus, OH]\04 Not Fade Away.flac</t>
  </si>
  <si>
    <t>Not Fade Away</t>
  </si>
  <si>
    <t>Z:\Grateful Dead\# Dick's Picks #\02 - 1971-10-31 [Ohio Theatre, Columbus, OH]\05 Goin' Down the Road Feeling Bad.flac</t>
  </si>
  <si>
    <t>Goin' Down the Road Feeling Bad</t>
  </si>
  <si>
    <t>Z:\Grateful Dead\# Dick's Picks #\02 - 1971-10-31 [Ohio Theatre, Columbus, OH]\06 Not Fade Away.flac</t>
  </si>
  <si>
    <t>Z:\Grateful Dead\# Dick's Picks #\02 - 1971-10-31 [Ohio Theatre, Columbus, OH] 24 Bit (96-2) Vinyl rip\01 - Dark Star - Jam.flac</t>
  </si>
  <si>
    <t>Dark Star/Jam</t>
  </si>
  <si>
    <t>Z:\Grateful Dead\# Dick's Picks #\02 - 1971-10-31 [Ohio Theatre, Columbus, OH] 24 Bit (96-2) Vinyl rip\02 - Sugar Magnolia.flac</t>
  </si>
  <si>
    <t>Z:\Grateful Dead\# Dick's Picks #\02 - 1971-10-31 [Ohio Theatre, Columbus, OH] 24 Bit (96-2) Vinyl rip\03 - St. Stephen.flac</t>
  </si>
  <si>
    <t>Z:\Grateful Dead\# Dick's Picks #\02 - 1971-10-31 [Ohio Theatre, Columbus, OH] 24 Bit (96-2) Vinyl rip\04 - Not Fade Away.flac</t>
  </si>
  <si>
    <t>Z:\Grateful Dead\# Dick's Picks #\02 - 1971-10-31 [Ohio Theatre, Columbus, OH] 24 Bit (96-2) Vinyl rip\05 - Goin' Down The Road Feeling Bad.flac</t>
  </si>
  <si>
    <t>Goin' Down The Road Feeling Bad</t>
  </si>
  <si>
    <t>Z:\Grateful Dead\# Dick's Picks #\02 - 1971-10-31 [Ohio Theatre, Columbus, OH] 24 Bit (96-2) Vinyl rip\06 - Not Fade Away.flac</t>
  </si>
  <si>
    <t>Z:\Grateful Dead\# Dick's Picks #\03 - 1977-05-22 [Sportatorium, Pembroke Pines, FL]\101 Funiculì Funicula.flac</t>
  </si>
  <si>
    <t>Funiculì Funicula</t>
  </si>
  <si>
    <t>Z:\Grateful Dead\# Dick's Picks #\03 - 1977-05-22 [Sportatorium, Pembroke Pines, FL]\102 The Music Never Stopped.flac</t>
  </si>
  <si>
    <t>The Music Never Stopped</t>
  </si>
  <si>
    <t>Z:\Grateful Dead\# Dick's Picks #\03 - 1977-05-22 [Sportatorium, Pembroke Pines, FL]\103 Sugaree.flac</t>
  </si>
  <si>
    <t>Sugaree</t>
  </si>
  <si>
    <t>Z:\Grateful Dead\# Dick's Picks #\03 - 1977-05-22 [Sportatorium, Pembroke Pines, FL]\104 Lazy Lightning.flac</t>
  </si>
  <si>
    <t>Lazy Lightning</t>
  </si>
  <si>
    <t>Z:\Grateful Dead\# Dick's Picks #\03 - 1977-05-22 [Sportatorium, Pembroke Pines, FL]\105 Supplication.flac</t>
  </si>
  <si>
    <t>Supplication</t>
  </si>
  <si>
    <t>Z:\Grateful Dead\# Dick's Picks #\03 - 1977-05-22 [Sportatorium, Pembroke Pines, FL]\106 Dancing in the Street.flac</t>
  </si>
  <si>
    <t>Dancing in the Street</t>
  </si>
  <si>
    <t>Z:\Grateful Dead\# Dick's Picks #\03 - 1977-05-22 [Sportatorium, Pembroke Pines, FL]\107 Help on the Way.flac</t>
  </si>
  <si>
    <t>Help on the Way</t>
  </si>
  <si>
    <t>Z:\Grateful Dead\# Dick's Picks #\03 - 1977-05-22 [Sportatorium, Pembroke Pines, FL]\108 Slipknot!.flac</t>
  </si>
  <si>
    <t>Slipknot!</t>
  </si>
  <si>
    <t>Z:\Grateful Dead\# Dick's Picks #\03 - 1977-05-22 [Sportatorium, Pembroke Pines, FL]\109 Franklin's Tower.flac</t>
  </si>
  <si>
    <t>Franklin's Tower</t>
  </si>
  <si>
    <t>Z:\Grateful Dead\# Dick's Picks #\03 - 1977-05-22 [Sportatorium, Pembroke Pines, FL]\201 Samson and Delilah.flac</t>
  </si>
  <si>
    <t>Samson and Delilah</t>
  </si>
  <si>
    <t>Z:\Grateful Dead\# Dick's Picks #\03 - 1977-05-22 [Sportatorium, Pembroke Pines, FL]\202 Sunrise.flac</t>
  </si>
  <si>
    <t>Sunrise</t>
  </si>
  <si>
    <t>Z:\Grateful Dead\# Dick's Picks #\03 - 1977-05-22 [Sportatorium, Pembroke Pines, FL]\203 Estimated Prophet.flac</t>
  </si>
  <si>
    <t>Estimated Prophet</t>
  </si>
  <si>
    <t>Z:\Grateful Dead\# Dick's Picks #\03 - 1977-05-22 [Sportatorium, Pembroke Pines, FL]\204 Eyes of the World.flac</t>
  </si>
  <si>
    <t>Eyes of the World</t>
  </si>
  <si>
    <t>Z:\Grateful Dead\# Dick's Picks #\03 - 1977-05-22 [Sportatorium, Pembroke Pines, FL]\205 Wharf Rat.flac</t>
  </si>
  <si>
    <t>Wharf Rat</t>
  </si>
  <si>
    <t>Z:\Grateful Dead\# Dick's Picks #\03 - 1977-05-22 [Sportatorium, Pembroke Pines, FL]\206 Terrapin Station.flac</t>
  </si>
  <si>
    <t>Terrapin Station</t>
  </si>
  <si>
    <t>Z:\Grateful Dead\# Dick's Picks #\03 - 1977-05-22 [Sportatorium, Pembroke Pines, FL]\207 (Walk Me Out in the ) Morning Dew.flac</t>
  </si>
  <si>
    <t>(Walk Me Out in the ) Morning Dew</t>
  </si>
  <si>
    <t>Z:\Grateful Dead\# Dick's Picks #\04 - 1970-02-13 [ Fillmore East, New York, NY]\101 Intro by Zacherle.flac</t>
  </si>
  <si>
    <t>Intro by Zacherle</t>
  </si>
  <si>
    <t>Z:\Grateful Dead\# Dick's Picks #\04 - 1970-02-13 [ Fillmore East, New York, NY]\102 Casey Jones.flac</t>
  </si>
  <si>
    <t>Casey Jones</t>
  </si>
  <si>
    <t>Z:\Grateful Dead\# Dick's Picks #\04 - 1970-02-13 [ Fillmore East, New York, NY]\103 Dancing in the Street.flac</t>
  </si>
  <si>
    <t>Z:\Grateful Dead\# Dick's Picks #\04 - 1970-02-13 [ Fillmore East, New York, NY]\104 China Cat Sunflower.flac</t>
  </si>
  <si>
    <t>China Cat Sunflower</t>
  </si>
  <si>
    <t>Z:\Grateful Dead\# Dick's Picks #\04 - 1970-02-13 [ Fillmore East, New York, NY]\105 I Know You Rider.flac</t>
  </si>
  <si>
    <t>I Know You Rider</t>
  </si>
  <si>
    <t>Z:\Grateful Dead\# Dick's Picks #\04 - 1970-02-13 [ Fillmore East, New York, NY]\106 High Time.flac</t>
  </si>
  <si>
    <t>High Time</t>
  </si>
  <si>
    <t>Z:\Grateful Dead\# Dick's Picks #\04 - 1970-02-13 [ Fillmore East, New York, NY]\107 Dire Wolf.flac</t>
  </si>
  <si>
    <t>Dire Wolf</t>
  </si>
  <si>
    <t>Z:\Grateful Dead\# Dick's Picks #\04 - 1970-02-13 [ Fillmore East, New York, NY]\108 Dark Star.flac</t>
  </si>
  <si>
    <t>Dark Star</t>
  </si>
  <si>
    <t>Z:\Grateful Dead\# Dick's Picks #\04 - 1970-02-13 [ Fillmore East, New York, NY]\201 That's It for the Other One.flac</t>
  </si>
  <si>
    <t>That's It for the Other One</t>
  </si>
  <si>
    <t>Z:\Grateful Dead\# Dick's Picks #\04 - 1970-02-13 [ Fillmore East, New York, NY]\202 Turn on Your Love Light.flac</t>
  </si>
  <si>
    <t>Turn on Your Love Light</t>
  </si>
  <si>
    <t>Z:\Grateful Dead\# Dick's Picks #\04 - 1970-02-13 [ Fillmore East, New York, NY]\301 Alligator.flac</t>
  </si>
  <si>
    <t>Alligator</t>
  </si>
  <si>
    <t>Z:\Grateful Dead\# Dick's Picks #\04 - 1970-02-13 [ Fillmore East, New York, NY]\302 Drums.flac</t>
  </si>
  <si>
    <t>Drums</t>
  </si>
  <si>
    <t>Z:\Grateful Dead\# Dick's Picks #\04 - 1970-02-13 [ Fillmore East, New York, NY]\303 Me &amp; My Uncle.flac</t>
  </si>
  <si>
    <t>Me &amp; My Uncle</t>
  </si>
  <si>
    <t>Z:\Grateful Dead\# Dick's Picks #\04 - 1970-02-13 [ Fillmore East, New York, NY]\304 Not Fade Away.flac</t>
  </si>
  <si>
    <t>Z:\Grateful Dead\# Dick's Picks #\04 - 1970-02-13 [ Fillmore East, New York, NY]\305 Mason's Children.flac</t>
  </si>
  <si>
    <t>Mason's Children</t>
  </si>
  <si>
    <t>Z:\Grateful Dead\# Dick's Picks #\04 - 1970-02-13 [ Fillmore East, New York, NY]\306 Caution (Do Not Stop on Tracks).flac</t>
  </si>
  <si>
    <t>Caution (Do Not Stop on Tracks)</t>
  </si>
  <si>
    <t>Z:\Grateful Dead\# Dick's Picks #\04 - 1970-02-13 [ Fillmore East, New York, NY]\307 Feedback.flac</t>
  </si>
  <si>
    <t>Feedback</t>
  </si>
  <si>
    <t>Z:\Grateful Dead\# Dick's Picks #\04 - 1970-02-13 [ Fillmore East, New York, NY]\308 We Bid You Goodnight.flac</t>
  </si>
  <si>
    <t>We Bid You Goodnight</t>
  </si>
  <si>
    <t>Z:\Grateful Dead\# Dick's Picks #\05 - 1979-12-26 [Oakland Auditorium Arena, Oakland, CA]\101 Cold Rain and Snow.flac</t>
  </si>
  <si>
    <t>Cold Rain and Snow</t>
  </si>
  <si>
    <t>Z:\Grateful Dead\# Dick's Picks #\05 - 1979-12-26 [Oakland Auditorium Arena, Oakland, CA]\102 C.C. Rider.flac</t>
  </si>
  <si>
    <t>C.C. Rider</t>
  </si>
  <si>
    <t>Z:\Grateful Dead\# Dick's Picks #\05 - 1979-12-26 [Oakland Auditorium Arena, Oakland, CA]\103 Dire Wolf.flac</t>
  </si>
  <si>
    <t>Z:\Grateful Dead\# Dick's Picks #\05 - 1979-12-26 [Oakland Auditorium Arena, Oakland, CA]\104 Me &amp; My Uncle.flac</t>
  </si>
  <si>
    <t>Z:\Grateful Dead\# Dick's Picks #\05 - 1979-12-26 [Oakland Auditorium Arena, Oakland, CA]\105 Big River.flac</t>
  </si>
  <si>
    <t>Z:\Grateful Dead\# Dick's Picks #\05 - 1979-12-26 [Oakland Auditorium Arena, Oakland, CA]\106 Brown-Eyed Woman.flac</t>
  </si>
  <si>
    <t>Brown-Eyed Woman</t>
  </si>
  <si>
    <t>Z:\Grateful Dead\# Dick's Picks #\05 - 1979-12-26 [Oakland Auditorium Arena, Oakland, CA]\107 New Minglewood Blues.flac</t>
  </si>
  <si>
    <t>New Minglewood Blues</t>
  </si>
  <si>
    <t>Z:\Grateful Dead\# Dick's Picks #\05 - 1979-12-26 [Oakland Auditorium Arena, Oakland, CA]\108 Friend of the Devil.flac</t>
  </si>
  <si>
    <t>Friend of the Devil</t>
  </si>
  <si>
    <t>Z:\Grateful Dead\# Dick's Picks #\05 - 1979-12-26 [Oakland Auditorium Arena, Oakland, CA]\109 Looks Like Rain.flac</t>
  </si>
  <si>
    <t>Looks Like Rain</t>
  </si>
  <si>
    <t>Z:\Grateful Dead\# Dick's Picks #\05 - 1979-12-26 [Oakland Auditorium Arena, Oakland, CA]\110 Alabama Getaway.flac</t>
  </si>
  <si>
    <t>Alabama Getaway</t>
  </si>
  <si>
    <t>Z:\Grateful Dead\# Dick's Picks #\05 - 1979-12-26 [Oakland Auditorium Arena, Oakland, CA]\111 Promised Land.flac</t>
  </si>
  <si>
    <t>Promised Land</t>
  </si>
  <si>
    <t>Z:\Grateful Dead\# Dick's Picks #\05 - 1979-12-26 [Oakland Auditorium Arena, Oakland, CA]\201 Drums.flac</t>
  </si>
  <si>
    <t>Z:\Grateful Dead\# Dick's Picks #\05 - 1979-12-26 [Oakland Auditorium Arena, Oakland, CA]\202 Uncle John's Band.flac</t>
  </si>
  <si>
    <t>Uncle John's Band</t>
  </si>
  <si>
    <t>Z:\Grateful Dead\# Dick's Picks #\05 - 1979-12-26 [Oakland Auditorium Arena, Oakland, CA]\203 Estimated Prophet.flac</t>
  </si>
  <si>
    <t>Z:\Grateful Dead\# Dick's Picks #\05 - 1979-12-26 [Oakland Auditorium Arena, Oakland, CA]\204 Jam, No. 1.flac</t>
  </si>
  <si>
    <t>Jam, No. 1</t>
  </si>
  <si>
    <t>Z:\Grateful Dead\# Dick's Picks #\05 - 1979-12-26 [Oakland Auditorium Arena, Oakland, CA]\205 He's Gone.flac</t>
  </si>
  <si>
    <t>Z:\Grateful Dead\# Dick's Picks #\05 - 1979-12-26 [Oakland Auditorium Arena, Oakland, CA]\206 The Other One.flac</t>
  </si>
  <si>
    <t>The Other One</t>
  </si>
  <si>
    <t>Z:\Grateful Dead\# Dick's Picks #\05 - 1979-12-26 [Oakland Auditorium Arena, Oakland, CA]\301 Drums.flac</t>
  </si>
  <si>
    <t>Z:\Grateful Dead\# Dick's Picks #\05 - 1979-12-26 [Oakland Auditorium Arena, Oakland, CA]\302 Jam, No. 2.flac</t>
  </si>
  <si>
    <t>Jam, No. 2</t>
  </si>
  <si>
    <t>Z:\Grateful Dead\# Dick's Picks #\05 - 1979-12-26 [Oakland Auditorium Arena, Oakland, CA]\303 Not Fade Away.flac</t>
  </si>
  <si>
    <t>Z:\Grateful Dead\# Dick's Picks #\05 - 1979-12-26 [Oakland Auditorium Arena, Oakland, CA]\304 Brokedown Palace.flac</t>
  </si>
  <si>
    <t>Brokedown Palace</t>
  </si>
  <si>
    <t>Z:\Grateful Dead\# Dick's Picks #\05 - 1979-12-26 [Oakland Auditorium Arena, Oakland, CA]\305 Around and Around.flac</t>
  </si>
  <si>
    <t>Z:\Grateful Dead\# Dick's Picks #\05 - 1979-12-26 [Oakland Auditorium Arena, Oakland, CA]\306 Johnny B. Goode.flac</t>
  </si>
  <si>
    <t>Johnny B. Goode</t>
  </si>
  <si>
    <t>Z:\Grateful Dead\# Dick's Picks #\05 - 1979-12-26 [Oakland Auditorium Arena, Oakland, CA]\307 Shakedown Street.flac</t>
  </si>
  <si>
    <t>Shakedown Street</t>
  </si>
  <si>
    <t>Z:\Grateful Dead\# Dick's Picks #\05 - 1979-12-26 [Oakland Auditorium Arena, Oakland, CA]\308 Uncle John's Band.flac</t>
  </si>
  <si>
    <t>Z:\Grateful Dead\# Dick's Picks #\06 - 1983-10-14 [Hartford Civic Center, Hartford, CT]\101 Alabama Getaway.flac</t>
  </si>
  <si>
    <t>Z:\Grateful Dead\# Dick's Picks #\06 - 1983-10-14 [Hartford Civic Center, Hartford, CT]\102 Greatest Story Ever Told.flac</t>
  </si>
  <si>
    <t>Greatest Story Ever Told</t>
  </si>
  <si>
    <t>Z:\Grateful Dead\# Dick's Picks #\06 - 1983-10-14 [Hartford Civic Center, Hartford, CT]\103 They Love Each Other.flac</t>
  </si>
  <si>
    <t>They Love Each Other</t>
  </si>
  <si>
    <t>Z:\Grateful Dead\# Dick's Picks #\06 - 1983-10-14 [Hartford Civic Center, Hartford, CT]\104 Mama Tried.flac</t>
  </si>
  <si>
    <t>Mama Tried</t>
  </si>
  <si>
    <t>Z:\Grateful Dead\# Dick's Picks #\06 - 1983-10-14 [Hartford Civic Center, Hartford, CT]\105 Big River.flac</t>
  </si>
  <si>
    <t>Z:\Grateful Dead\# Dick's Picks #\06 - 1983-10-14 [Hartford Civic Center, Hartford, CT]\106 Althea.flac</t>
  </si>
  <si>
    <t>Althea</t>
  </si>
  <si>
    <t>Z:\Grateful Dead\# Dick's Picks #\06 - 1983-10-14 [Hartford Civic Center, Hartford, CT]\107 C.C. Rider.flac</t>
  </si>
  <si>
    <t>Z:\Grateful Dead\# Dick's Picks #\06 - 1983-10-14 [Hartford Civic Center, Hartford, CT]\108 Tennessee Jed.flac</t>
  </si>
  <si>
    <t>Tennessee Jed</t>
  </si>
  <si>
    <t>Z:\Grateful Dead\# Dick's Picks #\06 - 1983-10-14 [Hartford Civic Center, Hartford, CT]\109 Hell in a Bucket.flac</t>
  </si>
  <si>
    <t>Hell in a Bucket</t>
  </si>
  <si>
    <t>Z:\Grateful Dead\# Dick's Picks #\06 - 1983-10-14 [Hartford Civic Center, Hartford, CT]\110 Keep Your Day Job.flac</t>
  </si>
  <si>
    <t>Keep Your Day Job</t>
  </si>
  <si>
    <t>Z:\Grateful Dead\# Dick's Picks #\06 - 1983-10-14 [Hartford Civic Center, Hartford, CT]\201 Scarlet Begonias.flac</t>
  </si>
  <si>
    <t>Scarlet Begonias</t>
  </si>
  <si>
    <t>Z:\Grateful Dead\# Dick's Picks #\06 - 1983-10-14 [Hartford Civic Center, Hartford, CT]\202 Fire on the Mountain.flac</t>
  </si>
  <si>
    <t>Fire on the Mountain</t>
  </si>
  <si>
    <t>Z:\Grateful Dead\# Dick's Picks #\06 - 1983-10-14 [Hartford Civic Center, Hartford, CT]\203 Estimated Prophet.flac</t>
  </si>
  <si>
    <t>Z:\Grateful Dead\# Dick's Picks #\06 - 1983-10-14 [Hartford Civic Center, Hartford, CT]\204 Eyes of the World.flac</t>
  </si>
  <si>
    <t>Z:\Grateful Dead\# Dick's Picks #\06 - 1983-10-14 [Hartford Civic Center, Hartford, CT]\301 Drums.flac</t>
  </si>
  <si>
    <t>Z:\Grateful Dead\# Dick's Picks #\06 - 1983-10-14 [Hartford Civic Center, Hartford, CT]\302 Spanish Jam.flac</t>
  </si>
  <si>
    <t>Spanish Jam</t>
  </si>
  <si>
    <t>Z:\Grateful Dead\# Dick's Picks #\06 - 1983-10-14 [Hartford Civic Center, Hartford, CT]\303 The Other One.flac</t>
  </si>
  <si>
    <t>Z:\Grateful Dead\# Dick's Picks #\06 - 1983-10-14 [Hartford Civic Center, Hartford, CT]\304 Stella Blue.flac</t>
  </si>
  <si>
    <t>Z:\Grateful Dead\# Dick's Picks #\06 - 1983-10-14 [Hartford Civic Center, Hartford, CT]\305 Sugar Magnolia (Encore).flac</t>
  </si>
  <si>
    <t>Sugar Magnolia (Encore)</t>
  </si>
  <si>
    <t>Z:\Grateful Dead\# Dick's Picks #\06 - 1983-10-14 [Hartford Civic Center, Hartford, CT]\306 U.S. Blues.flac</t>
  </si>
  <si>
    <t>U.S. Blues</t>
  </si>
  <si>
    <t>Z:\Grateful Dead\# Dick's Picks #\07 - 1974-09-09 [Alexandra Palace, London, England]\101 Scarlet Begonias.flac</t>
  </si>
  <si>
    <t>Z:\Grateful Dead\# Dick's Picks #\07 - 1974-09-09 [Alexandra Palace, London, England]\102 Mexicali Blues.flac</t>
  </si>
  <si>
    <t>Mexicali Blues</t>
  </si>
  <si>
    <t>Z:\Grateful Dead\# Dick's Picks #\07 - 1974-09-09 [Alexandra Palace, London, England]\103 Row Jimmy.flac</t>
  </si>
  <si>
    <t>Row Jimmy</t>
  </si>
  <si>
    <t>Z:\Grateful Dead\# Dick's Picks #\07 - 1974-09-09 [Alexandra Palace, London, England]\104 Black-Throated Wind.flac</t>
  </si>
  <si>
    <t>Black-Throated Wind</t>
  </si>
  <si>
    <t>Z:\Grateful Dead\# Dick's Picks #\07 - 1974-09-09 [Alexandra Palace, London, England]\105 Mississippi Half-Step Uptown Toodleloo.flac</t>
  </si>
  <si>
    <t>Z:\Grateful Dead\# Dick's Picks #\07 - 1974-09-09 [Alexandra Palace, London, England]\106 Beat It on Down the Line.flac</t>
  </si>
  <si>
    <t>Beat It on Down the Line</t>
  </si>
  <si>
    <t>Z:\Grateful Dead\# Dick's Picks #\07 - 1974-09-09 [Alexandra Palace, London, England]\107 Tennessee Jed.flac</t>
  </si>
  <si>
    <t>Z:\Grateful Dead\# Dick's Picks #\07 - 1974-09-09 [Alexandra Palace, London, England]\108 Playing in the Band.flac</t>
  </si>
  <si>
    <t>Z:\Grateful Dead\# Dick's Picks #\07 - 1974-09-09 [Alexandra Palace, London, England]\201 Weather Report Suite.flac</t>
  </si>
  <si>
    <t>Z:\Grateful Dead\# Dick's Picks #\07 - 1974-09-09 [Alexandra Palace, London, England]\202 Stella Blue.flac</t>
  </si>
  <si>
    <t>Z:\Grateful Dead\# Dick's Picks #\07 - 1974-09-09 [Alexandra Palace, London, England]\203 Jack Straw.flac</t>
  </si>
  <si>
    <t>Jack Straw</t>
  </si>
  <si>
    <t>Z:\Grateful Dead\# Dick's Picks #\07 - 1974-09-09 [Alexandra Palace, London, England]\204 Brown-Eyed Woman.flac</t>
  </si>
  <si>
    <t>Z:\Grateful Dead\# Dick's Picks #\07 - 1974-09-09 [Alexandra Palace, London, England]\205 Big River.flac</t>
  </si>
  <si>
    <t>Z:\Grateful Dead\# Dick's Picks #\07 - 1974-09-09 [Alexandra Palace, London, England]\206 Truckin'.flac</t>
  </si>
  <si>
    <t>Z:\Grateful Dead\# Dick's Picks #\07 - 1974-09-09 [Alexandra Palace, London, England]\207 Wood Green Jam.flac</t>
  </si>
  <si>
    <t>Wood Green Jam</t>
  </si>
  <si>
    <t>Z:\Grateful Dead\# Dick's Picks #\07 - 1974-09-09 [Alexandra Palace, London, England]\208 Wharf Rat.flac</t>
  </si>
  <si>
    <t>Z:\Grateful Dead\# Dick's Picks #\07 - 1974-09-09 [Alexandra Palace, London, England]\301 Me &amp; My Uncle.flac</t>
  </si>
  <si>
    <t>Z:\Grateful Dead\# Dick's Picks #\07 - 1974-09-09 [Alexandra Palace, London, England]\302 Not Fade Away.flac</t>
  </si>
  <si>
    <t>Z:\Grateful Dead\# Dick's Picks #\07 - 1974-09-09 [Alexandra Palace, London, England]\303 Dark Star.flac</t>
  </si>
  <si>
    <t>Z:\Grateful Dead\# Dick's Picks #\07 - 1974-09-09 [Alexandra Palace, London, England]\304 Spam Jam.flac</t>
  </si>
  <si>
    <t>Spam Jam</t>
  </si>
  <si>
    <t>Z:\Grateful Dead\# Dick's Picks #\07 - 1974-09-09 [Alexandra Palace, London, England]\305 Morning Dew.flac</t>
  </si>
  <si>
    <t>Morning Dew</t>
  </si>
  <si>
    <t>Z:\Grateful Dead\# Dick's Picks #\07 - 1974-09-09 [Alexandra Palace, London, England]\306 U.S. Blues.flac</t>
  </si>
  <si>
    <t>Z:\Grateful Dead\# Dick's Picks #\08 - 1970-05-02 [Harpur College, Binghampton, NY]\101 Don't Ease Me In.flac</t>
  </si>
  <si>
    <t>Don't Ease Me In</t>
  </si>
  <si>
    <t>Z:\Grateful Dead\# Dick's Picks #\08 - 1970-05-02 [Harpur College, Binghampton, NY]\102 I Know You Rider.flac</t>
  </si>
  <si>
    <t>Z:\Grateful Dead\# Dick's Picks #\08 - 1970-05-02 [Harpur College, Binghampton, NY]\103 Friend of the Devil.flac</t>
  </si>
  <si>
    <t>Z:\Grateful Dead\# Dick's Picks #\08 - 1970-05-02 [Harpur College, Binghampton, NY]\104 Dire Wolf.flac</t>
  </si>
  <si>
    <t>Z:\Grateful Dead\# Dick's Picks #\08 - 1970-05-02 [Harpur College, Binghampton, NY]\105 Beat It on Down the Line.flac</t>
  </si>
  <si>
    <t>Z:\Grateful Dead\# Dick's Picks #\08 - 1970-05-02 [Harpur College, Binghampton, NY]\106 Black Peter.flac</t>
  </si>
  <si>
    <t>Black Peter</t>
  </si>
  <si>
    <t>Z:\Grateful Dead\# Dick's Picks #\08 - 1970-05-02 [Harpur College, Binghampton, NY]\107 Candy Man.flac</t>
  </si>
  <si>
    <t>Candy Man</t>
  </si>
  <si>
    <t>Z:\Grateful Dead\# Dick's Picks #\08 - 1970-05-02 [Harpur College, Binghampton, NY]\108 Cumberland Blues.flac</t>
  </si>
  <si>
    <t>Cumberland Blues</t>
  </si>
  <si>
    <t>Z:\Grateful Dead\# Dick's Picks #\08 - 1970-05-02 [Harpur College, Binghampton, NY]\109 Deep Elem Blues.flac</t>
  </si>
  <si>
    <t>Deep Elem Blues</t>
  </si>
  <si>
    <t>Z:\Grateful Dead\# Dick's Picks #\08 - 1970-05-02 [Harpur College, Binghampton, NY]\110 Cold Jordan.flac</t>
  </si>
  <si>
    <t>Cold Jordan</t>
  </si>
  <si>
    <t>Z:\Grateful Dead\# Dick's Picks #\08 - 1970-05-02 [Harpur College, Binghampton, NY]\111 Uncle John's Band.flac</t>
  </si>
  <si>
    <t>Z:\Grateful Dead\# Dick's Picks #\08 - 1970-05-02 [Harpur College, Binghampton, NY]\201 St. Stephen.flac</t>
  </si>
  <si>
    <t>Z:\Grateful Dead\# Dick's Picks #\08 - 1970-05-02 [Harpur College, Binghampton, NY]\202 Cryptical Envelopment.flac</t>
  </si>
  <si>
    <t>Cryptical Envelopment</t>
  </si>
  <si>
    <t>Z:\Grateful Dead\# Dick's Picks #\08 - 1970-05-02 [Harpur College, Binghampton, NY]\203 Drums.flac</t>
  </si>
  <si>
    <t>Z:\Grateful Dead\# Dick's Picks #\08 - 1970-05-02 [Harpur College, Binghampton, NY]\203 Looks Like Rain.flac</t>
  </si>
  <si>
    <t>Z:\Grateful Dead\# Dick's Picks #\08 - 1970-05-02 [Harpur College, Binghampton, NY]\204 The Other One.flac</t>
  </si>
  <si>
    <t>Z:\Grateful Dead\# Dick's Picks #\08 - 1970-05-02 [Harpur College, Binghampton, NY]\205 Cryptical Envelopment.flac</t>
  </si>
  <si>
    <t>Z:\Grateful Dead\# Dick's Picks #\08 - 1970-05-02 [Harpur College, Binghampton, NY]\206 Cosmic Charlie.flac</t>
  </si>
  <si>
    <t>Cosmic Charlie</t>
  </si>
  <si>
    <t>Z:\Grateful Dead\# Dick's Picks #\08 - 1970-05-02 [Harpur College, Binghampton, NY]\207 Casey Jones.flac</t>
  </si>
  <si>
    <t>Z:\Grateful Dead\# Dick's Picks #\08 - 1970-05-02 [Harpur College, Binghampton, NY]\208 Good Lovin'.flac</t>
  </si>
  <si>
    <t>Good Lovin'</t>
  </si>
  <si>
    <t>Z:\Grateful Dead\# Dick's Picks #\08 - 1970-05-02 [Harpur College, Binghampton, NY]\300 Cold Rain &amp; Snow.flac</t>
  </si>
  <si>
    <t>Cold Rain &amp; Snow</t>
  </si>
  <si>
    <t>Z:\Grateful Dead\# Dick's Picks #\08 - 1970-05-02 [Harpur College, Binghampton, NY]\301 It's a Man's Man's Man's World.flac</t>
  </si>
  <si>
    <t>It's a Man's Man's Man's World</t>
  </si>
  <si>
    <t>Z:\Grateful Dead\# Dick's Picks #\08 - 1970-05-02 [Harpur College, Binghampton, NY]\302 Dancing in the Street.flac</t>
  </si>
  <si>
    <t>Z:\Grateful Dead\# Dick's Picks #\08 - 1970-05-02 [Harpur College, Binghampton, NY]\303 Morning Dew.flac</t>
  </si>
  <si>
    <t>Z:\Grateful Dead\# Dick's Picks #\08 - 1970-05-02 [Harpur College, Binghampton, NY]\304 Viola Lee Blues.flac</t>
  </si>
  <si>
    <t>Viola Lee Blues</t>
  </si>
  <si>
    <t>Z:\Grateful Dead\# Dick's Picks #\08 - 1970-05-02 [Harpur College, Binghampton, NY]\305 We Bid You Goodnight.flac</t>
  </si>
  <si>
    <t>Z:\Grateful Dead\# Dick's Picks #\09 - 1990-09-16 [Madison Square Garden, New York, NY]\101 Hell in a Bucket.flac</t>
  </si>
  <si>
    <t>Z:\Grateful Dead\# Dick's Picks #\09 - 1990-09-16 [Madison Square Garden, New York, NY]\102 Cold Rain and Snow.flac</t>
  </si>
  <si>
    <t>Z:\Grateful Dead\# Dick's Picks #\09 - 1990-09-16 [Madison Square Garden, New York, NY]\103 Little Red Rooster.flac</t>
  </si>
  <si>
    <t>Little Red Rooster</t>
  </si>
  <si>
    <t>Z:\Grateful Dead\# Dick's Picks #\09 - 1990-09-16 [Madison Square Garden, New York, NY]\104 Stagger Lee.flac</t>
  </si>
  <si>
    <t>Stagger Lee</t>
  </si>
  <si>
    <t>Z:\Grateful Dead\# Dick's Picks #\09 - 1990-09-16 [Madison Square Garden, New York, NY]\105 Queen Jane Approximately.flac</t>
  </si>
  <si>
    <t>Queen Jane Approximately</t>
  </si>
  <si>
    <t>Z:\Grateful Dead\# Dick's Picks #\09 - 1990-09-16 [Madison Square Garden, New York, NY]\106 Tennessee Jed.flac</t>
  </si>
  <si>
    <t>Z:\Grateful Dead\# Dick's Picks #\09 - 1990-09-16 [Madison Square Garden, New York, NY]\107 Cassidy.flac</t>
  </si>
  <si>
    <t>Cassidy</t>
  </si>
  <si>
    <t>Z:\Grateful Dead\# Dick's Picks #\09 - 1990-09-16 [Madison Square Garden, New York, NY]\108 Deal.flac</t>
  </si>
  <si>
    <t>Deal</t>
  </si>
  <si>
    <t>Z:\Grateful Dead\# Dick's Picks #\09 - 1990-09-16 [Madison Square Garden, New York, NY]\201  Samson And Delilah.flac</t>
  </si>
  <si>
    <t>Samson And Delilah</t>
  </si>
  <si>
    <t>Z:\Grateful Dead\# Dick's Picks #\09 - 1990-09-16 [Madison Square Garden, New York, NY]\202  Iko Iko.flac</t>
  </si>
  <si>
    <t>Iko Iko</t>
  </si>
  <si>
    <t>Z:\Grateful Dead\# Dick's Picks #\09 - 1990-09-16 [Madison Square Garden, New York, NY]\203  Looks Like Rain.flac</t>
  </si>
  <si>
    <t>Z:\Grateful Dead\# Dick's Picks #\09 - 1990-09-16 [Madison Square Garden, New York, NY]\204  He's Gone ».flac</t>
  </si>
  <si>
    <t>He's Gone &gt;</t>
  </si>
  <si>
    <t>Z:\Grateful Dead\# Dick's Picks #\09 - 1990-09-16 [Madison Square Garden, New York, NY]\205  No MSG Jam ».flac</t>
  </si>
  <si>
    <t>No MSG Jam &gt;</t>
  </si>
  <si>
    <t>Z:\Grateful Dead\# Dick's Picks #\09 - 1990-09-16 [Madison Square Garden, New York, NY]\206  Drums ».flac</t>
  </si>
  <si>
    <t>Drums &gt;</t>
  </si>
  <si>
    <t>Z:\Grateful Dead\# Dick's Picks #\09 - 1990-09-16 [Madison Square Garden, New York, NY]\301 Space.flac</t>
  </si>
  <si>
    <t>Space</t>
  </si>
  <si>
    <t>Z:\Grateful Dead\# Dick's Picks #\09 - 1990-09-16 [Madison Square Garden, New York, NY]\302 Standing on the Moon.flac</t>
  </si>
  <si>
    <t>Standing on the Moon</t>
  </si>
  <si>
    <t>Z:\Grateful Dead\# Dick's Picks #\09 - 1990-09-16 [Madison Square Garden, New York, NY]\303 Lunatic Preserve.flac</t>
  </si>
  <si>
    <t>Lunatic Preserve</t>
  </si>
  <si>
    <t>Z:\Grateful Dead\# Dick's Picks #\09 - 1990-09-16 [Madison Square Garden, New York, NY]\304 I Need a Miracle.flac</t>
  </si>
  <si>
    <t>I Need a Miracle</t>
  </si>
  <si>
    <t>Z:\Grateful Dead\# Dick's Picks #\09 - 1990-09-16 [Madison Square Garden, New York, NY]\305 Morning Dew.flac</t>
  </si>
  <si>
    <t>Z:\Grateful Dead\# Dick's Picks #\09 - 1990-09-16 [Madison Square Garden, New York, NY]\306 It's All over Now, Baby Blue.flac</t>
  </si>
  <si>
    <t>It's All over Now, Baby Blue</t>
  </si>
  <si>
    <t>Z:\Grateful Dead\# Dick's Picks #\10 - 1977-12-29 [Winterland Arena, San Francisco, CA]\101 Jack Straw.flac</t>
  </si>
  <si>
    <t>Z:\Grateful Dead\# Dick's Picks #\10 - 1977-12-29 [Winterland Arena, San Francisco, CA]\102 They Love Each Other.flac</t>
  </si>
  <si>
    <t>Z:\Grateful Dead\# Dick's Picks #\10 - 1977-12-29 [Winterland Arena, San Francisco, CA]\103 Mama Tried.flac</t>
  </si>
  <si>
    <t>Z:\Grateful Dead\# Dick's Picks #\10 - 1977-12-29 [Winterland Arena, San Francisco, CA]\104 Loser.flac</t>
  </si>
  <si>
    <t>Loser</t>
  </si>
  <si>
    <t>Z:\Grateful Dead\# Dick's Picks #\10 - 1977-12-29 [Winterland Arena, San Francisco, CA]\105 Looks Like Rain.flac</t>
  </si>
  <si>
    <t>Z:\Grateful Dead\# Dick's Picks #\10 - 1977-12-29 [Winterland Arena, San Francisco, CA]\106 Tennessee Jed.flac</t>
  </si>
  <si>
    <t>Z:\Grateful Dead\# Dick's Picks #\10 - 1977-12-29 [Winterland Arena, San Francisco, CA]\107 New Minglewood Blues.flac</t>
  </si>
  <si>
    <t>Z:\Grateful Dead\# Dick's Picks #\10 - 1977-12-29 [Winterland Arena, San Francisco, CA]\108 Sugaree.flac</t>
  </si>
  <si>
    <t>Z:\Grateful Dead\# Dick's Picks #\10 - 1977-12-29 [Winterland Arena, San Francisco, CA]\109 Promised Land.flac</t>
  </si>
  <si>
    <t>Z:\Grateful Dead\# Dick's Picks #\10 - 1977-12-29 [Winterland Arena, San Francisco, CA]\201 Bertha.flac</t>
  </si>
  <si>
    <t>Bertha</t>
  </si>
  <si>
    <t>Z:\Grateful Dead\# Dick's Picks #\10 - 1977-12-29 [Winterland Arena, San Francisco, CA]\202 Good Lovin'.flac</t>
  </si>
  <si>
    <t>Z:\Grateful Dead\# Dick's Picks #\10 - 1977-12-29 [Winterland Arena, San Francisco, CA]\203 Playing in the Band.flac</t>
  </si>
  <si>
    <t>Z:\Grateful Dead\# Dick's Picks #\10 - 1977-12-29 [Winterland Arena, San Francisco, CA]\204 China Cat Sunflower.flac</t>
  </si>
  <si>
    <t>Z:\Grateful Dead\# Dick's Picks #\10 - 1977-12-29 [Winterland Arena, San Francisco, CA]\205 I Know You Rider.flac</t>
  </si>
  <si>
    <t>Z:\Grateful Dead\# Dick's Picks #\10 - 1977-12-29 [Winterland Arena, San Francisco, CA]\206 China Doll.flac</t>
  </si>
  <si>
    <t>China Doll</t>
  </si>
  <si>
    <t>Z:\Grateful Dead\# Dick's Picks #\10 - 1977-12-29 [Winterland Arena, San Francisco, CA]\207 Playing Jam.flac</t>
  </si>
  <si>
    <t>Playing Jam</t>
  </si>
  <si>
    <t>Z:\Grateful Dead\# Dick's Picks #\10 - 1977-12-29 [Winterland Arena, San Francisco, CA]\208 Drums.flac</t>
  </si>
  <si>
    <t>Z:\Grateful Dead\# Dick's Picks #\10 - 1977-12-29 [Winterland Arena, San Francisco, CA]\209 Not Fade Away.flac</t>
  </si>
  <si>
    <t>Z:\Grateful Dead\# Dick's Picks #\10 - 1977-12-29 [Winterland Arena, San Francisco, CA]\210 Playing in the Band.flac</t>
  </si>
  <si>
    <t>Z:\Grateful Dead\# Dick's Picks #\10 - 1977-12-29 [Winterland Arena, San Francisco, CA]\301 Terrapin Station.flac</t>
  </si>
  <si>
    <t>Z:\Grateful Dead\# Dick's Picks #\10 - 1977-12-29 [Winterland Arena, San Francisco, CA]\302 Johnny B. Goode.flac</t>
  </si>
  <si>
    <t>Z:\Grateful Dead\# Dick's Picks #\10 - 1977-12-29 [Winterland Arena, San Francisco, CA]\303 Estimated Prophet.flac</t>
  </si>
  <si>
    <t>Z:\Grateful Dead\# Dick's Picks #\10 - 1977-12-29 [Winterland Arena, San Francisco, CA]\304 Eyes of the World.flac</t>
  </si>
  <si>
    <t>Z:\Grateful Dead\# Dick's Picks #\10 - 1977-12-29 [Winterland Arena, San Francisco, CA]\305 St. Stephen.flac</t>
  </si>
  <si>
    <t>Z:\Grateful Dead\# Dick's Picks #\10 - 1977-12-29 [Winterland Arena, San Francisco, CA]\306 Sugar Magnolia.flac</t>
  </si>
  <si>
    <t>Z:\Grateful Dead\# Dick's Picks #\11 - 1972-09-27 [Stanley Theater, New Jersey, NJ]\101 Morning Dew.flac</t>
  </si>
  <si>
    <t>Z:\Grateful Dead\# Dick's Picks #\11 - 1972-09-27 [Stanley Theater, New Jersey, NJ]\102 Beat It on Down the Line.flac</t>
  </si>
  <si>
    <t>Z:\Grateful Dead\# Dick's Picks #\11 - 1972-09-27 [Stanley Theater, New Jersey, NJ]\103 Friend of the Devil.flac</t>
  </si>
  <si>
    <t>Z:\Grateful Dead\# Dick's Picks #\11 - 1972-09-27 [Stanley Theater, New Jersey, NJ]\104 Black-Throated Wind.flac</t>
  </si>
  <si>
    <t>Z:\Grateful Dead\# Dick's Picks #\11 - 1972-09-27 [Stanley Theater, New Jersey, NJ]\105 Tennessee Jed.flac</t>
  </si>
  <si>
    <t>Z:\Grateful Dead\# Dick's Picks #\11 - 1972-09-27 [Stanley Theater, New Jersey, NJ]\106 Mexicali Blues.flac</t>
  </si>
  <si>
    <t>Z:\Grateful Dead\# Dick's Picks #\11 - 1972-09-27 [Stanley Theater, New Jersey, NJ]\107 Bird Song.flac</t>
  </si>
  <si>
    <t>Bird Song</t>
  </si>
  <si>
    <t>Z:\Grateful Dead\# Dick's Picks #\11 - 1972-09-27 [Stanley Theater, New Jersey, NJ]\108 Big River.flac</t>
  </si>
  <si>
    <t>Z:\Grateful Dead\# Dick's Picks #\11 - 1972-09-27 [Stanley Theater, New Jersey, NJ]\109 Brokedown Palace.flac</t>
  </si>
  <si>
    <t>Z:\Grateful Dead\# Dick's Picks #\11 - 1972-09-27 [Stanley Theater, New Jersey, NJ]\110 El Paso.flac</t>
  </si>
  <si>
    <t>El Paso</t>
  </si>
  <si>
    <t>Z:\Grateful Dead\# Dick's Picks #\11 - 1972-09-27 [Stanley Theater, New Jersey, NJ]\201 China Cat Sunflower.flac</t>
  </si>
  <si>
    <t>Z:\Grateful Dead\# Dick's Picks #\11 - 1972-09-27 [Stanley Theater, New Jersey, NJ]\202 I Know You Rider.flac</t>
  </si>
  <si>
    <t>Z:\Grateful Dead\# Dick's Picks #\11 - 1972-09-27 [Stanley Theater, New Jersey, NJ]\203 Playing in the Band.flac</t>
  </si>
  <si>
    <t>Z:\Grateful Dead\# Dick's Picks #\11 - 1972-09-27 [Stanley Theater, New Jersey, NJ]\204 He's Gone.flac</t>
  </si>
  <si>
    <t>Z:\Grateful Dead\# Dick's Picks #\11 - 1972-09-27 [Stanley Theater, New Jersey, NJ]\205 Me &amp; My Uncle.flac</t>
  </si>
  <si>
    <t>Z:\Grateful Dead\# Dick's Picks #\11 - 1972-09-27 [Stanley Theater, New Jersey, NJ]\206 Deal.flac</t>
  </si>
  <si>
    <t>Z:\Grateful Dead\# Dick's Picks #\11 - 1972-09-27 [Stanley Theater, New Jersey, NJ]\207 Greatest Story Ever Told.flac</t>
  </si>
  <si>
    <t>Z:\Grateful Dead\# Dick's Picks #\11 - 1972-09-27 [Stanley Theater, New Jersey, NJ]\208 Ramble on Rose.flac</t>
  </si>
  <si>
    <t>Ramble on Rose</t>
  </si>
  <si>
    <t>Z:\Grateful Dead\# Dick's Picks #\11 - 1972-09-27 [Stanley Theater, New Jersey, NJ]\301 Dark Star.flac</t>
  </si>
  <si>
    <t>Z:\Grateful Dead\# Dick's Picks #\11 - 1972-09-27 [Stanley Theater, New Jersey, NJ]\302 Cumberland Blues.flac</t>
  </si>
  <si>
    <t>Z:\Grateful Dead\# Dick's Picks #\11 - 1972-09-27 [Stanley Theater, New Jersey, NJ]\303 Attics of My Life.flac</t>
  </si>
  <si>
    <t>Attics of My Life</t>
  </si>
  <si>
    <t>Z:\Grateful Dead\# Dick's Picks #\11 - 1972-09-27 [Stanley Theater, New Jersey, NJ]\304 Promised Land.flac</t>
  </si>
  <si>
    <t>Z:\Grateful Dead\# Dick's Picks #\11 - 1972-09-27 [Stanley Theater, New Jersey, NJ]\305 Uncle John's Band.flac</t>
  </si>
  <si>
    <t>Z:\Grateful Dead\# Dick's Picks #\11 - 1972-09-27 [Stanley Theater, New Jersey, NJ]\306 Casey Jones.flac</t>
  </si>
  <si>
    <t>Z:\Grateful Dead\# Dick's Picks #\11 - 1972-09-27 [Stanley Theater, New Jersey, NJ]\307 Around and Around.flac</t>
  </si>
  <si>
    <t>Z:\Grateful Dead\# Dick's Picks #\12 - 1974-06-26 [Providence Civic Centre, Providence, RI]\101 Jam.flac</t>
  </si>
  <si>
    <t>Z:\Grateful Dead\# Dick's Picks #\12 - 1974-06-26 [Providence Civic Centre, Providence, RI]\102 China Cat Sunflower.flac</t>
  </si>
  <si>
    <t>Z:\Grateful Dead\# Dick's Picks #\12 - 1974-06-26 [Providence Civic Centre, Providence, RI]\103 Mind Left Body Jam.flac</t>
  </si>
  <si>
    <t>Mind Left Body Jam</t>
  </si>
  <si>
    <t>Z:\Grateful Dead\# Dick's Picks #\12 - 1974-06-26 [Providence Civic Centre, Providence, RI]\104 I Know You Rider.flac</t>
  </si>
  <si>
    <t>Z:\Grateful Dead\# Dick's Picks #\12 - 1974-06-26 [Providence Civic Centre, Providence, RI]\105 Beer Barrel Polka.flac</t>
  </si>
  <si>
    <t>Beer Barrel Polka</t>
  </si>
  <si>
    <t>Z:\Grateful Dead\# Dick's Picks #\12 - 1974-06-26 [Providence Civic Centre, Providence, RI]\106 Truckin'.flac</t>
  </si>
  <si>
    <t>Z:\Grateful Dead\# Dick's Picks #\12 - 1974-06-26 [Providence Civic Centre, Providence, RI]\107 Other One Jam.flac</t>
  </si>
  <si>
    <t>Other One Jam</t>
  </si>
  <si>
    <t>Z:\Grateful Dead\# Dick's Picks #\12 - 1974-06-26 [Providence Civic Centre, Providence, RI]\108 Spanish Jam.flac</t>
  </si>
  <si>
    <t>Z:\Grateful Dead\# Dick's Picks #\12 - 1974-06-26 [Providence Civic Centre, Providence, RI]\109 Wharf Rat.flac</t>
  </si>
  <si>
    <t>Z:\Grateful Dead\# Dick's Picks #\12 - 1974-06-26 [Providence Civic Centre, Providence, RI]\110 Sugar Magnolia.flac</t>
  </si>
  <si>
    <t>Z:\Grateful Dead\# Dick's Picks #\12 - 1974-06-26 [Providence Civic Centre, Providence, RI]\201 Eyes of the World.flac</t>
  </si>
  <si>
    <t>Z:\Grateful Dead\# Dick's Picks #\12 - 1974-06-26 [Providence Civic Centre, Providence, RI]\202 Seastones.flac</t>
  </si>
  <si>
    <t>Seastones</t>
  </si>
  <si>
    <t>Z:\Grateful Dead\# Dick's Picks #\12 - 1974-06-26 [Providence Civic Centre, Providence, RI]\203 Sugar Magnolia.flac</t>
  </si>
  <si>
    <t>Z:\Grateful Dead\# Dick's Picks #\12 - 1974-06-26 [Providence Civic Centre, Providence, RI]\204 Scarlet Begonias.flac</t>
  </si>
  <si>
    <t>Z:\Grateful Dead\# Dick's Picks #\12 - 1974-06-26 [Providence Civic Centre, Providence, RI]\205 Big River.flac</t>
  </si>
  <si>
    <t>Z:\Grateful Dead\# Dick's Picks #\12 - 1974-06-26 [Providence Civic Centre, Providence, RI]\206 To Lay Me Down.flac</t>
  </si>
  <si>
    <t>To Lay Me Down</t>
  </si>
  <si>
    <t>Z:\Grateful Dead\# Dick's Picks #\12 - 1974-06-26 [Providence Civic Centre, Providence, RI]\207 Me &amp; My Uncle.flac</t>
  </si>
  <si>
    <t>Z:\Grateful Dead\# Dick's Picks #\12 - 1974-06-26 [Providence Civic Centre, Providence, RI]\208 Row Jimmy.flac</t>
  </si>
  <si>
    <t>Z:\Grateful Dead\# Dick's Picks #\12 - 1974-06-26 [Providence Civic Centre, Providence, RI]\301 Weather Report Suite- Prelude-Pt. 1-Pt. 2 Let It Grow.flac</t>
  </si>
  <si>
    <t>Weather Report Suite- Prelude-Pt. 1-Pt. 2 Let It Grow</t>
  </si>
  <si>
    <t>Z:\Grateful Dead\# Dick's Picks #\12 - 1974-06-26 [Providence Civic Centre, Providence, RI]\302 Jam.flac</t>
  </si>
  <si>
    <t>Z:\Grateful Dead\# Dick's Picks #\12 - 1974-06-26 [Providence Civic Centre, Providence, RI]\303 U.S. Blues.flac</t>
  </si>
  <si>
    <t>Z:\Grateful Dead\# Dick's Picks #\12 - 1974-06-26 [Providence Civic Centre, Providence, RI]\304 Promised Land.flac</t>
  </si>
  <si>
    <t>Z:\Grateful Dead\# Dick's Picks #\12 - 1974-06-26 [Providence Civic Centre, Providence, RI]\305 Goin' Down the Road Feeling Bad.flac</t>
  </si>
  <si>
    <t>Z:\Grateful Dead\# Dick's Picks #\12 - 1974-06-26 [Providence Civic Centre, Providence, RI]\306 Sunshine Daydream.flac</t>
  </si>
  <si>
    <t>Sunshine Daydream</t>
  </si>
  <si>
    <t>Z:\Grateful Dead\# Dick's Picks #\12 - 1974-06-26 [Providence Civic Centre, Providence, RI]\307 Ship of Fools.flac</t>
  </si>
  <si>
    <t>Ship of Fools</t>
  </si>
  <si>
    <t>Z:\Grateful Dead\# Dick's Picks #\13 - 1981-05-06 [Nassau Vets Memorial Coliseum, Uniondale, NY]\101 Alabama Getaway.flac</t>
  </si>
  <si>
    <t>Z:\Grateful Dead\# Dick's Picks #\13 - 1981-05-06 [Nassau Vets Memorial Coliseum, Uniondale, NY]\102 Greatest Story Ever Told.flac</t>
  </si>
  <si>
    <t>Z:\Grateful Dead\# Dick's Picks #\13 - 1981-05-06 [Nassau Vets Memorial Coliseum, Uniondale, NY]\103 They Love Each Other.flac</t>
  </si>
  <si>
    <t>Z:\Grateful Dead\# Dick's Picks #\13 - 1981-05-06 [Nassau Vets Memorial Coliseum, Uniondale, NY]\104 Cassidy.flac</t>
  </si>
  <si>
    <t>Z:\Grateful Dead\# Dick's Picks #\13 - 1981-05-06 [Nassau Vets Memorial Coliseum, Uniondale, NY]\105 Jack-A-Roe.flac</t>
  </si>
  <si>
    <t>Jack-A-Roe</t>
  </si>
  <si>
    <t>Z:\Grateful Dead\# Dick's Picks #\13 - 1981-05-06 [Nassau Vets Memorial Coliseum, Uniondale, NY]\106 Little Red Rooster.flac</t>
  </si>
  <si>
    <t>Z:\Grateful Dead\# Dick's Picks #\13 - 1981-05-06 [Nassau Vets Memorial Coliseum, Uniondale, NY]\107 Dire Wolf.flac</t>
  </si>
  <si>
    <t>Z:\Grateful Dead\# Dick's Picks #\13 - 1981-05-06 [Nassau Vets Memorial Coliseum, Uniondale, NY]\108 Looks Like Rain.flac</t>
  </si>
  <si>
    <t>Z:\Grateful Dead\# Dick's Picks #\13 - 1981-05-06 [Nassau Vets Memorial Coliseum, Uniondale, NY]\109 Big Railroad Blues.flac</t>
  </si>
  <si>
    <t>Z:\Grateful Dead\# Dick's Picks #\13 - 1981-05-06 [Nassau Vets Memorial Coliseum, Uniondale, NY]\110 Let It Grow.flac</t>
  </si>
  <si>
    <t>Let It Grow</t>
  </si>
  <si>
    <t>Z:\Grateful Dead\# Dick's Picks #\13 - 1981-05-06 [Nassau Vets Memorial Coliseum, Uniondale, NY]\111 Deal.flac</t>
  </si>
  <si>
    <t>Z:\Grateful Dead\# Dick's Picks #\13 - 1981-05-06 [Nassau Vets Memorial Coliseum, Uniondale, NY]\201 New Minglewood Blues.flac</t>
  </si>
  <si>
    <t>Z:\Grateful Dead\# Dick's Picks #\13 - 1981-05-06 [Nassau Vets Memorial Coliseum, Uniondale, NY]\202 High Time.flac</t>
  </si>
  <si>
    <t>Z:\Grateful Dead\# Dick's Picks #\13 - 1981-05-06 [Nassau Vets Memorial Coliseum, Uniondale, NY]\203 Lost Sailor.flac</t>
  </si>
  <si>
    <t>Lost Sailor</t>
  </si>
  <si>
    <t>Z:\Grateful Dead\# Dick's Picks #\13 - 1981-05-06 [Nassau Vets Memorial Coliseum, Uniondale, NY]\204 Saint of Circumstance.flac</t>
  </si>
  <si>
    <t>Saint of Circumstance</t>
  </si>
  <si>
    <t>Z:\Grateful Dead\# Dick's Picks #\13 - 1981-05-06 [Nassau Vets Memorial Coliseum, Uniondale, NY]\301 He's Gone.flac</t>
  </si>
  <si>
    <t>Z:\Grateful Dead\# Dick's Picks #\13 - 1981-05-06 [Nassau Vets Memorial Coliseum, Uniondale, NY]\302 Caution - Spanish Jam.flac</t>
  </si>
  <si>
    <t>Caution - Spanish Jam</t>
  </si>
  <si>
    <t>Z:\Grateful Dead\# Dick's Picks #\13 - 1981-05-06 [Nassau Vets Memorial Coliseum, Uniondale, NY]\303 Drums.flac</t>
  </si>
  <si>
    <t>Z:\Grateful Dead\# Dick's Picks #\13 - 1981-05-06 [Nassau Vets Memorial Coliseum, Uniondale, NY]\304 Jam.flac</t>
  </si>
  <si>
    <t>Z:\Grateful Dead\# Dick's Picks #\13 - 1981-05-06 [Nassau Vets Memorial Coliseum, Uniondale, NY]\305 The Other One.flac</t>
  </si>
  <si>
    <t>Z:\Grateful Dead\# Dick's Picks #\13 - 1981-05-06 [Nassau Vets Memorial Coliseum, Uniondale, NY]\306 Goin' Down the Road Feeling Bad.flac</t>
  </si>
  <si>
    <t>Z:\Grateful Dead\# Dick's Picks #\13 - 1981-05-06 [Nassau Vets Memorial Coliseum, Uniondale, NY]\307 Wharf Rat.flac</t>
  </si>
  <si>
    <t>Z:\Grateful Dead\# Dick's Picks #\13 - 1981-05-06 [Nassau Vets Memorial Coliseum, Uniondale, NY]\308 Good Lovin'.flac</t>
  </si>
  <si>
    <t>Z:\Grateful Dead\# Dick's Picks #\13 - 1981-05-06 [Nassau Vets Memorial Coliseum, Uniondale, NY]\309 Don't Ease Me In.flac</t>
  </si>
  <si>
    <t>Z:\Grateful Dead\# Dick's Picks #\13 - 1981-05-06 [Nassau Vets Memorial Coliseum, Uniondale, NY]\998 Scarlet Begonias (hidden - 1979-11-01).flac</t>
  </si>
  <si>
    <t>Scarlet Begonias (hidden - 1979-11-01)</t>
  </si>
  <si>
    <t>Z:\Grateful Dead\# Dick's Picks #\13 - 1981-05-06 [Nassau Vets Memorial Coliseum, Uniondale, NY]\999 Fire On The Mountain (hidden - 1979-11-01).flac</t>
  </si>
  <si>
    <t>Fire On The Mountain (hidden - 1979-11-01)</t>
  </si>
  <si>
    <t>Z:\Grateful Dead\# Dick's Picks #\14 - 1973-11-30 [Boston Music Hall, Boston, MA]\101 Morning Dew.flac</t>
  </si>
  <si>
    <t>Z:\Grateful Dead\# Dick's Picks #\14 - 1973-11-30 [Boston Music Hall, Boston, MA]\102 Mexicali Blues.flac</t>
  </si>
  <si>
    <t>Z:\Grateful Dead\# Dick's Picks #\14 - 1973-11-30 [Boston Music Hall, Boston, MA]\103 Dire Wolf.flac</t>
  </si>
  <si>
    <t>Z:\Grateful Dead\# Dick's Picks #\14 - 1973-11-30 [Boston Music Hall, Boston, MA]\104 Black-Throated Wind.flac</t>
  </si>
  <si>
    <t>Z:\Grateful Dead\# Dick's Picks #\14 - 1973-11-30 [Boston Music Hall, Boston, MA]\105 Don't Ease Me In.flac</t>
  </si>
  <si>
    <t>Z:\Grateful Dead\# Dick's Picks #\14 - 1973-11-30 [Boston Music Hall, Boston, MA]\106 Big River.flac</t>
  </si>
  <si>
    <t>Z:\Grateful Dead\# Dick's Picks #\14 - 1973-11-30 [Boston Music Hall, Boston, MA]\107 They Love Each Other.flac</t>
  </si>
  <si>
    <t>Z:\Grateful Dead\# Dick's Picks #\14 - 1973-11-30 [Boston Music Hall, Boston, MA]\108 Playing In The Band.flac</t>
  </si>
  <si>
    <t>Playing In The Band</t>
  </si>
  <si>
    <t>Z:\Grateful Dead\# Dick's Picks #\14 - 1973-11-30 [Boston Music Hall, Boston, MA]\201 Here Comes Sunshine.flac</t>
  </si>
  <si>
    <t>Z:\Grateful Dead\# Dick's Picks #\14 - 1973-11-30 [Boston Music Hall, Boston, MA]\202 Weather Report Suite (into).flac</t>
  </si>
  <si>
    <t>Weather Report Suite (into)</t>
  </si>
  <si>
    <t>Z:\Grateful Dead\# Dick's Picks #\14 - 1973-11-30 [Boston Music Hall, Boston, MA]\203 Dark Star Jam (into).flac</t>
  </si>
  <si>
    <t>Dark Star Jam (into)</t>
  </si>
  <si>
    <t>Z:\Grateful Dead\# Dick's Picks #\14 - 1973-11-30 [Boston Music Hall, Boston, MA]\204 Eyes Of The World (into).flac</t>
  </si>
  <si>
    <t>Eyes Of The World (into)</t>
  </si>
  <si>
    <t>Z:\Grateful Dead\# Dick's Picks #\14 - 1973-11-30 [Boston Music Hall, Boston, MA]\205 Sugar Magnolia.flac</t>
  </si>
  <si>
    <t>Z:\Grateful Dead\# Dick's Picks #\14 - 1973-11-30 [Boston Music Hall, Boston, MA]\301 Cold Rain And Snow.flac</t>
  </si>
  <si>
    <t>Cold Rain And Snow</t>
  </si>
  <si>
    <t>Z:\Grateful Dead\# Dick's Picks #\14 - 1973-11-30 [Boston Music Hall, Boston, MA]\302 Beat It On Down The Line.flac</t>
  </si>
  <si>
    <t>Beat It On Down The Line</t>
  </si>
  <si>
    <t>Z:\Grateful Dead\# Dick's Picks #\14 - 1973-11-30 [Boston Music Hall, Boston, MA]\303 Brown-Eyed Woman &amp; The Merry-Go-Round Broke Down Beer Barrel Polka.flac</t>
  </si>
  <si>
    <t>Brown-Eyed Woman &amp; The Merry-Go-Round Broke Down Beer Barrel Polka</t>
  </si>
  <si>
    <t>Z:\Grateful Dead\# Dick's Picks #\14 - 1973-11-30 [Boston Music Hall, Boston, MA]\304 Jack Straw.flac</t>
  </si>
  <si>
    <t>Z:\Grateful Dead\# Dick's Picks #\14 - 1973-11-30 [Boston Music Hall, Boston, MA]\305 Ramble On Rose.flac</t>
  </si>
  <si>
    <t>Ramble On Rose</t>
  </si>
  <si>
    <t>Z:\Grateful Dead\# Dick's Picks #\14 - 1973-11-30 [Boston Music Hall, Boston, MA]\306 Weather Report Suite.flac</t>
  </si>
  <si>
    <t>Z:\Grateful Dead\# Dick's Picks #\14 - 1973-11-30 [Boston Music Hall, Boston, MA]\307 Wharf Rat (into).flac</t>
  </si>
  <si>
    <t>Wharf Rat (into)</t>
  </si>
  <si>
    <t>Z:\Grateful Dead\# Dick's Picks #\14 - 1973-11-30 [Boston Music Hall, Boston, MA]\308 Mississippi Half-Step Uptown Toodeloo (into...).flac</t>
  </si>
  <si>
    <t>Mississippi Half-Step Uptown Toodeloo (into...)</t>
  </si>
  <si>
    <t>Z:\Grateful Dead\# Dick's Picks #\14 - 1973-11-30 [Boston Music Hall, Boston, MA]\401 Playing In The Band (into).flac</t>
  </si>
  <si>
    <t>Playing In The Band (into)</t>
  </si>
  <si>
    <t>Z:\Grateful Dead\# Dick's Picks #\14 - 1973-11-30 [Boston Music Hall, Boston, MA]\402 Jam (into).flac</t>
  </si>
  <si>
    <t>Jam (into)</t>
  </si>
  <si>
    <t>Z:\Grateful Dead\# Dick's Picks #\14 - 1973-11-30 [Boston Music Hall, Boston, MA]\403 He's Gone (into).flac</t>
  </si>
  <si>
    <t>He's Gone (into)</t>
  </si>
  <si>
    <t>Z:\Grateful Dead\# Dick's Picks #\14 - 1973-11-30 [Boston Music Hall, Boston, MA]\404 Truckin' (into).flac</t>
  </si>
  <si>
    <t>Truckin' (into)</t>
  </si>
  <si>
    <t>Z:\Grateful Dead\# Dick's Picks #\14 - 1973-11-30 [Boston Music Hall, Boston, MA]\405 Stella Blue.flac</t>
  </si>
  <si>
    <t>Z:\Grateful Dead\# Dick's Picks #\14 - 1973-11-30 [Boston Music Hall, Boston, MA]\406 Morning Dew.flac</t>
  </si>
  <si>
    <t>Z:\Grateful Dead\# Dick's Picks #\15 - 1977-09-03 [Raceway Park, Englishtown, NJ]\101 Introduction.flac</t>
  </si>
  <si>
    <t>Introduction</t>
  </si>
  <si>
    <t>Z:\Grateful Dead\# Dick's Picks #\15 - 1977-09-03 [Raceway Park, Englishtown, NJ]\102 Promised Land.flac</t>
  </si>
  <si>
    <t>Z:\Grateful Dead\# Dick's Picks #\15 - 1977-09-03 [Raceway Park, Englishtown, NJ]\103 They Love Each Other.flac</t>
  </si>
  <si>
    <t>Z:\Grateful Dead\# Dick's Picks #\15 - 1977-09-03 [Raceway Park, Englishtown, NJ]\104 Me &amp; My Uncle.flac</t>
  </si>
  <si>
    <t>Z:\Grateful Dead\# Dick's Picks #\15 - 1977-09-03 [Raceway Park, Englishtown, NJ]\105 Mississippi Half-Step Uptown Toodeloo.flac</t>
  </si>
  <si>
    <t>Mississippi Half-Step Uptown Toodeloo</t>
  </si>
  <si>
    <t>Z:\Grateful Dead\# Dick's Picks #\15 - 1977-09-03 [Raceway Park, Englishtown, NJ]\106 Looks Like Rain.flac</t>
  </si>
  <si>
    <t>Z:\Grateful Dead\# Dick's Picks #\15 - 1977-09-03 [Raceway Park, Englishtown, NJ]\107 Peggy-O.flac</t>
  </si>
  <si>
    <t>Peggy-O</t>
  </si>
  <si>
    <t>Z:\Grateful Dead\# Dick's Picks #\15 - 1977-09-03 [Raceway Park, Englishtown, NJ]\108 New Minglewood Blues.flac</t>
  </si>
  <si>
    <t>Z:\Grateful Dead\# Dick's Picks #\15 - 1977-09-03 [Raceway Park, Englishtown, NJ]\109 Friend Of The Devil.flac</t>
  </si>
  <si>
    <t>Friend Of The Devil</t>
  </si>
  <si>
    <t>Z:\Grateful Dead\# Dick's Picks #\15 - 1977-09-03 [Raceway Park, Englishtown, NJ]\110 The Music Never Stopped.flac</t>
  </si>
  <si>
    <t>Z:\Grateful Dead\# Dick's Picks #\15 - 1977-09-03 [Raceway Park, Englishtown, NJ]\201 Bertha.flac</t>
  </si>
  <si>
    <t>Z:\Grateful Dead\# Dick's Picks #\15 - 1977-09-03 [Raceway Park, Englishtown, NJ]\202 Good Lovin'.flac</t>
  </si>
  <si>
    <t>Z:\Grateful Dead\# Dick's Picks #\15 - 1977-09-03 [Raceway Park, Englishtown, NJ]\203 Loser.flac</t>
  </si>
  <si>
    <t>Z:\Grateful Dead\# Dick's Picks #\15 - 1977-09-03 [Raceway Park, Englishtown, NJ]\204 Estimated Prophet.flac</t>
  </si>
  <si>
    <t>Z:\Grateful Dead\# Dick's Picks #\15 - 1977-09-03 [Raceway Park, Englishtown, NJ]\205 Eyes Of The World.flac</t>
  </si>
  <si>
    <t>Eyes Of The World</t>
  </si>
  <si>
    <t>Z:\Grateful Dead\# Dick's Picks #\15 - 1977-09-03 [Raceway Park, Englishtown, NJ]\206 Samson &amp; Delilah.flac</t>
  </si>
  <si>
    <t>Samson &amp; Delilah</t>
  </si>
  <si>
    <t>Z:\Grateful Dead\# Dick's Picks #\15 - 1977-09-03 [Raceway Park, Englishtown, NJ]\207 He's Gone.flac</t>
  </si>
  <si>
    <t>Z:\Grateful Dead\# Dick's Picks #\15 - 1977-09-03 [Raceway Park, Englishtown, NJ]\208 Not Fade Away.flac</t>
  </si>
  <si>
    <t>Z:\Grateful Dead\# Dick's Picks #\15 - 1977-09-03 [Raceway Park, Englishtown, NJ]\209 Truckin'.flac</t>
  </si>
  <si>
    <t>Z:\Grateful Dead\# Dick's Picks #\15 - 1977-09-03 [Raceway Park, Englishtown, NJ]\210 Terrapin Station.flac</t>
  </si>
  <si>
    <t>Z:\Grateful Dead\# Dick's Picks #\16 - 1969-11-08 [Fillmore Auditorium, San Francisco, CA]\101 Good Morning Little Schoolgirl.flac</t>
  </si>
  <si>
    <t>Good Morning Little Schoolgirl</t>
  </si>
  <si>
    <t>Z:\Grateful Dead\# Dick's Picks #\16 - 1969-11-08 [Fillmore Auditorium, San Francisco, CA]\102 Casey Jones.flac</t>
  </si>
  <si>
    <t>Z:\Grateful Dead\# Dick's Picks #\16 - 1969-11-08 [Fillmore Auditorium, San Francisco, CA]\103 Dire Wolf.flac</t>
  </si>
  <si>
    <t>Z:\Grateful Dead\# Dick's Picks #\16 - 1969-11-08 [Fillmore Auditorium, San Francisco, CA]\104 Easy Wind.flac</t>
  </si>
  <si>
    <t>Easy Wind</t>
  </si>
  <si>
    <t>Z:\Grateful Dead\# Dick's Picks #\16 - 1969-11-08 [Fillmore Auditorium, San Francisco, CA]\105 China Cat Sunflower.flac</t>
  </si>
  <si>
    <t>Z:\Grateful Dead\# Dick's Picks #\16 - 1969-11-08 [Fillmore Auditorium, San Francisco, CA]\106 I Know You Rider.flac</t>
  </si>
  <si>
    <t>Z:\Grateful Dead\# Dick's Picks #\16 - 1969-11-08 [Fillmore Auditorium, San Francisco, CA]\107 High Time.flac</t>
  </si>
  <si>
    <t>Z:\Grateful Dead\# Dick's Picks #\16 - 1969-11-08 [Fillmore Auditorium, San Francisco, CA]\108 Mama Tried.flac</t>
  </si>
  <si>
    <t>Z:\Grateful Dead\# Dick's Picks #\16 - 1969-11-08 [Fillmore Auditorium, San Francisco, CA]\109 Good Lovin'.flac</t>
  </si>
  <si>
    <t>Z:\Grateful Dead\# Dick's Picks #\16 - 1969-11-08 [Fillmore Auditorium, San Francisco, CA]\110 Cumberland Blues.flac</t>
  </si>
  <si>
    <t>Z:\Grateful Dead\# Dick's Picks #\16 - 1969-11-08 [Fillmore Auditorium, San Francisco, CA]\201 Dark Star.flac</t>
  </si>
  <si>
    <t>Z:\Grateful Dead\# Dick's Picks #\16 - 1969-11-08 [Fillmore Auditorium, San Francisco, CA]\202 The Other One.flac</t>
  </si>
  <si>
    <t>Z:\Grateful Dead\# Dick's Picks #\16 - 1969-11-08 [Fillmore Auditorium, San Francisco, CA]\203 Dark Star.flac</t>
  </si>
  <si>
    <t>Z:\Grateful Dead\# Dick's Picks #\16 - 1969-11-08 [Fillmore Auditorium, San Francisco, CA]\204 Uncle John's Band Jam.flac</t>
  </si>
  <si>
    <t>Uncle John's Band Jam</t>
  </si>
  <si>
    <t>Z:\Grateful Dead\# Dick's Picks #\16 - 1969-11-08 [Fillmore Auditorium, San Francisco, CA]\205 Dark Star.flac</t>
  </si>
  <si>
    <t>Z:\Grateful Dead\# Dick's Picks #\16 - 1969-11-08 [Fillmore Auditorium, San Francisco, CA]\206 St. Stephen.flac</t>
  </si>
  <si>
    <t>Z:\Grateful Dead\# Dick's Picks #\16 - 1969-11-08 [Fillmore Auditorium, San Francisco, CA]\207 The Eleven.flac</t>
  </si>
  <si>
    <t>The Eleven</t>
  </si>
  <si>
    <t>Z:\Grateful Dead\# Dick's Picks #\16 - 1969-11-08 [Fillmore Auditorium, San Francisco, CA]\208 Caution.flac</t>
  </si>
  <si>
    <t>Caution</t>
  </si>
  <si>
    <t>Z:\Grateful Dead\# Dick's Picks #\16 - 1969-11-08 [Fillmore Auditorium, San Francisco, CA]\209 The Main Ten.flac</t>
  </si>
  <si>
    <t>The Main Ten</t>
  </si>
  <si>
    <t>Z:\Grateful Dead\# Dick's Picks #\16 - 1969-11-08 [Fillmore Auditorium, San Francisco, CA]\210 Caution.flac</t>
  </si>
  <si>
    <t>Z:\Grateful Dead\# Dick's Picks #\16 - 1969-11-08 [Fillmore Auditorium, San Francisco, CA]\211 Feedback.flac</t>
  </si>
  <si>
    <t>Z:\Grateful Dead\# Dick's Picks #\16 - 1969-11-08 [Fillmore Auditorium, San Francisco, CA]\212 We Bid You Goodnight.flac</t>
  </si>
  <si>
    <t>Z:\Grateful Dead\# Dick's Picks #\16 - 1969-11-08 [Fillmore Auditorium, San Francisco, CA]\213 Turn On Your Lovelight.flac</t>
  </si>
  <si>
    <t>Turn On Your Lovelight</t>
  </si>
  <si>
    <t>Z:\Grateful Dead\# Dick's Picks #\17 - 1991-09-25 [Boston Garden, Boston, MA]\101 Help On The Way -».flac</t>
  </si>
  <si>
    <t>Help On The Way &gt;</t>
  </si>
  <si>
    <t>Z:\Grateful Dead\# Dick's Picks #\17 - 1991-09-25 [Boston Garden, Boston, MA]\102 Slipknot! -».flac</t>
  </si>
  <si>
    <t>Slipknot! &gt;</t>
  </si>
  <si>
    <t>Z:\Grateful Dead\# Dick's Picks #\17 - 1991-09-25 [Boston Garden, Boston, MA]\103 Franklin's Tower -».flac</t>
  </si>
  <si>
    <t>Franklin's Tower &gt;</t>
  </si>
  <si>
    <t>Z:\Grateful Dead\# Dick's Picks #\17 - 1991-09-25 [Boston Garden, Boston, MA]\104 Walkin' Blues.flac</t>
  </si>
  <si>
    <t>Walkin' Blues</t>
  </si>
  <si>
    <t>Z:\Grateful Dead\# Dick's Picks #\17 - 1991-09-25 [Boston Garden, Boston, MA]\105 It Must Have Been The Roses -».flac</t>
  </si>
  <si>
    <t>It Must Have Been The Roses &gt;</t>
  </si>
  <si>
    <t>Z:\Grateful Dead\# Dick's Picks #\17 - 1991-09-25 [Boston Garden, Boston, MA]\106 Dire Wolf.flac</t>
  </si>
  <si>
    <t>Z:\Grateful Dead\# Dick's Picks #\17 - 1991-09-25 [Boston Garden, Boston, MA]\107 Queen Jane Approximately.flac</t>
  </si>
  <si>
    <t>Z:\Grateful Dead\# Dick's Picks #\17 - 1991-09-25 [Boston Garden, Boston, MA]\108 Tennessee Jed -».flac</t>
  </si>
  <si>
    <t>Tennessee Jed &gt;</t>
  </si>
  <si>
    <t>Z:\Grateful Dead\# Dick's Picks #\17 - 1991-09-25 [Boston Garden, Boston, MA]\109 The Music Never Stopped.flac</t>
  </si>
  <si>
    <t>Z:\Grateful Dead\# Dick's Picks #\17 - 1991-09-25 [Boston Garden, Boston, MA]\201  Victim Or The Crime.flac</t>
  </si>
  <si>
    <t>Victim Or The Crime</t>
  </si>
  <si>
    <t>Z:\Grateful Dead\# Dick's Picks #\17 - 1991-09-25 [Boston Garden, Boston, MA]\202  Crazy Fingers.flac</t>
  </si>
  <si>
    <t>Crazy Fingers</t>
  </si>
  <si>
    <t>Z:\Grateful Dead\# Dick's Picks #\17 - 1991-09-25 [Boston Garden, Boston, MA]\203  Playing In The Band.flac</t>
  </si>
  <si>
    <t>Z:\Grateful Dead\# Dick's Picks #\17 - 1991-09-25 [Boston Garden, Boston, MA]\204  Terrapin Station.flac</t>
  </si>
  <si>
    <t>Z:\Grateful Dead\# Dick's Picks #\17 - 1991-09-25 [Boston Garden, Boston, MA]\205  Boston Clam Jam.flac</t>
  </si>
  <si>
    <t>Boston Clam Jam</t>
  </si>
  <si>
    <t>Z:\Grateful Dead\# Dick's Picks #\17 - 1991-09-25 [Boston Garden, Boston, MA]\206  Drums.flac</t>
  </si>
  <si>
    <t>Z:\Grateful Dead\# Dick's Picks #\17 - 1991-09-25 [Boston Garden, Boston, MA]\207  Space.flac</t>
  </si>
  <si>
    <t>Z:\Grateful Dead\# Dick's Picks #\17 - 1991-09-25 [Boston Garden, Boston, MA]\208 That Would Be Something ».flac</t>
  </si>
  <si>
    <t>That Would Be Something &gt;</t>
  </si>
  <si>
    <t>Z:\Grateful Dead\# Dick's Picks #\17 - 1991-09-25 [Boston Garden, Boston, MA]\209 Playing in the Band ».flac</t>
  </si>
  <si>
    <t>Playing in the Band &gt;</t>
  </si>
  <si>
    <t>Z:\Grateful Dead\# Dick's Picks #\17 - 1991-09-25 [Boston Garden, Boston, MA]\210 China Doll ».flac</t>
  </si>
  <si>
    <t>China Doll &gt;</t>
  </si>
  <si>
    <t>Z:\Grateful Dead\# Dick's Picks #\17 - 1991-09-25 [Boston Garden, Boston, MA]\211 Throwing Stones ».flac</t>
  </si>
  <si>
    <t>Throwing Stones &gt;</t>
  </si>
  <si>
    <t>Z:\Grateful Dead\# Dick's Picks #\17 - 1991-09-25 [Boston Garden, Boston, MA]\212 Not Fade Away.flac</t>
  </si>
  <si>
    <t>Z:\Grateful Dead\# Dick's Picks #\17 - 1991-09-25 [Boston Garden, Boston, MA]\213 The Mighty Quinn.flac</t>
  </si>
  <si>
    <t>The Mighty Quinn</t>
  </si>
  <si>
    <t>Z:\Grateful Dead\# Dick's Picks #\17 - 1991-09-25 [Boston Garden, Boston, MA]\901 Samson and Delilah » (1991-03-31 - Greensboro').flac</t>
  </si>
  <si>
    <t>Samson and Delilah &gt; (1991-03-31 - Greensboro')</t>
  </si>
  <si>
    <t>Z:\Grateful Dead\# Dick's Picks #\17 - 1991-09-25 [Boston Garden, Boston, MA]\902 Eyes of the World  (1991-03-31 - Greensboro').flac</t>
  </si>
  <si>
    <t>Eyes of the World  (1991-03-31 - Greensboro')</t>
  </si>
  <si>
    <t>Z:\Grateful Dead\# Dick's Picks #\18 - 1978-02-03 [Dane County Coliseum, Madison, WI]\101 Bertha.flac</t>
  </si>
  <si>
    <t>Z:\Grateful Dead\# Dick's Picks #\18 - 1978-02-03 [Dane County Coliseum, Madison, WI]\102 Good Lovin'.flac</t>
  </si>
  <si>
    <t>Z:\Grateful Dead\# Dick's Picks #\18 - 1978-02-03 [Dane County Coliseum, Madison, WI]\103 Cold Rain And Snow.flac</t>
  </si>
  <si>
    <t>Z:\Grateful Dead\# Dick's Picks #\18 - 1978-02-03 [Dane County Coliseum, Madison, WI]\104 New Minglewood Blues.flac</t>
  </si>
  <si>
    <t>Z:\Grateful Dead\# Dick's Picks #\18 - 1978-02-03 [Dane County Coliseum, Madison, WI]\105 They Love Each Other.flac</t>
  </si>
  <si>
    <t>Z:\Grateful Dead\# Dick's Picks #\18 - 1978-02-03 [Dane County Coliseum, Madison, WI]\106 It's All Over Now.flac</t>
  </si>
  <si>
    <t>It's All Over Now</t>
  </si>
  <si>
    <t>Z:\Grateful Dead\# Dick's Picks #\18 - 1978-02-03 [Dane County Coliseum, Madison, WI]\107 Dupree's Diamond Blues.flac</t>
  </si>
  <si>
    <t>Dupree's Diamond Blues</t>
  </si>
  <si>
    <t>Z:\Grateful Dead\# Dick's Picks #\18 - 1978-02-03 [Dane County Coliseum, Madison, WI]\108 Looks Like Rain.flac</t>
  </si>
  <si>
    <t>Z:\Grateful Dead\# Dick's Picks #\18 - 1978-02-03 [Dane County Coliseum, Madison, WI]\109 Brown-Eyed Woman.flac</t>
  </si>
  <si>
    <t>Z:\Grateful Dead\# Dick's Picks #\18 - 1978-02-03 [Dane County Coliseum, Madison, WI]\110 Passenger.flac</t>
  </si>
  <si>
    <t>Passenger</t>
  </si>
  <si>
    <t>Z:\Grateful Dead\# Dick's Picks #\18 - 1978-02-03 [Dane County Coliseum, Madison, WI]\111 Deal.flac</t>
  </si>
  <si>
    <t>Z:\Grateful Dead\# Dick's Picks #\18 - 1978-02-03 [Dane County Coliseum, Madison, WI]\112 The Music Never Stopped.flac</t>
  </si>
  <si>
    <t>Z:\Grateful Dead\# Dick's Picks #\18 - 1978-02-03 [Dane County Coliseum, Madison, WI]\201 Estimated Prophet.flac</t>
  </si>
  <si>
    <t>Z:\Grateful Dead\# Dick's Picks #\18 - 1978-02-03 [Dane County Coliseum, Madison, WI]\202 Eyes Of The World.flac</t>
  </si>
  <si>
    <t>Z:\Grateful Dead\# Dick's Picks #\18 - 1978-02-03 [Dane County Coliseum, Madison, WI]\203 Playing In The Band.flac</t>
  </si>
  <si>
    <t>Z:\Grateful Dead\# Dick's Picks #\18 - 1978-02-03 [Dane County Coliseum, Madison, WI]\204 The Wheel.flac</t>
  </si>
  <si>
    <t>The Wheel</t>
  </si>
  <si>
    <t>Z:\Grateful Dead\# Dick's Picks #\18 - 1978-02-03 [Dane County Coliseum, Madison, WI]\205 Playing In The Band.flac</t>
  </si>
  <si>
    <t>Z:\Grateful Dead\# Dick's Picks #\18 - 1978-02-03 [Dane County Coliseum, Madison, WI]\206 Johnny B. Goode.flac</t>
  </si>
  <si>
    <t>Z:\Grateful Dead\# Dick's Picks #\18 - 1978-02-03 [Dane County Coliseum, Madison, WI]\207 Samson And Delilah.flac</t>
  </si>
  <si>
    <t>Z:\Grateful Dead\# Dick's Picks #\18 - 1978-02-03 [Dane County Coliseum, Madison, WI]\208 Scarlet Begonias.flac</t>
  </si>
  <si>
    <t>Z:\Grateful Dead\# Dick's Picks #\18 - 1978-02-03 [Dane County Coliseum, Madison, WI]\209 Fire On The Mountain.flac</t>
  </si>
  <si>
    <t>Fire On The Mountain</t>
  </si>
  <si>
    <t>Z:\Grateful Dead\# Dick's Picks #\18 - 1978-02-03 [Dane County Coliseum, Madison, WI]\210 Truckin'.flac</t>
  </si>
  <si>
    <t>Z:\Grateful Dead\# Dick's Picks #\18 - 1978-02-03 [Dane County Coliseum, Madison, WI]\211 Drums.flac</t>
  </si>
  <si>
    <t>Z:\Grateful Dead\# Dick's Picks #\18 - 1978-02-03 [Dane County Coliseum, Madison, WI]\212 The Other One.flac</t>
  </si>
  <si>
    <t>Z:\Grateful Dead\# Dick's Picks #\18 - 1978-02-03 [Dane County Coliseum, Madison, WI]\213 Wharf Rat.flac</t>
  </si>
  <si>
    <t>Z:\Grateful Dead\# Dick's Picks #\18 - 1978-02-03 [Dane County Coliseum, Madison, WI]\214 Around And Around.flac</t>
  </si>
  <si>
    <t>Around And Around</t>
  </si>
  <si>
    <t>Z:\Grateful Dead\# Dick's Picks #\19 - 1973-10-19 [Fairgrounds Arena, Oklahoma City, OK]\101 Promised Land.flac</t>
  </si>
  <si>
    <t>Z:\Grateful Dead\# Dick's Picks #\19 - 1973-10-19 [Fairgrounds Arena, Oklahoma City, OK]\102 Sugaree.flac</t>
  </si>
  <si>
    <t>Z:\Grateful Dead\# Dick's Picks #\19 - 1973-10-19 [Fairgrounds Arena, Oklahoma City, OK]\103 Mexicali Blues.flac</t>
  </si>
  <si>
    <t>Z:\Grateful Dead\# Dick's Picks #\19 - 1973-10-19 [Fairgrounds Arena, Oklahoma City, OK]\104 Tennessee Jed.flac</t>
  </si>
  <si>
    <t>Z:\Grateful Dead\# Dick's Picks #\19 - 1973-10-19 [Fairgrounds Arena, Oklahoma City, OK]\105 Looks Like Rain.flac</t>
  </si>
  <si>
    <t>Z:\Grateful Dead\# Dick's Picks #\19 - 1973-10-19 [Fairgrounds Arena, Oklahoma City, OK]\106 Don't Ease Me In.flac</t>
  </si>
  <si>
    <t>Z:\Grateful Dead\# Dick's Picks #\19 - 1973-10-19 [Fairgrounds Arena, Oklahoma City, OK]\107 Jack Straw.flac</t>
  </si>
  <si>
    <t>Z:\Grateful Dead\# Dick's Picks #\19 - 1973-10-19 [Fairgrounds Arena, Oklahoma City, OK]\108 They Love Each Other.flac</t>
  </si>
  <si>
    <t>Z:\Grateful Dead\# Dick's Picks #\19 - 1973-10-19 [Fairgrounds Arena, Oklahoma City, OK]\109 El Paso.flac</t>
  </si>
  <si>
    <t>Z:\Grateful Dead\# Dick's Picks #\19 - 1973-10-19 [Fairgrounds Arena, Oklahoma City, OK]\110 Row Jimmy.flac</t>
  </si>
  <si>
    <t>Z:\Grateful Dead\# Dick's Picks #\19 - 1973-10-19 [Fairgrounds Arena, Oklahoma City, OK]\111 Playing In The Band.flac</t>
  </si>
  <si>
    <t>Z:\Grateful Dead\# Dick's Picks #\19 - 1973-10-19 [Fairgrounds Arena, Oklahoma City, OK]\201 China Cat Sunflower -».flac</t>
  </si>
  <si>
    <t>China Cat Sunflower &gt;</t>
  </si>
  <si>
    <t>Z:\Grateful Dead\# Dick's Picks #\19 - 1973-10-19 [Fairgrounds Arena, Oklahoma City, OK]\202 I Know You Rider.flac</t>
  </si>
  <si>
    <t>Z:\Grateful Dead\# Dick's Picks #\19 - 1973-10-19 [Fairgrounds Arena, Oklahoma City, OK]\203 Me and My Uncle.flac</t>
  </si>
  <si>
    <t>Me and My Uncle</t>
  </si>
  <si>
    <t>Z:\Grateful Dead\# Dick's Picks #\19 - 1973-10-19 [Fairgrounds Arena, Oklahoma City, OK]\204 Mississippi Half-Step Uptown Toodeloo.flac</t>
  </si>
  <si>
    <t>Z:\Grateful Dead\# Dick's Picks #\19 - 1973-10-19 [Fairgrounds Arena, Oklahoma City, OK]\205 Big River.flac</t>
  </si>
  <si>
    <t>Z:\Grateful Dead\# Dick's Picks #\19 - 1973-10-19 [Fairgrounds Arena, Oklahoma City, OK]\206 Dark Star -».flac</t>
  </si>
  <si>
    <t>Dark Star &gt;</t>
  </si>
  <si>
    <t>Z:\Grateful Dead\# Dick's Picks #\19 - 1973-10-19 [Fairgrounds Arena, Oklahoma City, OK]\207 Mind Left Body Jam -».flac</t>
  </si>
  <si>
    <t>Mind Left Body Jam &gt;</t>
  </si>
  <si>
    <t>Z:\Grateful Dead\# Dick's Picks #\19 - 1973-10-19 [Fairgrounds Arena, Oklahoma City, OK]\208 Morning Dew -».flac</t>
  </si>
  <si>
    <t>Morning Dew &gt;</t>
  </si>
  <si>
    <t>Z:\Grateful Dead\# Dick's Picks #\19 - 1973-10-19 [Fairgrounds Arena, Oklahoma City, OK]\209 Sugar Magnolia -».flac</t>
  </si>
  <si>
    <t>Sugar Magnolia &gt;</t>
  </si>
  <si>
    <t>Z:\Grateful Dead\# Dick's Picks #\19 - 1973-10-19 [Fairgrounds Arena, Oklahoma City, OK]\210 Eyes of the World -».flac</t>
  </si>
  <si>
    <t>Eyes of the World &gt;</t>
  </si>
  <si>
    <t>Z:\Grateful Dead\# Dick's Picks #\19 - 1973-10-19 [Fairgrounds Arena, Oklahoma City, OK]\211 Stella Blue.flac</t>
  </si>
  <si>
    <t>Z:\Grateful Dead\# Dick's Picks #\19 - 1973-10-19 [Fairgrounds Arena, Oklahoma City, OK]\212 Johnny B. Goode.flac</t>
  </si>
  <si>
    <t>Z:\Grateful Dead\# Dick's Picks #\20 - 1976-09-25 [Capitol Centre, Landover, MD]\101 Bertha.flac</t>
  </si>
  <si>
    <t>Z:\Grateful Dead\# Dick's Picks #\20 - 1976-09-25 [Capitol Centre, Landover, MD]\102 New Minglewood Blues.flac</t>
  </si>
  <si>
    <t>Z:\Grateful Dead\# Dick's Picks #\20 - 1976-09-25 [Capitol Centre, Landover, MD]\103 Ramble on Rose.flac</t>
  </si>
  <si>
    <t>Z:\Grateful Dead\# Dick's Picks #\20 - 1976-09-25 [Capitol Centre, Landover, MD]\104 Cassidy.flac</t>
  </si>
  <si>
    <t>Z:\Grateful Dead\# Dick's Picks #\20 - 1976-09-25 [Capitol Centre, Landover, MD]\105 Brown-Eyed Women.flac</t>
  </si>
  <si>
    <t>Brown-Eyed Women</t>
  </si>
  <si>
    <t>Z:\Grateful Dead\# Dick's Picks #\20 - 1976-09-25 [Capitol Centre, Landover, MD]\106 Mama Tried.flac</t>
  </si>
  <si>
    <t>Z:\Grateful Dead\# Dick's Picks #\20 - 1976-09-25 [Capitol Centre, Landover, MD]\107 Peggy-O.flac</t>
  </si>
  <si>
    <t>Z:\Grateful Dead\# Dick's Picks #\20 - 1976-09-25 [Capitol Centre, Landover, MD]\108 Loser.flac</t>
  </si>
  <si>
    <t>Z:\Grateful Dead\# Dick's Picks #\20 - 1976-09-25 [Capitol Centre, Landover, MD]\109 Let It Grow.flac</t>
  </si>
  <si>
    <t>Z:\Grateful Dead\# Dick's Picks #\20 - 1976-09-25 [Capitol Centre, Landover, MD]\110 Sugaree.flac</t>
  </si>
  <si>
    <t>Z:\Grateful Dead\# Dick's Picks #\20 - 1976-09-25 [Capitol Centre, Landover, MD]\201 Lazy Lightnin' -».flac</t>
  </si>
  <si>
    <t>Lazy Lightnin' &gt;</t>
  </si>
  <si>
    <t>Z:\Grateful Dead\# Dick's Picks #\20 - 1976-09-25 [Capitol Centre, Landover, MD]\202 Supplication.flac</t>
  </si>
  <si>
    <t>Z:\Grateful Dead\# Dick's Picks #\20 - 1976-09-25 [Capitol Centre, Landover, MD]\203 Mississippi Half-Step Uptown Toodeloo.flac</t>
  </si>
  <si>
    <t>Z:\Grateful Dead\# Dick's Picks #\20 - 1976-09-25 [Capitol Centre, Landover, MD]\204 Dancing In The Streets.flac</t>
  </si>
  <si>
    <t>Dancing In The Streets</t>
  </si>
  <si>
    <t>Z:\Grateful Dead\# Dick's Picks #\20 - 1976-09-25 [Capitol Centre, Landover, MD]\205 Cosmic Charlie.flac</t>
  </si>
  <si>
    <t>Z:\Grateful Dead\# Dick's Picks #\20 - 1976-09-25 [Capitol Centre, Landover, MD]\206 Scarlet Begonias.flac</t>
  </si>
  <si>
    <t>Z:\Grateful Dead\# Dick's Picks #\20 - 1976-09-25 [Capitol Centre, Landover, MD]\207 St. Stephen.flac</t>
  </si>
  <si>
    <t>Z:\Grateful Dead\# Dick's Picks #\20 - 1976-09-25 [Capitol Centre, Landover, MD]\208 Not Fade Away.flac</t>
  </si>
  <si>
    <t>Z:\Grateful Dead\# Dick's Picks #\20 - 1976-09-25 [Capitol Centre, Landover, MD]\209 Drums.flac</t>
  </si>
  <si>
    <t>Z:\Grateful Dead\# Dick's Picks #\20 - 1976-09-25 [Capitol Centre, Landover, MD]\210 Jam.flac</t>
  </si>
  <si>
    <t>Z:\Grateful Dead\# Dick's Picks #\20 - 1976-09-25 [Capitol Centre, Landover, MD]\211 St. Stephen.flac</t>
  </si>
  <si>
    <t>Z:\Grateful Dead\# Dick's Picks #\20 - 1976-09-25 [Capitol Centre, Landover, MD]\212 Sugar Magnolia.flac</t>
  </si>
  <si>
    <t>Z:\Grateful Dead\# Dick's Picks #\20 - 1976-09-28 [Onondaga County War Memorial, Syracuse, NY]\101 Cold Rain &amp; Snow.flac</t>
  </si>
  <si>
    <t>Z:\Grateful Dead\# Dick's Picks #\20 - 1976-09-28 [Onondaga County War Memorial, Syracuse, NY]\102 Big River.flac</t>
  </si>
  <si>
    <t>Z:\Grateful Dead\# Dick's Picks #\20 - 1976-09-28 [Onondaga County War Memorial, Syracuse, NY]\103 Cassidy.flac</t>
  </si>
  <si>
    <t>Z:\Grateful Dead\# Dick's Picks #\20 - 1976-09-28 [Onondaga County War Memorial, Syracuse, NY]\104 Tennessee Jed.flac</t>
  </si>
  <si>
    <t>Z:\Grateful Dead\# Dick's Picks #\20 - 1976-09-28 [Onondaga County War Memorial, Syracuse, NY]\105 New Minglewood Blues.flac</t>
  </si>
  <si>
    <t>Z:\Grateful Dead\# Dick's Picks #\20 - 1976-09-28 [Onondaga County War Memorial, Syracuse, NY]\106 Candyman.flac</t>
  </si>
  <si>
    <t>Candyman</t>
  </si>
  <si>
    <t>Z:\Grateful Dead\# Dick's Picks #\20 - 1976-09-28 [Onondaga County War Memorial, Syracuse, NY]\107 It's All Over Now.flac</t>
  </si>
  <si>
    <t>Z:\Grateful Dead\# Dick's Picks #\20 - 1976-09-28 [Onondaga County War Memorial, Syracuse, NY]\108 Friend of the Devil.flac</t>
  </si>
  <si>
    <t>Z:\Grateful Dead\# Dick's Picks #\20 - 1976-09-28 [Onondaga County War Memorial, Syracuse, NY]\109 Let it Grow -».flac</t>
  </si>
  <si>
    <t>Let it Grow &gt;</t>
  </si>
  <si>
    <t>Z:\Grateful Dead\# Dick's Picks #\20 - 1976-09-28 [Onondaga County War Memorial, Syracuse, NY]\110 Goin Down the Road Feelin Bad.flac</t>
  </si>
  <si>
    <t>Goin Down the Road Feelin Bad</t>
  </si>
  <si>
    <t>Z:\Grateful Dead\# Dick's Picks #\20 - 1976-09-28 [Onondaga County War Memorial, Syracuse, NY]\201 Playing in the Band.flac</t>
  </si>
  <si>
    <t>Z:\Grateful Dead\# Dick's Picks #\20 - 1976-09-28 [Onondaga County War Memorial, Syracuse, NY]\202 The Wheel.flac</t>
  </si>
  <si>
    <t>Z:\Grateful Dead\# Dick's Picks #\20 - 1976-09-28 [Onondaga County War Memorial, Syracuse, NY]\203 Samson &amp; Delilah.flac</t>
  </si>
  <si>
    <t>Z:\Grateful Dead\# Dick's Picks #\20 - 1976-09-28 [Onondaga County War Memorial, Syracuse, NY]\204 Jam.flac</t>
  </si>
  <si>
    <t>Z:\Grateful Dead\# Dick's Picks #\20 - 1976-09-28 [Onondaga County War Memorial, Syracuse, NY]\205 Comes a Time.flac</t>
  </si>
  <si>
    <t>Comes a Time</t>
  </si>
  <si>
    <t>Z:\Grateful Dead\# Dick's Picks #\20 - 1976-09-28 [Onondaga County War Memorial, Syracuse, NY]\206 Drums.flac</t>
  </si>
  <si>
    <t>Z:\Grateful Dead\# Dick's Picks #\20 - 1976-09-28 [Onondaga County War Memorial, Syracuse, NY]\207 Eyes of the World.flac</t>
  </si>
  <si>
    <t>Z:\Grateful Dead\# Dick's Picks #\20 - 1976-09-28 [Onondaga County War Memorial, Syracuse, NY]\208 Orange Tango Jam.flac</t>
  </si>
  <si>
    <t>Orange Tango Jam</t>
  </si>
  <si>
    <t>Z:\Grateful Dead\# Dick's Picks #\20 - 1976-09-28 [Onondaga County War Memorial, Syracuse, NY]\209 Dancing in the Streets.flac</t>
  </si>
  <si>
    <t>Dancing in the Streets</t>
  </si>
  <si>
    <t>Z:\Grateful Dead\# Dick's Picks #\20 - 1976-09-28 [Onondaga County War Memorial, Syracuse, NY]\210 Playing in the Band.flac</t>
  </si>
  <si>
    <t>Z:\Grateful Dead\# Dick's Picks #\20 - 1976-09-28 [Onondaga County War Memorial, Syracuse, NY]\211 Johnny B. Goode.flac</t>
  </si>
  <si>
    <t>Z:\Grateful Dead\# Dick's Picks #\21 - 1980-09-02 [Community War Memorial, Rochester, NY] % filler\01 Space.flac</t>
  </si>
  <si>
    <t>Z:\Grateful Dead\# Dick's Picks #\21 - 1980-09-02 [Community War Memorial, Rochester, NY] % filler\02 Iko Iko.flac</t>
  </si>
  <si>
    <t>Z:\Grateful Dead\# Dick's Picks #\21 - 1980-09-02 [Community War Memorial, Rochester, NY] % filler\03 Morning Dew.flac</t>
  </si>
  <si>
    <t>Z:\Grateful Dead\# Dick's Picks #\21 - 1980-09-02 [Community War Memorial, Rochester, NY] % filler\04 Sugar Magnolia.flac</t>
  </si>
  <si>
    <t>Z:\Grateful Dead\# Dick's Picks #\21 - 1985-11-01 [Richmond Coliseum, Richmond, VA]\101 Dancing In The Streets -».flac</t>
  </si>
  <si>
    <t>Dancing In The Streets &gt;</t>
  </si>
  <si>
    <t>Z:\Grateful Dead\# Dick's Picks #\21 - 1985-11-01 [Richmond Coliseum, Richmond, VA]\102 Cold Rain And Snow.flac</t>
  </si>
  <si>
    <t>Z:\Grateful Dead\# Dick's Picks #\21 - 1985-11-01 [Richmond Coliseum, Richmond, VA]\103 Little Red Rooster.flac</t>
  </si>
  <si>
    <t>Z:\Grateful Dead\# Dick's Picks #\21 - 1985-11-01 [Richmond Coliseum, Richmond, VA]\104 Stagger Lee.flac</t>
  </si>
  <si>
    <t>Z:\Grateful Dead\# Dick's Picks #\21 - 1985-11-01 [Richmond Coliseum, Richmond, VA]\105 Me And My Uncle -».flac</t>
  </si>
  <si>
    <t>Me And My Uncle &gt;</t>
  </si>
  <si>
    <t>Z:\Grateful Dead\# Dick's Picks #\21 - 1985-11-01 [Richmond Coliseum, Richmond, VA]\106 Big River.flac</t>
  </si>
  <si>
    <t>Z:\Grateful Dead\# Dick's Picks #\21 - 1985-11-01 [Richmond Coliseum, Richmond, VA]\107 Brown-Eyed Women.flac</t>
  </si>
  <si>
    <t>Z:\Grateful Dead\# Dick's Picks #\21 - 1985-11-01 [Richmond Coliseum, Richmond, VA]\108 Jack Straw -».flac</t>
  </si>
  <si>
    <t>Jack Straw &gt;</t>
  </si>
  <si>
    <t>Z:\Grateful Dead\# Dick's Picks #\21 - 1985-11-01 [Richmond Coliseum, Richmond, VA]\109 Don't Ease Me In.flac</t>
  </si>
  <si>
    <t>Z:\Grateful Dead\# Dick's Picks #\21 - 1985-11-01 [Richmond Coliseum, Richmond, VA]\201 Samson and Delilah.flac</t>
  </si>
  <si>
    <t>Z:\Grateful Dead\# Dick's Picks #\21 - 1985-11-01 [Richmond Coliseum, Richmond, VA]\202 High Time.flac</t>
  </si>
  <si>
    <t>Z:\Grateful Dead\# Dick's Picks #\21 - 1985-11-01 [Richmond Coliseum, Richmond, VA]\203 He's Gone -».flac</t>
  </si>
  <si>
    <t>Z:\Grateful Dead\# Dick's Picks #\21 - 1985-11-01 [Richmond Coliseum, Richmond, VA]\204 Spoonful -».flac</t>
  </si>
  <si>
    <t>Spoonful &gt;</t>
  </si>
  <si>
    <t>Z:\Grateful Dead\# Dick's Picks #\21 - 1985-11-01 [Richmond Coliseum, Richmond, VA]\205 Comes a Time -».flac</t>
  </si>
  <si>
    <t>Comes a Time &gt;</t>
  </si>
  <si>
    <t>Z:\Grateful Dead\# Dick's Picks #\21 - 1985-11-01 [Richmond Coliseum, Richmond, VA]\206 Lost Sailor -».flac</t>
  </si>
  <si>
    <t>Lost Sailor &gt;</t>
  </si>
  <si>
    <t>Z:\Grateful Dead\# Dick's Picks #\21 - 1985-11-01 [Richmond Coliseum, Richmond, VA]\207 Drums -».flac</t>
  </si>
  <si>
    <t>Z:\Grateful Dead\# Dick's Picks #\21 - 1985-11-01 [Richmond Coliseum, Richmond, VA]\208 Space -».flac</t>
  </si>
  <si>
    <t>Space &gt;</t>
  </si>
  <si>
    <t>Z:\Grateful Dead\# Dick's Picks #\21 - 1985-11-01 [Richmond Coliseum, Richmond, VA]\209 Saint Of Circumstance -».flac</t>
  </si>
  <si>
    <t>Saint Of Circumstance &gt;</t>
  </si>
  <si>
    <t>Z:\Grateful Dead\# Dick's Picks #\21 - 1985-11-01 [Richmond Coliseum, Richmond, VA]\210 Gimme Some Lovin' -».flac</t>
  </si>
  <si>
    <t>Gimme Some Lovin' &gt;</t>
  </si>
  <si>
    <t>Z:\Grateful Dead\# Dick's Picks #\21 - 1985-11-01 [Richmond Coliseum, Richmond, VA]\211 She Belongs To Me -».flac</t>
  </si>
  <si>
    <t>She Belongs To Me &gt;</t>
  </si>
  <si>
    <t>Z:\Grateful Dead\# Dick's Picks #\21 - 1985-11-01 [Richmond Coliseum, Richmond, VA]\212 Gloria.flac</t>
  </si>
  <si>
    <t>Gloria</t>
  </si>
  <si>
    <t>Z:\Grateful Dead\# Dick's Picks #\21 - 1985-11-01 [Richmond Coliseum, Richmond, VA]\213 Keep Your Day Job.flac</t>
  </si>
  <si>
    <t>Z:\Grateful Dead\# Dick's Picks #\22 - 1968-02-23 [Kings Beach, Lake Tahoe, CA]\101 Viola Lee Blues.flac</t>
  </si>
  <si>
    <t>Z:\Grateful Dead\# Dick's Picks #\22 - 1968-02-23 [Kings Beach, Lake Tahoe, CA]\102 Hurts Me Too.flac</t>
  </si>
  <si>
    <t>Hurts Me Too</t>
  </si>
  <si>
    <t>Z:\Grateful Dead\# Dick's Picks #\22 - 1968-02-23 [Kings Beach, Lake Tahoe, CA]\103 Dark Star ».flac</t>
  </si>
  <si>
    <t>Z:\Grateful Dead\# Dick's Picks #\22 - 1968-02-23 [Kings Beach, Lake Tahoe, CA]\104 China Cat Sunflower ».flac</t>
  </si>
  <si>
    <t>Z:\Grateful Dead\# Dick's Picks #\22 - 1968-02-23 [Kings Beach, Lake Tahoe, CA]\105 The Eleven ».flac</t>
  </si>
  <si>
    <t>The Eleven &gt;</t>
  </si>
  <si>
    <t>Z:\Grateful Dead\# Dick's Picks #\22 - 1968-02-23 [Kings Beach, Lake Tahoe, CA]\106 Turn On your Lovelight.flac</t>
  </si>
  <si>
    <t>Turn On your Lovelight</t>
  </si>
  <si>
    <t>Z:\Grateful Dead\# Dick's Picks #\22 - 1968-02-23 [Kings Beach, Lake Tahoe, CA]\107 Born Cross-Eyed ».flac</t>
  </si>
  <si>
    <t>Born Cross-Eyed &gt;</t>
  </si>
  <si>
    <t>Z:\Grateful Dead\# Dick's Picks #\22 - 1968-02-23 [Kings Beach, Lake Tahoe, CA]\108 Spanish Jam.flac</t>
  </si>
  <si>
    <t>Z:\Grateful Dead\# Dick's Picks #\22 - 1968-02-23 [Kings Beach, Lake Tahoe, CA]\201 Morning Dew.flac</t>
  </si>
  <si>
    <t>Z:\Grateful Dead\# Dick's Picks #\22 - 1968-02-23 [Kings Beach, Lake Tahoe, CA]\202 Good Morning Little School Girl.flac</t>
  </si>
  <si>
    <t>Good Morning Little School Girl</t>
  </si>
  <si>
    <t>Z:\Grateful Dead\# Dick's Picks #\22 - 1968-02-23 [Kings Beach, Lake Tahoe, CA]\203 That's It For The Other One -».flac</t>
  </si>
  <si>
    <t>That's It For The Other One &gt;</t>
  </si>
  <si>
    <t>Z:\Grateful Dead\# Dick's Picks #\22 - 1968-02-23 [Kings Beach, Lake Tahoe, CA]\204 New Potato Caboose.flac</t>
  </si>
  <si>
    <t>New Potato Caboose</t>
  </si>
  <si>
    <t>Z:\Grateful Dead\# Dick's Picks #\22 - 1968-02-23 [Kings Beach, Lake Tahoe, CA]\205 Alligator -».flac</t>
  </si>
  <si>
    <t>Alligator &gt;</t>
  </si>
  <si>
    <t>Z:\Grateful Dead\# Dick's Picks #\22 - 1968-02-23 [Kings Beach, Lake Tahoe, CA]\206 China Cat Sunflower -».flac</t>
  </si>
  <si>
    <t>Z:\Grateful Dead\# Dick's Picks #\22 - 1968-02-23 [Kings Beach, Lake Tahoe, CA]\207 The Eleven -».flac</t>
  </si>
  <si>
    <t>Z:\Grateful Dead\# Dick's Picks #\22 - 1968-02-23 [Kings Beach, Lake Tahoe, CA]\208 Alligator -».flac</t>
  </si>
  <si>
    <t>Z:\Grateful Dead\# Dick's Picks #\22 - 1968-02-23 [Kings Beach, Lake Tahoe, CA]\209 Caution -».flac</t>
  </si>
  <si>
    <t>Caution &gt;</t>
  </si>
  <si>
    <t>Z:\Grateful Dead\# Dick's Picks #\22 - 1968-02-23 [Kings Beach, Lake Tahoe, CA]\210 Feedback.flac</t>
  </si>
  <si>
    <t>Z:\Grateful Dead\# Dick's Picks #\23 - 1972-09-17 [Baltimore Civic Center, Baltimore, MD]\101 Promised Land.flac</t>
  </si>
  <si>
    <t>Z:\Grateful Dead\# Dick's Picks #\23 - 1972-09-17 [Baltimore Civic Center, Baltimore, MD]\102 Sugaree.flac</t>
  </si>
  <si>
    <t>Z:\Grateful Dead\# Dick's Picks #\23 - 1972-09-17 [Baltimore Civic Center, Baltimore, MD]\103 Black-Throated Wind.flac</t>
  </si>
  <si>
    <t>Z:\Grateful Dead\# Dick's Picks #\23 - 1972-09-17 [Baltimore Civic Center, Baltimore, MD]\104 Friend Of The Devil.flac</t>
  </si>
  <si>
    <t>Z:\Grateful Dead\# Dick's Picks #\23 - 1972-09-17 [Baltimore Civic Center, Baltimore, MD]\105 El Paso.flac</t>
  </si>
  <si>
    <t>Z:\Grateful Dead\# Dick's Picks #\23 - 1972-09-17 [Baltimore Civic Center, Baltimore, MD]\106 Bird Song.flac</t>
  </si>
  <si>
    <t>Z:\Grateful Dead\# Dick's Picks #\23 - 1972-09-17 [Baltimore Civic Center, Baltimore, MD]\107 Big River.flac</t>
  </si>
  <si>
    <t>Z:\Grateful Dead\# Dick's Picks #\23 - 1972-09-17 [Baltimore Civic Center, Baltimore, MD]\108 Tennessee Jed.flac</t>
  </si>
  <si>
    <t>Z:\Grateful Dead\# Dick's Picks #\23 - 1972-09-17 [Baltimore Civic Center, Baltimore, MD]\109 Mexicali Blues.flac</t>
  </si>
  <si>
    <t>Z:\Grateful Dead\# Dick's Picks #\23 - 1972-09-17 [Baltimore Civic Center, Baltimore, MD]\110 China Cat Sunflower -».flac</t>
  </si>
  <si>
    <t>Z:\Grateful Dead\# Dick's Picks #\23 - 1972-09-17 [Baltimore Civic Center, Baltimore, MD]\111 I Know You Rider.flac</t>
  </si>
  <si>
    <t>Z:\Grateful Dead\# Dick's Picks #\23 - 1972-09-17 [Baltimore Civic Center, Baltimore, MD]\112 Playing in the Band.flac</t>
  </si>
  <si>
    <t>Z:\Grateful Dead\# Dick's Picks #\23 - 1972-09-17 [Baltimore Civic Center, Baltimore, MD]\113 Casey Jones.flac</t>
  </si>
  <si>
    <t>Z:\Grateful Dead\# Dick's Picks #\23 - 1972-09-17 [Baltimore Civic Center, Baltimore, MD]\201 Truckin'.flac</t>
  </si>
  <si>
    <t>Z:\Grateful Dead\# Dick's Picks #\23 - 1972-09-17 [Baltimore Civic Center, Baltimore, MD]\202 Loser.flac</t>
  </si>
  <si>
    <t>Z:\Grateful Dead\# Dick's Picks #\23 - 1972-09-17 [Baltimore Civic Center, Baltimore, MD]\203 Jack Straw.flac</t>
  </si>
  <si>
    <t>Z:\Grateful Dead\# Dick's Picks #\23 - 1972-09-17 [Baltimore Civic Center, Baltimore, MD]\204 Mississippi Half-Step Uptown Toodeloo -».flac</t>
  </si>
  <si>
    <t>Mississippi Half-Step Uptown Toodeloo &gt;</t>
  </si>
  <si>
    <t>Z:\Grateful Dead\# Dick's Picks #\23 - 1972-09-17 [Baltimore Civic Center, Baltimore, MD]\205 Me and My Uncle.flac</t>
  </si>
  <si>
    <t>Z:\Grateful Dead\# Dick's Picks #\23 - 1972-09-17 [Baltimore Civic Center, Baltimore, MD]\206 He's Gone -».flac</t>
  </si>
  <si>
    <t>Z:\Grateful Dead\# Dick's Picks #\23 - 1972-09-17 [Baltimore Civic Center, Baltimore, MD]\207 The Other One -».flac</t>
  </si>
  <si>
    <t>The Other One &gt;</t>
  </si>
  <si>
    <t>Z:\Grateful Dead\# Dick's Picks #\23 - 1972-09-17 [Baltimore Civic Center, Baltimore, MD]\208 Sing Me Back Home.flac</t>
  </si>
  <si>
    <t>Sing Me Back Home</t>
  </si>
  <si>
    <t>Z:\Grateful Dead\# Dick's Picks #\23 - 1972-09-17 [Baltimore Civic Center, Baltimore, MD]\209 Sugar Magnolia.flac</t>
  </si>
  <si>
    <t>Z:\Grateful Dead\# Dick's Picks #\23 - 1972-09-17 [Baltimore Civic Center, Baltimore, MD]\210 Uncle John's Band.flac</t>
  </si>
  <si>
    <t>Z:\Grateful Dead\# Dick's Picks #\24 - 1974-03-23 [Cow Palace, Daly City, CA]\101 U.S. Blues.flac</t>
  </si>
  <si>
    <t>Z:\Grateful Dead\# Dick's Picks #\24 - 1974-03-23 [Cow Palace, Daly City, CA]\102 Promised Land.flac</t>
  </si>
  <si>
    <t>Z:\Grateful Dead\# Dick's Picks #\24 - 1974-03-23 [Cow Palace, Daly City, CA]\103 Brown-Eyed Women.flac</t>
  </si>
  <si>
    <t>Z:\Grateful Dead\# Dick's Picks #\24 - 1974-03-23 [Cow Palace, Daly City, CA]\104 Black-Throated Wind.flac</t>
  </si>
  <si>
    <t>Z:\Grateful Dead\# Dick's Picks #\24 - 1974-03-23 [Cow Palace, Daly City, CA]\105 Scarlet Begonias.flac</t>
  </si>
  <si>
    <t>Z:\Grateful Dead\# Dick's Picks #\24 - 1974-03-23 [Cow Palace, Daly City, CA]\106 Beat It On Down The Line.flac</t>
  </si>
  <si>
    <t>Z:\Grateful Dead\# Dick's Picks #\24 - 1974-03-23 [Cow Palace, Daly City, CA]\107 Deal.flac</t>
  </si>
  <si>
    <t>Z:\Grateful Dead\# Dick's Picks #\24 - 1974-03-23 [Cow Palace, Daly City, CA]\108 Cassidy.flac</t>
  </si>
  <si>
    <t>Z:\Grateful Dead\# Dick's Picks #\24 - 1974-03-23 [Cow Palace, Daly City, CA]\109 China Cat Sunflower-».flac</t>
  </si>
  <si>
    <t>China Cat Sunflower-»</t>
  </si>
  <si>
    <t>Z:\Grateful Dead\# Dick's Picks #\24 - 1974-03-23 [Cow Palace, Daly City, CA]\110 I Know You Rider.flac</t>
  </si>
  <si>
    <t>Z:\Grateful Dead\# Dick's Picks #\24 - 1974-03-23 [Cow Palace, Daly City, CA]\111 Weather Report Suite.flac</t>
  </si>
  <si>
    <t>Z:\Grateful Dead\# Dick's Picks #\24 - 1974-03-23 [Cow Palace, Daly City, CA]\201 Playing in the Band -».flac</t>
  </si>
  <si>
    <t>Z:\Grateful Dead\# Dick's Picks #\24 - 1974-03-23 [Cow Palace, Daly City, CA]\202 Uncle John's Band -».flac</t>
  </si>
  <si>
    <t>Uncle John's Band &gt;</t>
  </si>
  <si>
    <t>Z:\Grateful Dead\# Dick's Picks #\24 - 1974-03-23 [Cow Palace, Daly City, CA]\203 Morning Dew -».flac</t>
  </si>
  <si>
    <t>Z:\Grateful Dead\# Dick's Picks #\24 - 1974-03-23 [Cow Palace, Daly City, CA]\204 Uncle John's Band reprise -».flac</t>
  </si>
  <si>
    <t>Uncle John's Band reprise &gt;</t>
  </si>
  <si>
    <t>Z:\Grateful Dead\# Dick's Picks #\24 - 1974-03-23 [Cow Palace, Daly City, CA]\205 Playing in the Band reprise.flac</t>
  </si>
  <si>
    <t>Playing in the Band reprise</t>
  </si>
  <si>
    <t>Z:\Grateful Dead\# Dick's Picks #\24 - 1974-03-23 [Cow Palace, Daly City, CA]\206 Big River.flac</t>
  </si>
  <si>
    <t>Z:\Grateful Dead\# Dick's Picks #\24 - 1974-03-23 [Cow Palace, Daly City, CA]\207 Bertha.flac</t>
  </si>
  <si>
    <t>Z:\Grateful Dead\# Dick's Picks #\24 - 1974-03-23 [Cow Palace, Daly City, CA]\208 Wharf Rat -».flac</t>
  </si>
  <si>
    <t>Wharf Rat &gt;</t>
  </si>
  <si>
    <t>Z:\Grateful Dead\# Dick's Picks #\24 - 1974-03-23 [Cow Palace, Daly City, CA]\209 Sugar Magnolia.flac</t>
  </si>
  <si>
    <t>Z:\Grateful Dead\# Dick's Picks #\25 - 1978-05-10 [New Haven Coliseum, New Haven, CT]\101 Jack Straw.flac</t>
  </si>
  <si>
    <t>Z:\Grateful Dead\# Dick's Picks #\25 - 1978-05-10 [New Haven Coliseum, New Haven, CT]\102 They Love Each Other.flac</t>
  </si>
  <si>
    <t>Z:\Grateful Dead\# Dick's Picks #\25 - 1978-05-10 [New Haven Coliseum, New Haven, CT]\103 Cassidy.flac</t>
  </si>
  <si>
    <t>Z:\Grateful Dead\# Dick's Picks #\25 - 1978-05-10 [New Haven Coliseum, New Haven, CT]\104 Ramble On Rose.flac</t>
  </si>
  <si>
    <t>Z:\Grateful Dead\# Dick's Picks #\25 - 1978-05-10 [New Haven Coliseum, New Haven, CT]\105 Me and My Uncle ».flac</t>
  </si>
  <si>
    <t>Me and My Uncle &gt;</t>
  </si>
  <si>
    <t>Z:\Grateful Dead\# Dick's Picks #\25 - 1978-05-10 [New Haven Coliseum, New Haven, CT]\106 Big River.flac</t>
  </si>
  <si>
    <t>Z:\Grateful Dead\# Dick's Picks #\25 - 1978-05-10 [New Haven Coliseum, New Haven, CT]\107 Peggy-O.flac</t>
  </si>
  <si>
    <t>Z:\Grateful Dead\# Dick's Picks #\25 - 1978-05-10 [New Haven Coliseum, New Haven, CT]\108 Let It Grow ».flac</t>
  </si>
  <si>
    <t>Let It Grow &gt;</t>
  </si>
  <si>
    <t>Z:\Grateful Dead\# Dick's Picks #\25 - 1978-05-10 [New Haven Coliseum, New Haven, CT]\109 Deal.flac</t>
  </si>
  <si>
    <t>Z:\Grateful Dead\# Dick's Picks #\25 - 1978-05-10 [New Haven Coliseum, New Haven, CT]\201 Bertha ».flac</t>
  </si>
  <si>
    <t>Bertha &gt;</t>
  </si>
  <si>
    <t>Z:\Grateful Dead\# Dick's Picks #\25 - 1978-05-10 [New Haven Coliseum, New Haven, CT]\202 Good Lovin'.flac</t>
  </si>
  <si>
    <t>Z:\Grateful Dead\# Dick's Picks #\25 - 1978-05-10 [New Haven Coliseum, New Haven, CT]\203 Estimated Prophet ].flac</t>
  </si>
  <si>
    <t>Estimated Prophet &gt;</t>
  </si>
  <si>
    <t>Z:\Grateful Dead\# Dick's Picks #\25 - 1978-05-10 [New Haven Coliseum, New Haven, CT]\204 Eyes of the World ].flac</t>
  </si>
  <si>
    <t>Z:\Grateful Dead\# Dick's Picks #\25 - 1978-05-10 [New Haven Coliseum, New Haven, CT]\205 drumz ].flac</t>
  </si>
  <si>
    <t>drumz &gt;</t>
  </si>
  <si>
    <t>Z:\Grateful Dead\# Dick's Picks #\25 - 1978-05-10 [New Haven Coliseum, New Haven, CT]\206 Other One ].flac</t>
  </si>
  <si>
    <t>Other One &gt;</t>
  </si>
  <si>
    <t>Z:\Grateful Dead\# Dick's Picks #\25 - 1978-05-10 [New Haven Coliseum, New Haven, CT]\207 Wharf Rat ].flac</t>
  </si>
  <si>
    <t>Z:\Grateful Dead\# Dick's Picks #\25 - 1978-05-10 [New Haven Coliseum, New Haven, CT]\208 Sugar Magnolia.flac</t>
  </si>
  <si>
    <t>Z:\Grateful Dead\# Dick's Picks #\25 - 1978-05-11 [Springfield Civic Centre Arena, Springfield]\101 Cold Rain and Snow.flac</t>
  </si>
  <si>
    <t>Z:\Grateful Dead\# Dick's Picks #\25 - 1978-05-11 [Springfield Civic Centre Arena, Springfield]\102 Beat It On Down the Line.flac</t>
  </si>
  <si>
    <t>Beat It On Down the Line</t>
  </si>
  <si>
    <t>Z:\Grateful Dead\# Dick's Picks #\25 - 1978-05-11 [Springfield Civic Centre Arena, Springfield]\103 Friend of the Devil.flac</t>
  </si>
  <si>
    <t>Z:\Grateful Dead\# Dick's Picks #\25 - 1978-05-11 [Springfield Civic Centre Arena, Springfield]\104 Looks Like Rain.flac</t>
  </si>
  <si>
    <t>Z:\Grateful Dead\# Dick's Picks #\25 - 1978-05-11 [Springfield Civic Centre Arena, Springfield]\105 Loser.flac</t>
  </si>
  <si>
    <t>Z:\Grateful Dead\# Dick's Picks #\25 - 1978-05-11 [Springfield Civic Centre Arena, Springfield]\106 New Minglewood Blues.flac</t>
  </si>
  <si>
    <t>Z:\Grateful Dead\# Dick's Picks #\25 - 1978-05-11 [Springfield Civic Centre Arena, Springfield]\107 Tennessee Jed.flac</t>
  </si>
  <si>
    <t>Z:\Grateful Dead\# Dick's Picks #\25 - 1978-05-11 [Springfield Civic Centre Arena, Springfield]\108 Lazy Lightnin' --».flac</t>
  </si>
  <si>
    <t>Z:\Grateful Dead\# Dick's Picks #\25 - 1978-05-11 [Springfield Civic Centre Arena, Springfield]\109 Supplication.flac</t>
  </si>
  <si>
    <t>Z:\Grateful Dead\# Dick's Picks #\25 - 1978-05-11 [Springfield Civic Centre Arena, Springfield]\201 Scarlet Begonias --».flac</t>
  </si>
  <si>
    <t>Scarlet Begonias &gt;</t>
  </si>
  <si>
    <t>Z:\Grateful Dead\# Dick's Picks #\25 - 1978-05-11 [Springfield Civic Centre Arena, Springfield]\202 Fire on the Mountain.flac</t>
  </si>
  <si>
    <t>Z:\Grateful Dead\# Dick's Picks #\25 - 1978-05-11 [Springfield Civic Centre Arena, Springfield]\203 Dancing In The Streets.flac</t>
  </si>
  <si>
    <t>Z:\Grateful Dead\# Dick's Picks #\25 - 1978-05-11 [Springfield Civic Centre Arena, Springfield]\204 Drums.flac</t>
  </si>
  <si>
    <t>Z:\Grateful Dead\# Dick's Picks #\25 - 1978-05-11 [Springfield Civic Centre Arena, Springfield]\205 Not Fade Away.flac</t>
  </si>
  <si>
    <t>Z:\Grateful Dead\# Dick's Picks #\25 - 1978-05-11 [Springfield Civic Centre Arena, Springfield]\206 Stella Blue.flac</t>
  </si>
  <si>
    <t>Z:\Grateful Dead\# Dick's Picks #\25 - 1978-05-11 [Springfield Civic Centre Arena, Springfield]\207 Around and Around.flac</t>
  </si>
  <si>
    <t>Z:\Grateful Dead\# Dick's Picks #\25 - 1978-05-11 [Springfield Civic Centre Arena, Springfield]\208 Werewolves Of London.flac</t>
  </si>
  <si>
    <t>Werewolves Of London</t>
  </si>
  <si>
    <t>Z:\Grateful Dead\# Dick's Picks #\25 - 1978-05-11 [Springfield Civic Centre Arena, Springfield]\209 Johnny B. Goode.flac</t>
  </si>
  <si>
    <t>Z:\Grateful Dead\# Dick's Picks #\26 - 1969-04-26 [Electric Theatre, Chicago, IL]\101 Duprees Diamond Blues».flac</t>
  </si>
  <si>
    <t>Duprees Diamond Blues»</t>
  </si>
  <si>
    <t>Z:\Grateful Dead\# Dick's Picks #\26 - 1969-04-26 [Electric Theatre, Chicago, IL]\102 Mountains of the Moon».flac</t>
  </si>
  <si>
    <t>Mountains of the Moon»</t>
  </si>
  <si>
    <t>Z:\Grateful Dead\# Dick's Picks #\26 - 1969-04-26 [Electric Theatre, Chicago, IL]\103 China Cat Sinflower».flac</t>
  </si>
  <si>
    <t>China Cat Sinflower»</t>
  </si>
  <si>
    <t>Z:\Grateful Dead\# Dick's Picks #\26 - 1969-04-26 [Electric Theatre, Chicago, IL]\104 Doin' That Rag.flac</t>
  </si>
  <si>
    <t>Doin' That Rag</t>
  </si>
  <si>
    <t>Z:\Grateful Dead\# Dick's Picks #\26 - 1969-04-26 [Electric Theatre, Chicago, IL]\105 Cryptical Envelopement».flac</t>
  </si>
  <si>
    <t>Cryptical Envelopement»</t>
  </si>
  <si>
    <t>Z:\Grateful Dead\# Dick's Picks #\26 - 1969-04-26 [Electric Theatre, Chicago, IL]\106 The Other One».flac</t>
  </si>
  <si>
    <t>The Other One»</t>
  </si>
  <si>
    <t>Z:\Grateful Dead\# Dick's Picks #\26 - 1969-04-26 [Electric Theatre, Chicago, IL]\107 The Eleven».flac</t>
  </si>
  <si>
    <t>The Eleven»</t>
  </si>
  <si>
    <t>Z:\Grateful Dead\# Dick's Picks #\26 - 1969-04-26 [Electric Theatre, Chicago, IL]\108 The Other One».flac</t>
  </si>
  <si>
    <t>Z:\Grateful Dead\# Dick's Picks #\26 - 1969-04-26 [Electric Theatre, Chicago, IL]\109 I Know Its a Sin.flac</t>
  </si>
  <si>
    <t>I Know Its a Sin</t>
  </si>
  <si>
    <t>Z:\Grateful Dead\# Dick's Picks #\26 - 1969-04-26 [Electric Theatre, Chicago, IL]\110 Lovelight».flac</t>
  </si>
  <si>
    <t>Lovelight»</t>
  </si>
  <si>
    <t>Z:\Grateful Dead\# Dick's Picks #\26 - 1969-04-26 [Electric Theatre, Chicago, IL]\111 Me and My Uncle».flac</t>
  </si>
  <si>
    <t>Me and My Uncle»</t>
  </si>
  <si>
    <t>Z:\Grateful Dead\# Dick's Picks #\26 - 1969-04-26 [Electric Theatre, Chicago, IL]\112 Sitting On Top Of The World.flac</t>
  </si>
  <si>
    <t>Sitting On Top Of The World</t>
  </si>
  <si>
    <t>Z:\Grateful Dead\# Dick's Picks #\26 - 1969-04-26 [Electric Theatre, Chicago, IL]\113 Dark Star».flac</t>
  </si>
  <si>
    <t>Dark Star»</t>
  </si>
  <si>
    <t>Z:\Grateful Dead\# Dick's Picks #\26 - 1969-04-26 [Electric Theatre, Chicago, IL]\114 St. Stephen».flac</t>
  </si>
  <si>
    <t>St. Stephen»</t>
  </si>
  <si>
    <t>Z:\Grateful Dead\# Dick's Picks #\26 - 1969-04-26 [Electric Theatre, Chicago, IL]\115 The Eleven».flac</t>
  </si>
  <si>
    <t>Z:\Grateful Dead\# Dick's Picks #\26 - 1969-04-26 [Electric Theatre, Chicago, IL]\116 Lovelight.flac</t>
  </si>
  <si>
    <t>Lovelight</t>
  </si>
  <si>
    <t>Z:\Grateful Dead\# Dick's Picks #\26 - 1969-04-26 [Electric Theatre, Chicago, IL]\117 Morning Dew.flac</t>
  </si>
  <si>
    <t>Z:\Grateful Dead\# Dick's Picks #\27 - 1992-12-16 [Oakland Coliseum, Oakland, CA]\101 Feel Like A Stranger.flac</t>
  </si>
  <si>
    <t>Feel Like A Stranger</t>
  </si>
  <si>
    <t>Z:\Grateful Dead\# Dick's Picks #\27 - 1992-12-16 [Oakland Coliseum, Oakland, CA]\102 Brown-Eyed Women.flac</t>
  </si>
  <si>
    <t>Z:\Grateful Dead\# Dick's Picks #\27 - 1992-12-16 [Oakland Coliseum, Oakland, CA]\103 The Same Thing.flac</t>
  </si>
  <si>
    <t>The Same Thing</t>
  </si>
  <si>
    <t>Z:\Grateful Dead\# Dick's Picks #\27 - 1992-12-16 [Oakland Coliseum, Oakland, CA]\104 Loose Lucy.flac</t>
  </si>
  <si>
    <t>Loose Lucy</t>
  </si>
  <si>
    <t>Z:\Grateful Dead\# Dick's Picks #\27 - 1992-12-16 [Oakland Coliseum, Oakland, CA]\105 Stuck Inside Mobile w- The Memphis Blues.flac</t>
  </si>
  <si>
    <t>Stuck Inside Mobile w- The Memphis Blues</t>
  </si>
  <si>
    <t>Z:\Grateful Dead\# Dick's Picks #\27 - 1992-12-16 [Oakland Coliseum, Oakland, CA]\106 Row Jimmy.flac</t>
  </si>
  <si>
    <t>Z:\Grateful Dead\# Dick's Picks #\27 - 1992-12-16 [Oakland Coliseum, Oakland, CA]\107 Let It Grow.flac</t>
  </si>
  <si>
    <t>Z:\Grateful Dead\# Dick's Picks #\27 - 1992-12-16 [Oakland Coliseum, Oakland, CA]\201 Shakedown Street.flac</t>
  </si>
  <si>
    <t>Z:\Grateful Dead\# Dick's Picks #\27 - 1992-12-16 [Oakland Coliseum, Oakland, CA]\202 Samson And Delilah.flac</t>
  </si>
  <si>
    <t>Z:\Grateful Dead\# Dick's Picks #\27 - 1992-12-16 [Oakland Coliseum, Oakland, CA]\203 Ship Of Fools.flac</t>
  </si>
  <si>
    <t>Ship Of Fools</t>
  </si>
  <si>
    <t>Z:\Grateful Dead\# Dick's Picks #\27 - 1992-12-16 [Oakland Coliseum, Oakland, CA]\204 Playing In The Band.flac</t>
  </si>
  <si>
    <t>Z:\Grateful Dead\# Dick's Picks #\27 - 1992-12-16 [Oakland Coliseum, Oakland, CA]\205 Drums.flac</t>
  </si>
  <si>
    <t>Z:\Grateful Dead\# Dick's Picks #\27 - 1992-12-16 [Oakland Coliseum, Oakland, CA]\206 Space.flac</t>
  </si>
  <si>
    <t>Z:\Grateful Dead\# Dick's Picks #\27 - 1992-12-16 [Oakland Coliseum, Oakland, CA]\207 Dark Star.flac</t>
  </si>
  <si>
    <t>Z:\Grateful Dead\# Dick's Picks #\27 - 1992-12-16 [Oakland Coliseum, Oakland, CA]\208 All Along The Watchtower.flac</t>
  </si>
  <si>
    <t>All Along The Watchtower</t>
  </si>
  <si>
    <t>Z:\Grateful Dead\# Dick's Picks #\27 - 1992-12-16 [Oakland Coliseum, Oakland, CA]\209 Stella Blue.flac</t>
  </si>
  <si>
    <t>Z:\Grateful Dead\# Dick's Picks #\27 - 1992-12-16 [Oakland Coliseum, Oakland, CA]\210 Good Lovin'.flac</t>
  </si>
  <si>
    <t>Z:\Grateful Dead\# Dick's Picks #\27 - 1992-12-16 [Oakland Coliseum, Oakland, CA]\211 Casey Jones.flac</t>
  </si>
  <si>
    <t>Z:\Grateful Dead\# Dick's Picks #\27 - 1992-12-17 [Oakland Coliseum, Oakland, CA] filler\01 Throwing Stones.flac</t>
  </si>
  <si>
    <t>Throwing Stones</t>
  </si>
  <si>
    <t>Z:\Grateful Dead\# Dick's Picks #\27 - 1992-12-17 [Oakland Coliseum, Oakland, CA] filler\02 Not Fade Away.flac</t>
  </si>
  <si>
    <t>Z:\Grateful Dead\# Dick's Picks #\27 - 1992-12-17 [Oakland Coliseum, Oakland, CA] filler\03 Baba O'Riley.flac</t>
  </si>
  <si>
    <t>Baba O'Riley</t>
  </si>
  <si>
    <t>Z:\Grateful Dead\# Dick's Picks #\27 - 1992-12-17 [Oakland Coliseum, Oakland, CA] filler\04 Tomorrow Never Knows.flac</t>
  </si>
  <si>
    <t>Tomorrow Never Knows</t>
  </si>
  <si>
    <t>Z:\Grateful Dead\# Dick's Picks #\28 - 1973-02-26 [Pershing Municipal Auditorium, Lincoln, NE]\101 Promised Land.flac</t>
  </si>
  <si>
    <t>Z:\Grateful Dead\# Dick's Picks #\28 - 1973-02-26 [Pershing Municipal Auditorium, Lincoln, NE]\102 Loser.flac</t>
  </si>
  <si>
    <t>Z:\Grateful Dead\# Dick's Picks #\28 - 1973-02-26 [Pershing Municipal Auditorium, Lincoln, NE]\103 Jack Straw.flac</t>
  </si>
  <si>
    <t>Z:\Grateful Dead\# Dick's Picks #\28 - 1973-02-26 [Pershing Municipal Auditorium, Lincoln, NE]\104 Don't Ease Me In.flac</t>
  </si>
  <si>
    <t>Z:\Grateful Dead\# Dick's Picks #\28 - 1973-02-26 [Pershing Municipal Auditorium, Lincoln, NE]\105 Looks Like Rain.flac</t>
  </si>
  <si>
    <t>Z:\Grateful Dead\# Dick's Picks #\28 - 1973-02-26 [Pershing Municipal Auditorium, Lincoln, NE]\106 Loose Lucy.flac</t>
  </si>
  <si>
    <t>Z:\Grateful Dead\# Dick's Picks #\28 - 1973-02-26 [Pershing Municipal Auditorium, Lincoln, NE]\107 Beer Barrel Polka.flac</t>
  </si>
  <si>
    <t>Z:\Grateful Dead\# Dick's Picks #\28 - 1973-02-26 [Pershing Municipal Auditorium, Lincoln, NE]\108 Big Railroad Blues.flac</t>
  </si>
  <si>
    <t>Z:\Grateful Dead\# Dick's Picks #\28 - 1973-02-26 [Pershing Municipal Auditorium, Lincoln, NE]\109 Playin' In The Band.flac</t>
  </si>
  <si>
    <t>Playin' In The Band</t>
  </si>
  <si>
    <t>Z:\Grateful Dead\# Dick's Picks #\28 - 1973-02-26 [Pershing Municipal Auditorium, Lincoln, NE]\110 They Love Each Other.flac</t>
  </si>
  <si>
    <t>Z:\Grateful Dead\# Dick's Picks #\28 - 1973-02-26 [Pershing Municipal Auditorium, Lincoln, NE]\111 Big River.flac</t>
  </si>
  <si>
    <t>Z:\Grateful Dead\# Dick's Picks #\28 - 1973-02-26 [Pershing Municipal Auditorium, Lincoln, NE]\112 Tennessee Jed.flac</t>
  </si>
  <si>
    <t>Z:\Grateful Dead\# Dick's Picks #\28 - 1973-02-26 [Pershing Municipal Auditorium, Lincoln, NE]\201 Greatest Story Ever Told.flac</t>
  </si>
  <si>
    <t>Z:\Grateful Dead\# Dick's Picks #\28 - 1973-02-26 [Pershing Municipal Auditorium, Lincoln, NE]\202 Dark Star --».flac</t>
  </si>
  <si>
    <t>Z:\Grateful Dead\# Dick's Picks #\28 - 1973-02-26 [Pershing Municipal Auditorium, Lincoln, NE]\203 Eyes Of The World --».flac</t>
  </si>
  <si>
    <t>Eyes Of The World &gt;</t>
  </si>
  <si>
    <t>Z:\Grateful Dead\# Dick's Picks #\28 - 1973-02-26 [Pershing Municipal Auditorium, Lincoln, NE]\204 Mississippi Half-Step.flac</t>
  </si>
  <si>
    <t>Mississippi Half-Step</t>
  </si>
  <si>
    <t>Z:\Grateful Dead\# Dick's Picks #\28 - 1973-02-26 [Pershing Municipal Auditorium, Lincoln, NE]\205 Me And My Uncle.flac</t>
  </si>
  <si>
    <t>Me And My Uncle</t>
  </si>
  <si>
    <t>Z:\Grateful Dead\# Dick's Picks #\28 - 1973-02-26 [Pershing Municipal Auditorium, Lincoln, NE]\206 Not Fade Away --».flac</t>
  </si>
  <si>
    <t>Not Fade Away &gt;</t>
  </si>
  <si>
    <t>Z:\Grateful Dead\# Dick's Picks #\28 - 1973-02-26 [Pershing Municipal Auditorium, Lincoln, NE]\207 Goin' Down The Road Feeling Bad --».flac</t>
  </si>
  <si>
    <t>Goin' Down The Road Feeling Bad &gt;</t>
  </si>
  <si>
    <t>Z:\Grateful Dead\# Dick's Picks #\28 - 1973-02-26 [Pershing Municipal Auditorium, Lincoln, NE]\208 Not Fade Away.flac</t>
  </si>
  <si>
    <t>Z:\Grateful Dead\# Dick's Picks #\28 - 1973-02-28 [Salt Palace, Salt Lake City, UT]\101 Cold Rain And Snow.flac</t>
  </si>
  <si>
    <t>Z:\Grateful Dead\# Dick's Picks #\28 - 1973-02-28 [Salt Palace, Salt Lake City, UT]\102 Beat It On Down The Line.flac</t>
  </si>
  <si>
    <t>Z:\Grateful Dead\# Dick's Picks #\28 - 1973-02-28 [Salt Palace, Salt Lake City, UT]\103 They Love Each Other.flac</t>
  </si>
  <si>
    <t>Z:\Grateful Dead\# Dick's Picks #\28 - 1973-02-28 [Salt Palace, Salt Lake City, UT]\104 Mexicali Blues.flac</t>
  </si>
  <si>
    <t>Z:\Grateful Dead\# Dick's Picks #\28 - 1973-02-28 [Salt Palace, Salt Lake City, UT]\105 Sugaree.flac</t>
  </si>
  <si>
    <t>Z:\Grateful Dead\# Dick's Picks #\28 - 1973-02-28 [Salt Palace, Salt Lake City, UT]\106 Box Of Rain.flac</t>
  </si>
  <si>
    <t>Box Of Rain</t>
  </si>
  <si>
    <t>Z:\Grateful Dead\# Dick's Picks #\28 - 1973-02-28 [Salt Palace, Salt Lake City, UT]\107 El Paso.flac</t>
  </si>
  <si>
    <t>Z:\Grateful Dead\# Dick's Picks #\28 - 1973-02-28 [Salt Palace, Salt Lake City, UT]\108 He's Gone.flac</t>
  </si>
  <si>
    <t>Z:\Grateful Dead\# Dick's Picks #\28 - 1973-02-28 [Salt Palace, Salt Lake City, UT]\109 Jack Straw.flac</t>
  </si>
  <si>
    <t>Z:\Grateful Dead\# Dick's Picks #\28 - 1973-02-28 [Salt Palace, Salt Lake City, UT]\110 China Cat Sunflower --».flac</t>
  </si>
  <si>
    <t>Z:\Grateful Dead\# Dick's Picks #\28 - 1973-02-28 [Salt Palace, Salt Lake City, UT]\111 I Know You Rider.flac</t>
  </si>
  <si>
    <t>Z:\Grateful Dead\# Dick's Picks #\28 - 1973-02-28 [Salt Palace, Salt Lake City, UT]\112 Big River.flac</t>
  </si>
  <si>
    <t>Z:\Grateful Dead\# Dick's Picks #\28 - 1973-02-28 [Salt Palace, Salt Lake City, UT]\201 Row Jimmy.flac</t>
  </si>
  <si>
    <t>Z:\Grateful Dead\# Dick's Picks #\28 - 1973-02-28 [Salt Palace, Salt Lake City, UT]\202 Truckin' --».flac</t>
  </si>
  <si>
    <t>Truckin' &gt;</t>
  </si>
  <si>
    <t>Z:\Grateful Dead\# Dick's Picks #\28 - 1973-02-28 [Salt Palace, Salt Lake City, UT]\203 The Other One --».flac</t>
  </si>
  <si>
    <t>Z:\Grateful Dead\# Dick's Picks #\28 - 1973-02-28 [Salt Palace, Salt Lake City, UT]\204 Eyes Of The World --».flac</t>
  </si>
  <si>
    <t>Z:\Grateful Dead\# Dick's Picks #\28 - 1973-02-28 [Salt Palace, Salt Lake City, UT]\205 Morning Dew.flac</t>
  </si>
  <si>
    <t>Z:\Grateful Dead\# Dick's Picks #\28 - 1973-02-28 [Salt Palace, Salt Lake City, UT]\206 Sugar Magnolia.flac</t>
  </si>
  <si>
    <t>Z:\Grateful Dead\# Dick's Picks #\28 - 1973-02-28 [Salt Palace, Salt Lake City, UT]\207 We Bid You Goodnight.flac</t>
  </si>
  <si>
    <t>Z:\Grateful Dead\# Dick's Picks #\29 - 1977-05-19 [Fox Theatre, Atlanta, GA]\101 Bertha.flac</t>
  </si>
  <si>
    <t>Z:\Grateful Dead\# Dick's Picks #\29 - 1977-05-19 [Fox Theatre, Atlanta, GA]\102 Me And My Uncle.flac</t>
  </si>
  <si>
    <t>Z:\Grateful Dead\# Dick's Picks #\29 - 1977-05-19 [Fox Theatre, Atlanta, GA]\103 They Love Each Other.flac</t>
  </si>
  <si>
    <t>Z:\Grateful Dead\# Dick's Picks #\29 - 1977-05-19 [Fox Theatre, Atlanta, GA]\104 Cassidy.flac</t>
  </si>
  <si>
    <t>Z:\Grateful Dead\# Dick's Picks #\29 - 1977-05-19 [Fox Theatre, Atlanta, GA]\105 Jack-A-Row.flac</t>
  </si>
  <si>
    <t>Jack-A-Row</t>
  </si>
  <si>
    <t>Z:\Grateful Dead\# Dick's Picks #\29 - 1977-05-19 [Fox Theatre, Atlanta, GA]\106 Jack Straw.flac</t>
  </si>
  <si>
    <t>Z:\Grateful Dead\# Dick's Picks #\29 - 1977-05-19 [Fox Theatre, Atlanta, GA]\107 Tennessee Jed.flac</t>
  </si>
  <si>
    <t>Z:\Grateful Dead\# Dick's Picks #\29 - 1977-05-19 [Fox Theatre, Atlanta, GA]\108 New Minglewood Blues.flac</t>
  </si>
  <si>
    <t>Z:\Grateful Dead\# Dick's Picks #\29 - 1977-05-19 [Fox Theatre, Atlanta, GA]\109 Row Jimmy.flac</t>
  </si>
  <si>
    <t>Z:\Grateful Dead\# Dick's Picks #\29 - 1977-05-19 [Fox Theatre, Atlanta, GA]\110 Passenger.flac</t>
  </si>
  <si>
    <t>Z:\Grateful Dead\# Dick's Picks #\29 - 1977-05-19 [Fox Theatre, Atlanta, GA]\111 Scarlet Begonias ».flac</t>
  </si>
  <si>
    <t>Z:\Grateful Dead\# Dick's Picks #\29 - 1977-05-19 [Fox Theatre, Atlanta, GA]\112 Fire on the Mountain.flac</t>
  </si>
  <si>
    <t>Z:\Grateful Dead\# Dick's Picks #\29 - 1977-05-19 [Fox Theatre, Atlanta, GA]\201 Samson and Delilah.flac</t>
  </si>
  <si>
    <t>Z:\Grateful Dead\# Dick's Picks #\29 - 1977-05-19 [Fox Theatre, Atlanta, GA]\202 Brown-Eyed Woman.flac</t>
  </si>
  <si>
    <t>Z:\Grateful Dead\# Dick's Picks #\29 - 1977-05-19 [Fox Theatre, Atlanta, GA]\203 Estimated Prophet ».flac</t>
  </si>
  <si>
    <t>Z:\Grateful Dead\# Dick's Picks #\29 - 1977-05-19 [Fox Theatre, Atlanta, GA]\204 He's Gone ».flac</t>
  </si>
  <si>
    <t>Z:\Grateful Dead\# Dick's Picks #\29 - 1977-05-19 [Fox Theatre, Atlanta, GA]\205 Drums ».flac</t>
  </si>
  <si>
    <t>Z:\Grateful Dead\# Dick's Picks #\29 - 1977-05-19 [Fox Theatre, Atlanta, GA]\206 The Other One ».flac</t>
  </si>
  <si>
    <t>Z:\Grateful Dead\# Dick's Picks #\29 - 1977-05-19 [Fox Theatre, Atlanta, GA]\207 Comes A Time ».flac</t>
  </si>
  <si>
    <t>Comes A Time &gt;</t>
  </si>
  <si>
    <t>Z:\Grateful Dead\# Dick's Picks #\29 - 1977-05-19 [Fox Theatre, Atlanta, GA]\208 St. Stephen».flac</t>
  </si>
  <si>
    <t>Z:\Grateful Dead\# Dick's Picks #\29 - 1977-05-19 [Fox Theatre, Atlanta, GA]\209 Not Fade Away ».flac</t>
  </si>
  <si>
    <t>Z:\Grateful Dead\# Dick's Picks #\29 - 1977-05-19 [Fox Theatre, Atlanta, GA]\210 St.Stephen ».flac</t>
  </si>
  <si>
    <t>St.Stephen &gt;</t>
  </si>
  <si>
    <t>Z:\Grateful Dead\# Dick's Picks #\29 - 1977-05-19 [Fox Theatre, Atlanta, GA]\211 One More Saturday Night.flac</t>
  </si>
  <si>
    <t>One More Saturday Night</t>
  </si>
  <si>
    <t>Z:\Grateful Dead\# Dick's Picks #\29 - 1977-05-19 [Fox Theatre, Atlanta, GA]\998 Dancing in the Streets (filler) 1977-10-11.flac</t>
  </si>
  <si>
    <t>Dancing in the Streets (filler) 1977-10-11</t>
  </si>
  <si>
    <t>Z:\Grateful Dead\# Dick's Picks #\29 - 1977-05-19 [Fox Theatre, Atlanta, GA]\999 Dire Wolf (filler) 1977-10-11.flac</t>
  </si>
  <si>
    <t>Dire Wolf (filler) 1977-10-11</t>
  </si>
  <si>
    <t>Z:\Grateful Dead\# Dick's Picks #\29 - 1977-05-21 [Lakeland Civic Center, Lakekand, FL]\101 Promised Land.flac</t>
  </si>
  <si>
    <t>Z:\Grateful Dead\# Dick's Picks #\29 - 1977-05-21 [Lakeland Civic Center, Lakekand, FL]\102 Sugaree.flac</t>
  </si>
  <si>
    <t>Z:\Grateful Dead\# Dick's Picks #\29 - 1977-05-21 [Lakeland Civic Center, Lakekand, FL]\103 El Paso.flac</t>
  </si>
  <si>
    <t>Z:\Grateful Dead\# Dick's Picks #\29 - 1977-05-21 [Lakeland Civic Center, Lakekand, FL]\104 Peggy-O.flac</t>
  </si>
  <si>
    <t>Z:\Grateful Dead\# Dick's Picks #\29 - 1977-05-21 [Lakeland Civic Center, Lakekand, FL]\105 Looks Like Rain.flac</t>
  </si>
  <si>
    <t>Z:\Grateful Dead\# Dick's Picks #\29 - 1977-05-21 [Lakeland Civic Center, Lakekand, FL]\106 Row Jimmy.flac</t>
  </si>
  <si>
    <t>Z:\Grateful Dead\# Dick's Picks #\29 - 1977-05-21 [Lakeland Civic Center, Lakekand, FL]\107 Passenger.flac</t>
  </si>
  <si>
    <t>Z:\Grateful Dead\# Dick's Picks #\29 - 1977-05-21 [Lakeland Civic Center, Lakekand, FL]\108 Loser.flac</t>
  </si>
  <si>
    <t>Z:\Grateful Dead\# Dick's Picks #\29 - 1977-05-21 [Lakeland Civic Center, Lakekand, FL]\201 Dancing In The Streets.flac</t>
  </si>
  <si>
    <t>Z:\Grateful Dead\# Dick's Picks #\29 - 1977-05-21 [Lakeland Civic Center, Lakekand, FL]\202 Samson and Delilah.flac</t>
  </si>
  <si>
    <t>Z:\Grateful Dead\# Dick's Picks #\29 - 1977-05-21 [Lakeland Civic Center, Lakekand, FL]\203 Ramble On Rose.flac</t>
  </si>
  <si>
    <t>Z:\Grateful Dead\# Dick's Picks #\29 - 1977-05-21 [Lakeland Civic Center, Lakekand, FL]\204 Estimated Prophet.flac</t>
  </si>
  <si>
    <t>Z:\Grateful Dead\# Dick's Picks #\29 - 1977-05-21 [Lakeland Civic Center, Lakekand, FL]\301 Terrrapin Station-].flac</t>
  </si>
  <si>
    <t>Terrrapin Station &gt;</t>
  </si>
  <si>
    <t>Z:\Grateful Dead\# Dick's Picks #\29 - 1977-05-21 [Lakeland Civic Center, Lakekand, FL]\302 Playing In The Band-].flac</t>
  </si>
  <si>
    <t>Playing In The Band &gt;</t>
  </si>
  <si>
    <t>Z:\Grateful Dead\# Dick's Picks #\29 - 1977-05-21 [Lakeland Civic Center, Lakekand, FL]\303 Uncle John's Band-].flac</t>
  </si>
  <si>
    <t>Z:\Grateful Dead\# Dick's Picks #\29 - 1977-05-21 [Lakeland Civic Center, Lakekand, FL]\304 Drums-].flac</t>
  </si>
  <si>
    <t>Z:\Grateful Dead\# Dick's Picks #\29 - 1977-05-21 [Lakeland Civic Center, Lakekand, FL]\305 The Wheel-].flac</t>
  </si>
  <si>
    <t>The Wheel &gt;</t>
  </si>
  <si>
    <t>Z:\Grateful Dead\# Dick's Picks #\29 - 1977-05-21 [Lakeland Civic Center, Lakekand, FL]\306 China Doll-].flac</t>
  </si>
  <si>
    <t>Z:\Grateful Dead\# Dick's Picks #\29 - 1977-05-21 [Lakeland Civic Center, Lakekand, FL]\307 Playing In The Band.flac</t>
  </si>
  <si>
    <t>Z:\Grateful Dead\# Dick's Picks #\29 - 1977-05-21 [Lakeland Civic Center, Lakekand, FL]\997 Drums-] Not Fade Away (filler - 77-10-11).flac</t>
  </si>
  <si>
    <t>Drums &gt; Not Fade Away (filler - 77-10-11)</t>
  </si>
  <si>
    <t>Z:\Grateful Dead\# Dick's Picks #\29 - 1977-05-21 [Lakeland Civic Center, Lakekand, FL]\998 Wharf Rat (filler - 77-10-11).flac</t>
  </si>
  <si>
    <t>Wharf Rat (filler - 77-10-11)</t>
  </si>
  <si>
    <t>Z:\Grateful Dead\# Dick's Picks #\29 - 1977-05-21 [Lakeland Civic Center, Lakekand, FL]\999 Round and Round (filler - 77-10-11).flac</t>
  </si>
  <si>
    <t>Round and Round (filler - 77-10-11)</t>
  </si>
  <si>
    <t>Z:\Grateful Dead\# Dick's Picks #\30 - 1972-03-25 [Academy Of Music, New York, NY]\101 Hey Bo Diddley.flac</t>
  </si>
  <si>
    <t>Hey Bo Diddley</t>
  </si>
  <si>
    <t>Z:\Grateful Dead\# Dick's Picks #\30 - 1972-03-25 [Academy Of Music, New York, NY]\102 I'm A Man.flac</t>
  </si>
  <si>
    <t>I'm A Man</t>
  </si>
  <si>
    <t>Z:\Grateful Dead\# Dick's Picks #\30 - 1972-03-25 [Academy Of Music, New York, NY]\103 I've Seen Them All.flac</t>
  </si>
  <si>
    <t>I've Seen Them All</t>
  </si>
  <si>
    <t>Z:\Grateful Dead\# Dick's Picks #\30 - 1972-03-25 [Academy Of Music, New York, NY]\104 Jam.flac</t>
  </si>
  <si>
    <t>Z:\Grateful Dead\# Dick's Picks #\30 - 1972-03-25 [Academy Of Music, New York, NY]\105 Mona.flac</t>
  </si>
  <si>
    <t>Mona</t>
  </si>
  <si>
    <t>Z:\Grateful Dead\# Dick's Picks #\30 - 1972-03-25 [Academy Of Music, New York, NY]\106 How Sweet It Is.flac</t>
  </si>
  <si>
    <t>How Sweet It Is</t>
  </si>
  <si>
    <t>Z:\Grateful Dead\# Dick's Picks #\30 - 1972-03-25 [Academy Of Music, New York, NY]\107 Are You Lonely For Me.flac</t>
  </si>
  <si>
    <t>Are You Lonely For Me</t>
  </si>
  <si>
    <t>Z:\Grateful Dead\# Dick's Picks #\30 - 1972-03-25 [Academy Of Music, New York, NY]\108 Smokestack Lightnin'.flac</t>
  </si>
  <si>
    <t>Smokestack Lightnin'</t>
  </si>
  <si>
    <t>Z:\Grateful Dead\# Dick's Picks #\30 - 1972-03-25 [Academy Of Music, New York, NY]\109 Playing In The Band.flac</t>
  </si>
  <si>
    <t>Z:\Grateful Dead\# Dick's Picks #\30 - 1972-03-25 [Academy Of Music, New York, NY]\201 Truckin'.flac</t>
  </si>
  <si>
    <t>Z:\Grateful Dead\# Dick's Picks #\30 - 1972-03-25 [Academy Of Music, New York, NY]\202 Tennessee Jed.flac</t>
  </si>
  <si>
    <t>Z:\Grateful Dead\# Dick's Picks #\30 - 1972-03-25 [Academy Of Music, New York, NY]\203 Chinatown Shuffle.flac</t>
  </si>
  <si>
    <t>Chinatown Shuffle</t>
  </si>
  <si>
    <t>Z:\Grateful Dead\# Dick's Picks #\30 - 1972-03-25 [Academy Of Music, New York, NY]\204 Black-Throated Wind.flac</t>
  </si>
  <si>
    <t>Z:\Grateful Dead\# Dick's Picks #\30 - 1972-03-25 [Academy Of Music, New York, NY]\205 You Win Again.flac</t>
  </si>
  <si>
    <t>You Win Again</t>
  </si>
  <si>
    <t>Z:\Grateful Dead\# Dick's Picks #\30 - 1972-03-25 [Academy Of Music, New York, NY]\206 Mr. Charlie.flac</t>
  </si>
  <si>
    <t>Mr. Charlie</t>
  </si>
  <si>
    <t>Z:\Grateful Dead\# Dick's Picks #\30 - 1972-03-25 [Academy Of Music, New York, NY]\207 Mexicali Blues.flac</t>
  </si>
  <si>
    <t>Z:\Grateful Dead\# Dick's Picks #\30 - 1972-03-25 [Academy Of Music, New York, NY]\208 Brokedown Palace.flac</t>
  </si>
  <si>
    <t>Z:\Grateful Dead\# Dick's Picks #\30 - 1972-03-25 [Academy Of Music, New York, NY]\209 Next Time You See Me.flac</t>
  </si>
  <si>
    <t>Next Time You See Me</t>
  </si>
  <si>
    <t>Z:\Grateful Dead\# Dick's Picks #\30 - 1972-03-25 [Academy Of Music, New York, NY]\210 Cumberland Blues.flac</t>
  </si>
  <si>
    <t>Z:\Grateful Dead\# Dick's Picks #\30 - 1972-03-25 [Academy Of Music, New York, NY]\301 Looks Like Rain.flac</t>
  </si>
  <si>
    <t>Z:\Grateful Dead\# Dick's Picks #\30 - 1972-03-25 [Academy Of Music, New York, NY]\302 Big Railroad Blues.flac</t>
  </si>
  <si>
    <t>Z:\Grateful Dead\# Dick's Picks #\30 - 1972-03-25 [Academy Of Music, New York, NY]\303 El Paso.flac</t>
  </si>
  <si>
    <t>Z:\Grateful Dead\# Dick's Picks #\30 - 1972-03-25 [Academy Of Music, New York, NY]\304 China Cat Sunflower.flac</t>
  </si>
  <si>
    <t>Z:\Grateful Dead\# Dick's Picks #\30 - 1972-03-25 [Academy Of Music, New York, NY]\305 I Know You Rider.flac</t>
  </si>
  <si>
    <t>Z:\Grateful Dead\# Dick's Picks #\30 - 1972-03-25 [Academy Of Music, New York, NY]\306 Casey Jones.flac</t>
  </si>
  <si>
    <t>Z:\Grateful Dead\# Dick's Picks #\30 - 1972-03-25 [Academy Of Music, New York, NY]\307 Playing In The Band.flac</t>
  </si>
  <si>
    <t>Z:\Grateful Dead\# Dick's Picks #\30 - 1972-03-25 [Academy Of Music, New York, NY]\308 Sugaree.flac</t>
  </si>
  <si>
    <t>Z:\Grateful Dead\# Dick's Picks #\30 - 1972-03-25 [Academy Of Music, New York, NY]\309 The Stranger (Two Souls In Communion).flac</t>
  </si>
  <si>
    <t>The Stranger (Two Souls In Communion)</t>
  </si>
  <si>
    <t>Z:\Grateful Dead\# Dick's Picks #\30 - 1972-03-25 [Academy Of Music, New York, NY]\401 Sugar Magnolia.flac</t>
  </si>
  <si>
    <t>Z:\Grateful Dead\# Dick's Picks #\30 - 1972-03-25 [Academy Of Music, New York, NY]\402 The Other One.flac</t>
  </si>
  <si>
    <t>Z:\Grateful Dead\# Dick's Picks #\30 - 1972-03-25 [Academy Of Music, New York, NY]\403 Hurts Me Too.flac</t>
  </si>
  <si>
    <t>Z:\Grateful Dead\# Dick's Picks #\30 - 1972-03-25 [Academy Of Music, New York, NY]\404 Not Fade Away.flac</t>
  </si>
  <si>
    <t>Z:\Grateful Dead\# Dick's Picks #\30 - 1972-03-25 [Academy Of Music, New York, NY]\405 Goin' Down The Road Feeling Bad.flac</t>
  </si>
  <si>
    <t>Z:\Grateful Dead\# Dick's Picks #\30 - 1972-03-25 [Academy Of Music, New York, NY]\406 Not Fade Away.flac</t>
  </si>
  <si>
    <t>Z:\Grateful Dead\# Dick's Picks #\30 - 1972-03-25 [Academy Of Music, New York, NY]\407 Sidewalks Of New York.flac</t>
  </si>
  <si>
    <t>Sidewalks Of New York</t>
  </si>
  <si>
    <t>Z:\Grateful Dead\# Dick's Picks #\30 - 1972-03-25 [Academy Of Music, New York, NY]\408 One More Saturday Night.flac</t>
  </si>
  <si>
    <t>Z:\Grateful Dead\# Dick's Picks #\31 - 1974-08-04 [Civic Center, Philadelphia, PA]\01 Playing In The Band.flac</t>
  </si>
  <si>
    <t>Z:\Grateful Dead\# Dick's Picks #\31 - 1974-08-04 [Civic Center, Philadelphia, PA]\02 Scarlet Begonias.flac</t>
  </si>
  <si>
    <t>Z:\Grateful Dead\# Dick's Picks #\31 - 1974-08-04 [Civic Center, Philadelphia, PA]\03 Jack Straw.flac</t>
  </si>
  <si>
    <t>Z:\Grateful Dead\# Dick's Picks #\31 - 1974-08-04 [Civic Center, Philadelphia, PA]\04 Peggy-O.flac</t>
  </si>
  <si>
    <t>Z:\Grateful Dead\# Dick's Picks #\31 - 1974-08-04 [Civic Center, Philadelphia, PA]\05 Ship of Fools.flac</t>
  </si>
  <si>
    <t>Z:\Grateful Dead\# Dick's Picks #\31 - 1974-08-04 [Civic Center, Philadelphia, PA]\06 Loose Lucy.flac</t>
  </si>
  <si>
    <t>Z:\Grateful Dead\# Dick's Picks #\31 - 1974-08-04 [Civic Center, Philadelphia, PA]\07 Weather Report Suite.flac</t>
  </si>
  <si>
    <t>Z:\Grateful Dead\# Dick's Picks #\31 - 1974-08-04 [Civic Center, Philadelphia, PA]\08 Jam.flac</t>
  </si>
  <si>
    <t>Z:\Grateful Dead\# Dick's Picks #\31 - 1974-08-04 [Civic Center, Philadelphia, PA]\09 Wharf Rat.flac</t>
  </si>
  <si>
    <t>Z:\Grateful Dead\# Dick's Picks #\31 - 1974-08-04 [Civic Center, Philadelphia, PA]\10 U.S. Blues.flac</t>
  </si>
  <si>
    <t>Z:\Grateful Dead\# Dick's Picks #\31 - 1974-08-04 [Civic Center, Philadelphia, PA]\11 Sugar Magnolia.flac</t>
  </si>
  <si>
    <t>Z:\Grateful Dead\# Dick's Picks #\31 - 1974-08-04 [Civic Center, Philadelphia, PA]\12 Casey Jones.flac</t>
  </si>
  <si>
    <t>Z:\Grateful Dead\# Dick's Picks #\31 - 1974-08-05 [Civic Center, Philadelphia, PA]\01 Me &amp; Bobby McGee.flac</t>
  </si>
  <si>
    <t>Me &amp; Bobby McGee</t>
  </si>
  <si>
    <t>Z:\Grateful Dead\# Dick's Picks #\31 - 1974-08-05 [Civic Center, Philadelphia, PA]\02 China Cat Sunflower.flac</t>
  </si>
  <si>
    <t>Z:\Grateful Dead\# Dick's Picks #\31 - 1974-08-05 [Civic Center, Philadelphia, PA]\03 I Know You Rider.flac</t>
  </si>
  <si>
    <t>Z:\Grateful Dead\# Dick's Picks #\31 - 1974-08-05 [Civic Center, Philadelphia, PA]\04 Around And Around.flac</t>
  </si>
  <si>
    <t>Z:\Grateful Dead\# Dick's Picks #\31 - 1974-08-05 [Civic Center, Philadelphia, PA]\05 Mississippi Half-Step Uptown Toodeloo.flac</t>
  </si>
  <si>
    <t>Z:\Grateful Dead\# Dick's Picks #\31 - 1974-08-05 [Civic Center, Philadelphia, PA]\06 It Must Have Been The Roses.flac</t>
  </si>
  <si>
    <t>It Must Have Been The Roses</t>
  </si>
  <si>
    <t>Z:\Grateful Dead\# Dick's Picks #\31 - 1974-08-05 [Civic Center, Philadelphia, PA]\07 Big River.flac</t>
  </si>
  <si>
    <t>Z:\Grateful Dead\# Dick's Picks #\31 - 1974-08-05 [Civic Center, Philadelphia, PA]\08 He's Gone.flac</t>
  </si>
  <si>
    <t>Z:\Grateful Dead\# Dick's Picks #\31 - 1974-08-05 [Civic Center, Philadelphia, PA]\09 Truckin'.flac</t>
  </si>
  <si>
    <t>Z:\Grateful Dead\# Dick's Picks #\31 - 1974-08-05 [Civic Center, Philadelphia, PA]\10 Jam.flac</t>
  </si>
  <si>
    <t>Z:\Grateful Dead\# Dick's Picks #\31 - 1974-08-05 [Civic Center, Philadelphia, PA]\11 Other One Jam.flac</t>
  </si>
  <si>
    <t>Z:\Grateful Dead\# Dick's Picks #\31 - 1974-08-05 [Civic Center, Philadelphia, PA]\12 Space.flac</t>
  </si>
  <si>
    <t>Z:\Grateful Dead\# Dick's Picks #\31 - 1974-08-05 [Civic Center, Philadelphia, PA]\13 Stella Blue.flac</t>
  </si>
  <si>
    <t>Z:\Grateful Dead\# Dick's Picks #\31 - 1974-08-05 [Civic Center, Philadelphia, PA]\14 One More Saturday Night.flac</t>
  </si>
  <si>
    <t>Z:\Grateful Dead\# Dick's Picks #\31 - 1974-08-06 [Roosevelt Stadium, Jersey City, NJ]\01 Eyes Of The World.flac</t>
  </si>
  <si>
    <t>Z:\Grateful Dead\# Dick's Picks #\31 - 1974-08-06 [Roosevelt Stadium, Jersey City, NJ]\02 Playing In The Band.flac</t>
  </si>
  <si>
    <t>Z:\Grateful Dead\# Dick's Picks #\31 - 1974-08-06 [Roosevelt Stadium, Jersey City, NJ]\03 Scarlet Begonias.flac</t>
  </si>
  <si>
    <t>Z:\Grateful Dead\# Dick's Picks #\31 - 1974-08-06 [Roosevelt Stadium, Jersey City, NJ]\04 Playing In The Band.flac</t>
  </si>
  <si>
    <t>Z:\Grateful Dead\# Dick's Picks #\31 - 1974-08-06 [Roosevelt Stadium, Jersey City, NJ]\05 Uncle John's Band.flac</t>
  </si>
  <si>
    <t>Z:\Grateful Dead\# Dick's Picks #\32 - 1982-08-07 [Alpine Valley, East Troy, WI]\101 The Music Never Stopped -».flac</t>
  </si>
  <si>
    <t>The Music Never Stopped &gt;</t>
  </si>
  <si>
    <t>Z:\Grateful Dead\# Dick's Picks #\32 - 1982-08-07 [Alpine Valley, East Troy, WI]\102 Sugaree -».flac</t>
  </si>
  <si>
    <t>Sugaree &gt;</t>
  </si>
  <si>
    <t>Z:\Grateful Dead\# Dick's Picks #\32 - 1982-08-07 [Alpine Valley, East Troy, WI]\103 The Music Never Stopped.flac</t>
  </si>
  <si>
    <t>Z:\Grateful Dead\# Dick's Picks #\32 - 1982-08-07 [Alpine Valley, East Troy, WI]\104 Me And My Uncle -».flac</t>
  </si>
  <si>
    <t>Z:\Grateful Dead\# Dick's Picks #\32 - 1982-08-07 [Alpine Valley, East Troy, WI]\105 Big River.flac</t>
  </si>
  <si>
    <t>Z:\Grateful Dead\# Dick's Picks #\32 - 1982-08-07 [Alpine Valley, East Troy, WI]\106 It Must Have Been The Roses.flac</t>
  </si>
  <si>
    <t>Z:\Grateful Dead\# Dick's Picks #\32 - 1982-08-07 [Alpine Valley, East Troy, WI]\107 C.C. Rider.flac</t>
  </si>
  <si>
    <t>Z:\Grateful Dead\# Dick's Picks #\32 - 1982-08-07 [Alpine Valley, East Troy, WI]\108 Ramble On Rose.flac</t>
  </si>
  <si>
    <t>Z:\Grateful Dead\# Dick's Picks #\32 - 1982-08-07 [Alpine Valley, East Troy, WI]\109 Beat It On Down The Line -».flac</t>
  </si>
  <si>
    <t>Beat It On Down The Line &gt;</t>
  </si>
  <si>
    <t>Z:\Grateful Dead\# Dick's Picks #\32 - 1982-08-07 [Alpine Valley, East Troy, WI]\110 On The Road Again.flac</t>
  </si>
  <si>
    <t>On The Road Again</t>
  </si>
  <si>
    <t>Z:\Grateful Dead\# Dick's Picks #\32 - 1982-08-07 [Alpine Valley, East Troy, WI]\111 Althea.flac</t>
  </si>
  <si>
    <t>Z:\Grateful Dead\# Dick's Picks #\32 - 1982-08-07 [Alpine Valley, East Troy, WI]\112 Let It Grow.flac</t>
  </si>
  <si>
    <t>Z:\Grateful Dead\# Dick's Picks #\32 - 1982-08-07 [Alpine Valley, East Troy, WI]\201 China Cat Sunflower.flac</t>
  </si>
  <si>
    <t>Z:\Grateful Dead\# Dick's Picks #\32 - 1982-08-07 [Alpine Valley, East Troy, WI]\202 I Know You Rider.flac</t>
  </si>
  <si>
    <t>Z:\Grateful Dead\# Dick's Picks #\32 - 1982-08-07 [Alpine Valley, East Troy, WI]\203 Man Smart, Woman Smarter.flac</t>
  </si>
  <si>
    <t>Man Smart, Woman Smarter</t>
  </si>
  <si>
    <t>Z:\Grateful Dead\# Dick's Picks #\32 - 1982-08-07 [Alpine Valley, East Troy, WI]\204 Ship Of Fools.flac</t>
  </si>
  <si>
    <t>Z:\Grateful Dead\# Dick's Picks #\32 - 1982-08-07 [Alpine Valley, East Troy, WI]\205 Playing In The Band.flac</t>
  </si>
  <si>
    <t>Z:\Grateful Dead\# Dick's Picks #\32 - 1982-08-07 [Alpine Valley, East Troy, WI]\206 Drums.flac</t>
  </si>
  <si>
    <t>Z:\Grateful Dead\# Dick's Picks #\32 - 1982-08-07 [Alpine Valley, East Troy, WI]\207 Space.flac</t>
  </si>
  <si>
    <t>Z:\Grateful Dead\# Dick's Picks #\32 - 1982-08-07 [Alpine Valley, East Troy, WI]\208 The Wheel.flac</t>
  </si>
  <si>
    <t>Z:\Grateful Dead\# Dick's Picks #\32 - 1982-08-07 [Alpine Valley, East Troy, WI]\209 Playing In The Band.flac</t>
  </si>
  <si>
    <t>Z:\Grateful Dead\# Dick's Picks #\32 - 1982-08-07 [Alpine Valley, East Troy, WI]\210 Morning Dew.flac</t>
  </si>
  <si>
    <t>Z:\Grateful Dead\# Dick's Picks #\32 - 1982-08-07 [Alpine Valley, East Troy, WI]\211 One More Saturday Night.flac</t>
  </si>
  <si>
    <t>Z:\Grateful Dead\# Dick's Picks #\32 - 1982-08-07 [Alpine Valley, East Troy, WI]\212 U.S. Blues.flac</t>
  </si>
  <si>
    <t>Z:\Grateful Dead\# Dick's Picks #\33 - 1976-10-09 [Oakland Stadium, CA]\101 Promised Land.flac</t>
  </si>
  <si>
    <t>Z:\Grateful Dead\# Dick's Picks #\33 - 1976-10-09 [Oakland Stadium, CA]\102 Mississippi Half-Step Uptown Toodeloo.flac</t>
  </si>
  <si>
    <t>Z:\Grateful Dead\# Dick's Picks #\33 - 1976-10-09 [Oakland Stadium, CA]\103 Cassidy.flac</t>
  </si>
  <si>
    <t>Z:\Grateful Dead\# Dick's Picks #\33 - 1976-10-09 [Oakland Stadium, CA]\104 Tennessee Jed.flac</t>
  </si>
  <si>
    <t>Z:\Grateful Dead\# Dick's Picks #\33 - 1976-10-09 [Oakland Stadium, CA]\105 Looks Like Rain.flac</t>
  </si>
  <si>
    <t>Z:\Grateful Dead\# Dick's Picks #\33 - 1976-10-09 [Oakland Stadium, CA]\106 They Love Each Other.flac</t>
  </si>
  <si>
    <t>Z:\Grateful Dead\# Dick's Picks #\33 - 1976-10-09 [Oakland Stadium, CA]\107 New Minglewood Blues.flac</t>
  </si>
  <si>
    <t>Z:\Grateful Dead\# Dick's Picks #\33 - 1976-10-09 [Oakland Stadium, CA]\108 Scarlet Begonias.flac</t>
  </si>
  <si>
    <t>Z:\Grateful Dead\# Dick's Picks #\33 - 1976-10-09 [Oakland Stadium, CA]\109 Lazy Lightnin'.flac</t>
  </si>
  <si>
    <t>Lazy Lightnin'</t>
  </si>
  <si>
    <t>Z:\Grateful Dead\# Dick's Picks #\33 - 1976-10-09 [Oakland Stadium, CA]\110 Supplication.flac</t>
  </si>
  <si>
    <t>Z:\Grateful Dead\# Dick's Picks #\33 - 1976-10-09 [Oakland Stadium, CA]\111 Sugaree.flac</t>
  </si>
  <si>
    <t>Z:\Grateful Dead\# Dick's Picks #\33 - 1976-10-09 [Oakland Stadium, CA]\201 St. Stephen ».flac</t>
  </si>
  <si>
    <t>St. Stephen &gt;</t>
  </si>
  <si>
    <t>Z:\Grateful Dead\# Dick's Picks #\33 - 1976-10-09 [Oakland Stadium, CA]\202 Not Fade Away ».flac</t>
  </si>
  <si>
    <t>Z:\Grateful Dead\# Dick's Picks #\33 - 1976-10-09 [Oakland Stadium, CA]\203 St. Stephen ».flac</t>
  </si>
  <si>
    <t>Z:\Grateful Dead\# Dick's Picks #\33 - 1976-10-09 [Oakland Stadium, CA]\204 Help On The Way ».flac</t>
  </si>
  <si>
    <t>Z:\Grateful Dead\# Dick's Picks #\33 - 1976-10-09 [Oakland Stadium, CA]\205 Slipknot ».flac</t>
  </si>
  <si>
    <t>Slipknot &gt;</t>
  </si>
  <si>
    <t>Z:\Grateful Dead\# Dick's Picks #\33 - 1976-10-09 [Oakland Stadium, CA]\206 Drums ».flac</t>
  </si>
  <si>
    <t>Z:\Grateful Dead\# Dick's Picks #\33 - 1976-10-09 [Oakland Stadium, CA]\207 Samson &amp; Delilah ».flac</t>
  </si>
  <si>
    <t>Samson &amp; Delilah &gt;</t>
  </si>
  <si>
    <t>Z:\Grateful Dead\# Dick's Picks #\33 - 1976-10-09 [Oakland Stadium, CA]\208 Slipknot ».flac</t>
  </si>
  <si>
    <t>Z:\Grateful Dead\# Dick's Picks #\33 - 1976-10-09 [Oakland Stadium, CA]\209 Franklin's Tower ».flac</t>
  </si>
  <si>
    <t>Z:\Grateful Dead\# Dick's Picks #\33 - 1976-10-09 [Oakland Stadium, CA]\210 One More Saturday Night.flac</t>
  </si>
  <si>
    <t>Z:\Grateful Dead\# Dick's Picks #\33 - 1976-10-09 [Oakland Stadium, CA]\211 U.S. Blues.flac</t>
  </si>
  <si>
    <t>Z:\Grateful Dead\# Dick's Picks #\33 - 1976-10-10 [Oakland Stadium, CA]\101 Might As Well.flac</t>
  </si>
  <si>
    <t>Might As Well</t>
  </si>
  <si>
    <t>Z:\Grateful Dead\# Dick's Picks #\33 - 1976-10-10 [Oakland Stadium, CA]\102 Mama Tried.flac</t>
  </si>
  <si>
    <t>Z:\Grateful Dead\# Dick's Picks #\33 - 1976-10-10 [Oakland Stadium, CA]\103 Ramble On Rose.flac</t>
  </si>
  <si>
    <t>Z:\Grateful Dead\# Dick's Picks #\33 - 1976-10-10 [Oakland Stadium, CA]\104 Cassidy.flac</t>
  </si>
  <si>
    <t>Z:\Grateful Dead\# Dick's Picks #\33 - 1976-10-10 [Oakland Stadium, CA]\105 Deal.flac</t>
  </si>
  <si>
    <t>Z:\Grateful Dead\# Dick's Picks #\33 - 1976-10-10 [Oakland Stadium, CA]\106 El Paso.flac</t>
  </si>
  <si>
    <t>Z:\Grateful Dead\# Dick's Picks #\33 - 1976-10-10 [Oakland Stadium, CA]\107 Loser.flac</t>
  </si>
  <si>
    <t>Z:\Grateful Dead\# Dick's Picks #\33 - 1976-10-10 [Oakland Stadium, CA]\108 Promised Land.flac</t>
  </si>
  <si>
    <t>Z:\Grateful Dead\# Dick's Picks #\33 - 1976-10-10 [Oakland Stadium, CA]\109 Friend Of The Devil.flac</t>
  </si>
  <si>
    <t>Z:\Grateful Dead\# Dick's Picks #\33 - 1976-10-10 [Oakland Stadium, CA]\110 Dancing In The Streets.flac</t>
  </si>
  <si>
    <t>Z:\Grateful Dead\# Dick's Picks #\33 - 1976-10-10 [Oakland Stadium, CA]\111 Wharf Rat.flac</t>
  </si>
  <si>
    <t>Z:\Grateful Dead\# Dick's Picks #\33 - 1976-10-10 [Oakland Stadium, CA]\112 Dancing In The Streets.flac</t>
  </si>
  <si>
    <t>Z:\Grateful Dead\# Dick's Picks #\33 - 1976-10-10 [Oakland Stadium, CA]\201 Samson &amp; Delilah.flac</t>
  </si>
  <si>
    <t>Z:\Grateful Dead\# Dick's Picks #\33 - 1976-10-10 [Oakland Stadium, CA]\202 Brown-Eyed Woman.flac</t>
  </si>
  <si>
    <t>Z:\Grateful Dead\# Dick's Picks #\33 - 1976-10-10 [Oakland Stadium, CA]\203 Playing In The Band.flac</t>
  </si>
  <si>
    <t>Z:\Grateful Dead\# Dick's Picks #\33 - 1976-10-10 [Oakland Stadium, CA]\204 Drums.flac</t>
  </si>
  <si>
    <t>Z:\Grateful Dead\# Dick's Picks #\33 - 1976-10-10 [Oakland Stadium, CA]\205 The Wheel.flac</t>
  </si>
  <si>
    <t>Z:\Grateful Dead\# Dick's Picks #\33 - 1976-10-10 [Oakland Stadium, CA]\206 Space.flac</t>
  </si>
  <si>
    <t>Z:\Grateful Dead\# Dick's Picks #\33 - 1976-10-10 [Oakland Stadium, CA]\207 The Other One.flac</t>
  </si>
  <si>
    <t>Z:\Grateful Dead\# Dick's Picks #\33 - 1976-10-10 [Oakland Stadium, CA]\208 Stella Blue.flac</t>
  </si>
  <si>
    <t>Z:\Grateful Dead\# Dick's Picks #\33 - 1976-10-10 [Oakland Stadium, CA]\209 Playing In The Band.flac</t>
  </si>
  <si>
    <t>Z:\Grateful Dead\# Dick's Picks #\33 - 1976-10-10 [Oakland Stadium, CA]\210 Sugar Magnolia.flac</t>
  </si>
  <si>
    <t>Z:\Grateful Dead\# Dick's Picks #\33 - 1976-10-10 [Oakland Stadium, CA]\211 Johnny B. Goode.flac</t>
  </si>
  <si>
    <t>Z:\Grateful Dead\# Dick's Picks #\34 - 1977-11-02 [Field House - Seneca College, Toronto, ON] filler\109 Lazy Lightnin'.flac</t>
  </si>
  <si>
    <t>Z:\Grateful Dead\# Dick's Picks #\34 - 1977-11-02 [Field House - Seneca College, Toronto, ON] filler\110 Might As Well.flac</t>
  </si>
  <si>
    <t>Z:\Grateful Dead\# Dick's Picks #\34 - 1977-11-02 [Field House - Seneca College, Toronto, ON] filler\110 Saint Stephen.flac</t>
  </si>
  <si>
    <t>Saint Stephen</t>
  </si>
  <si>
    <t>Z:\Grateful Dead\# Dick's Picks #\34 - 1977-11-02 [Field House - Seneca College, Toronto, ON] filler\110 Supplication.flac</t>
  </si>
  <si>
    <t>Z:\Grateful Dead\# Dick's Picks #\34 - 1977-11-02 [Field House - Seneca College, Toronto, ON] filler\207 Estimated Prophet.flac</t>
  </si>
  <si>
    <t>Z:\Grateful Dead\# Dick's Picks #\34 - 1977-11-02 [Field House - Seneca College, Toronto, ON] filler\209 Truckin'.flac</t>
  </si>
  <si>
    <t>Z:\Grateful Dead\# Dick's Picks #\34 - 1977-11-02 [Field House - Seneca College, Toronto, ON] filler\210 Around And Around.flac</t>
  </si>
  <si>
    <t>Z:\Grateful Dead\# Dick's Picks #\34 - 1977-11-05 [Community War Memorial, Rochester, NY]\101 New Minglewood Blues.flac</t>
  </si>
  <si>
    <t>Z:\Grateful Dead\# Dick's Picks #\34 - 1977-11-05 [Community War Memorial, Rochester, NY]\102 Mississippi Half-Step Uptown Toodeloo.flac</t>
  </si>
  <si>
    <t>Z:\Grateful Dead\# Dick's Picks #\34 - 1977-11-05 [Community War Memorial, Rochester, NY]\103 Looks Like Rain.flac</t>
  </si>
  <si>
    <t>Z:\Grateful Dead\# Dick's Picks #\34 - 1977-11-05 [Community War Memorial, Rochester, NY]\104 Dire Wolf.flac</t>
  </si>
  <si>
    <t>Z:\Grateful Dead\# Dick's Picks #\34 - 1977-11-05 [Community War Memorial, Rochester, NY]\105 Mama Tried.flac</t>
  </si>
  <si>
    <t>Z:\Grateful Dead\# Dick's Picks #\34 - 1977-11-05 [Community War Memorial, Rochester, NY]\106 Big River.flac</t>
  </si>
  <si>
    <t>Z:\Grateful Dead\# Dick's Picks #\34 - 1977-11-05 [Community War Memorial, Rochester, NY]\107 Candyman.flac</t>
  </si>
  <si>
    <t>Z:\Grateful Dead\# Dick's Picks #\34 - 1977-11-05 [Community War Memorial, Rochester, NY]\108 Jack Straw.flac</t>
  </si>
  <si>
    <t>Z:\Grateful Dead\# Dick's Picks #\34 - 1977-11-05 [Community War Memorial, Rochester, NY]\109 Deal.flac</t>
  </si>
  <si>
    <t>Z:\Grateful Dead\# Dick's Picks #\34 - 1977-11-05 [Community War Memorial, Rochester, NY]\201 Phil Solo.flac</t>
  </si>
  <si>
    <t>Phil Solo</t>
  </si>
  <si>
    <t>Z:\Grateful Dead\# Dick's Picks #\34 - 1977-11-05 [Community War Memorial, Rochester, NY]\202 Take A Step Back.flac</t>
  </si>
  <si>
    <t>Take A Step Back</t>
  </si>
  <si>
    <t>Z:\Grateful Dead\# Dick's Picks #\34 - 1977-11-05 [Community War Memorial, Rochester, NY]\203 Eyes Of The World.flac</t>
  </si>
  <si>
    <t>Z:\Grateful Dead\# Dick's Picks #\34 - 1977-11-05 [Community War Memorial, Rochester, NY]\204 Samson &amp; Delilah.flac</t>
  </si>
  <si>
    <t>Z:\Grateful Dead\# Dick's Picks #\34 - 1977-11-05 [Community War Memorial, Rochester, NY]\205 It Must Have Been The Roses.flac</t>
  </si>
  <si>
    <t>Z:\Grateful Dead\# Dick's Picks #\34 - 1977-11-05 [Community War Memorial, Rochester, NY]\206 Estimated Prophet.flac</t>
  </si>
  <si>
    <t>Z:\Grateful Dead\# Dick's Picks #\34 - 1977-11-05 [Community War Memorial, Rochester, NY]\207 He's Gone.flac</t>
  </si>
  <si>
    <t>Z:\Grateful Dead\# Dick's Picks #\34 - 1977-11-05 [Community War Memorial, Rochester, NY]\208 Rhythm Devils.flac</t>
  </si>
  <si>
    <t>Rhythm Devils</t>
  </si>
  <si>
    <t>Z:\Grateful Dead\# Dick's Picks #\34 - 1977-11-05 [Community War Memorial, Rochester, NY]\209 The Other One.flac</t>
  </si>
  <si>
    <t>Z:\Grateful Dead\# Dick's Picks #\34 - 1977-11-05 [Community War Memorial, Rochester, NY]\210 Black Peter.flac</t>
  </si>
  <si>
    <t>Z:\Grateful Dead\# Dick's Picks #\34 - 1977-11-05 [Community War Memorial, Rochester, NY]\211 Sugar Magnolia.flac</t>
  </si>
  <si>
    <t>Z:\Grateful Dead\# Dick's Picks #\34 - 1977-11-05 [Community War Memorial, Rochester, NY]\212 One More Saturday Night.flac</t>
  </si>
  <si>
    <t>Z:\Grateful Dead\# Dick's Picks #\35 - 1971-08-06 [Hollywood Palladium, Hollywood, CA] %II\204 The Other One.flac</t>
  </si>
  <si>
    <t>Z:\Grateful Dead\# Dick's Picks #\35 - 1971-08-06 [Hollywood Palladium, Hollywood, CA] %II\205 Me &amp; My Uncle.flac</t>
  </si>
  <si>
    <t>Z:\Grateful Dead\# Dick's Picks #\35 - 1971-08-06 [Hollywood Palladium, Hollywood, CA] %II\206 The Other One.flac</t>
  </si>
  <si>
    <t>Z:\Grateful Dead\# Dick's Picks #\35 - 1971-08-06 [Hollywood Palladium, Hollywood, CA] %II\207 Deal.flac</t>
  </si>
  <si>
    <t>Z:\Grateful Dead\# Dick's Picks #\35 - 1971-08-06 [Hollywood Palladium, Hollywood, CA] %II\208 Sugar Magnolia.flac</t>
  </si>
  <si>
    <t>Z:\Grateful Dead\# Dick's Picks #\35 - 1971-08-06 [Hollywood Palladium, Hollywood, CA] %II\209 Morning Dew.flac</t>
  </si>
  <si>
    <t>Z:\Grateful Dead\# Dick's Picks #\35 - 1971-08-06 [Hollywood Palladium, Hollywood, CA] %II\210 Turn On Your Lovelight.flac</t>
  </si>
  <si>
    <t>Z:\Grateful Dead\# Dick's Picks #\35 - 1971-08-07 [Golden Hall, San Diego, CA]\101 Big Railroad Blues.flac</t>
  </si>
  <si>
    <t>Z:\Grateful Dead\# Dick's Picks #\35 - 1971-08-07 [Golden Hall, San Diego, CA]\102 El Paso.flac</t>
  </si>
  <si>
    <t>Z:\Grateful Dead\# Dick's Picks #\35 - 1971-08-07 [Golden Hall, San Diego, CA]\103 Mr. Charlie.flac</t>
  </si>
  <si>
    <t>Z:\Grateful Dead\# Dick's Picks #\35 - 1971-08-07 [Golden Hall, San Diego, CA]\104 Sugaree.flac</t>
  </si>
  <si>
    <t>Z:\Grateful Dead\# Dick's Picks #\35 - 1971-08-07 [Golden Hall, San Diego, CA]\105 Mama Tried.flac</t>
  </si>
  <si>
    <t>Z:\Grateful Dead\# Dick's Picks #\35 - 1971-08-07 [Golden Hall, San Diego, CA]\106 Bertha.flac</t>
  </si>
  <si>
    <t>Z:\Grateful Dead\# Dick's Picks #\35 - 1971-08-07 [Golden Hall, San Diego, CA]\107 Big Boss Man.flac</t>
  </si>
  <si>
    <t>Big Boss Man</t>
  </si>
  <si>
    <t>Z:\Grateful Dead\# Dick's Picks #\35 - 1971-08-07 [Golden Hall, San Diego, CA]\108 Promised Land.flac</t>
  </si>
  <si>
    <t>Z:\Grateful Dead\# Dick's Picks #\35 - 1971-08-07 [Golden Hall, San Diego, CA]\109 Hard To Handle.flac</t>
  </si>
  <si>
    <t>Hard To Handle</t>
  </si>
  <si>
    <t>Z:\Grateful Dead\# Dick's Picks #\35 - 1971-08-07 [Golden Hall, San Diego, CA]\110 Cumberland Blues.flac</t>
  </si>
  <si>
    <t>Z:\Grateful Dead\# Dick's Picks #\35 - 1971-08-07 [Golden Hall, San Diego, CA]\111 Casey Jones.flac</t>
  </si>
  <si>
    <t>Z:\Grateful Dead\# Dick's Picks #\35 - 1971-08-07 [Golden Hall, San Diego, CA]\201 Truckin'.flac</t>
  </si>
  <si>
    <t>Z:\Grateful Dead\# Dick's Picks #\35 - 1971-08-07 [Golden Hall, San Diego, CA]\202 China Cat Sunflower.flac</t>
  </si>
  <si>
    <t>Z:\Grateful Dead\# Dick's Picks #\35 - 1971-08-07 [Golden Hall, San Diego, CA]\203 I Know You Rider.flac</t>
  </si>
  <si>
    <t>Z:\Grateful Dead\# Dick's Picks #\35 - 1971-08-07 [Golden Hall, San Diego, CA]\204 Next Time You See Me.flac</t>
  </si>
  <si>
    <t>Z:\Grateful Dead\# Dick's Picks #\35 - 1971-08-07 [Golden Hall, San Diego, CA]\205 Sugar Magnolia.flac</t>
  </si>
  <si>
    <t>Z:\Grateful Dead\# Dick's Picks #\35 - 1971-08-07 [Golden Hall, San Diego, CA]\206 Sing Me Back Home.flac</t>
  </si>
  <si>
    <t>Z:\Grateful Dead\# Dick's Picks #\35 - 1971-08-07 [Golden Hall, San Diego, CA]\207 Me &amp; My Uncle.flac</t>
  </si>
  <si>
    <t>Z:\Grateful Dead\# Dick's Picks #\35 - 1971-08-07 [Golden Hall, San Diego, CA]\208 Not Fade Away.flac</t>
  </si>
  <si>
    <t>Z:\Grateful Dead\# Dick's Picks #\35 - 1971-08-07 [Golden Hall, San Diego, CA]\209 Goin' Down The Road Feeling Bad.flac</t>
  </si>
  <si>
    <t>Z:\Grateful Dead\# Dick's Picks #\35 - 1971-08-07 [Golden Hall, San Diego, CA]\210 Jam.flac</t>
  </si>
  <si>
    <t>Z:\Grateful Dead\# Dick's Picks #\35 - 1971-08-07 [Golden Hall, San Diego, CA]\211 Johnny B. Goode.flac</t>
  </si>
  <si>
    <t>Z:\Grateful Dead\# Dick's Picks #\35 - 1971-08-24 [Auditorium Theatre, Chicago, IL]\101 Uncle John's Band.flac</t>
  </si>
  <si>
    <t>Z:\Grateful Dead\# Dick's Picks #\35 - 1971-08-24 [Auditorium Theatre, Chicago, IL]\102 Playing In The Band.flac</t>
  </si>
  <si>
    <t>Z:\Grateful Dead\# Dick's Picks #\35 - 1971-08-24 [Auditorium Theatre, Chicago, IL]\103 Loser.flac</t>
  </si>
  <si>
    <t>Z:\Grateful Dead\# Dick's Picks #\35 - 1971-08-24 [Auditorium Theatre, Chicago, IL]\104 Hurts Me Too.flac</t>
  </si>
  <si>
    <t>Z:\Grateful Dead\# Dick's Picks #\35 - 1971-08-24 [Auditorium Theatre, Chicago, IL]\105 Cumberland Blues.flac</t>
  </si>
  <si>
    <t>Z:\Grateful Dead\# Dick's Picks #\35 - 1971-08-24 [Auditorium Theatre, Chicago, IL]\106 Empty Pages.flac</t>
  </si>
  <si>
    <t>Empty Pages</t>
  </si>
  <si>
    <t>Z:\Grateful Dead\# Dick's Picks #\35 - 1971-08-24 [Auditorium Theatre, Chicago, IL]\107 Beat It On Down The Line.flac</t>
  </si>
  <si>
    <t>Z:\Grateful Dead\# Dick's Picks #\35 - 1971-08-24 [Auditorium Theatre, Chicago, IL]\108 Brown Eyed Women.flac</t>
  </si>
  <si>
    <t>Brown Eyed Women</t>
  </si>
  <si>
    <t>Z:\Grateful Dead\# Dick's Picks #\35 - 1971-08-24 [Auditorium Theatre, Chicago, IL]\109 St. Stephen.flac</t>
  </si>
  <si>
    <t>Z:\Grateful Dead\# Dick's Picks #\35 - 1971-08-24 [Auditorium Theatre, Chicago, IL]\110 Not Fade Away.flac</t>
  </si>
  <si>
    <t>Z:\Grateful Dead\# Dick's Picks #\35 - 1971-08-24 [Auditorium Theatre, Chicago, IL]\111 Goin' Down The Road Feeling Bad.flac</t>
  </si>
  <si>
    <t>Z:\Grateful Dead\# Dick's Picks #\35 - 1971-08-24 [Auditorium Theatre, Chicago, IL]\112 Not Fade Away.flac</t>
  </si>
  <si>
    <t>Z:\Grateful Dead\# Dick's Picks #\35 - 1971-08-24 [Auditorium Theatre, Chicago, IL]\113 Me And Bobby McGee.flac</t>
  </si>
  <si>
    <t>Me And Bobby McGee</t>
  </si>
  <si>
    <t>Z:\Grateful Dead\# Dick's Picks #\35 - 1971-08-24 [Auditorium Theatre, Chicago, IL]\114 Big Boss Man.flac</t>
  </si>
  <si>
    <t>Z:\Grateful Dead\# Dick's Picks #\35 - 1971-08-24 [Auditorium Theatre, Chicago, IL]\115 Brokedown Palace.flac</t>
  </si>
  <si>
    <t>Z:\Grateful Dead\# Dick's Picks #\35 - 1971-08-24 [Auditorium Theatre, Chicago, IL]\116 Good Lovin'.flac</t>
  </si>
  <si>
    <t>Z:\Grateful Dead\# Dick's Picks #\35 - 1971-08-24 [Auditorium Theatre, Chicago, IL]\205 Dark Star.flac</t>
  </si>
  <si>
    <t>Z:\Grateful Dead\# Dick's Picks #\35 - 1971-08-24 [Auditorium Theatre, Chicago, IL]\206 Morning Dew.flac</t>
  </si>
  <si>
    <t>Z:\Grateful Dead\# Dick's Picks #\35 - 1971-08-24 [Auditorium Theatre, Chicago, IL]\207 Beat It On Down The Line.flac</t>
  </si>
  <si>
    <t>Z:\Grateful Dead\# Dick's Picks #\35 - 1971-08-24 [Auditorium Theatre, Chicago, IL]\208 Mississippi Half-Step Uptown Toodeloo.flac</t>
  </si>
  <si>
    <t>Z:\Grateful Dead\# Dick's Picks #\35 - 1971-08-24 [Auditorium Theatre, Chicago, IL]\209 Sugar Magnolia.flac</t>
  </si>
  <si>
    <t>Z:\Grateful Dead\# Dick's Picks #\35 - 1971-08-24 [Auditorium Theatre, Chicago, IL]\210 Friend Of The Devil.flac</t>
  </si>
  <si>
    <t>Z:\Grateful Dead\# Dick's Picks #\36 - 1972-09-21 [The Spectrum, Philadelphia, PA]\101 Promised Land.flac</t>
  </si>
  <si>
    <t>Z:\Grateful Dead\# Dick's Picks #\36 - 1972-09-21 [The Spectrum, Philadelphia, PA]\102 Bird Song.flac</t>
  </si>
  <si>
    <t>Z:\Grateful Dead\# Dick's Picks #\36 - 1972-09-21 [The Spectrum, Philadelphia, PA]\103 El Paso.flac</t>
  </si>
  <si>
    <t>Z:\Grateful Dead\# Dick's Picks #\36 - 1972-09-21 [The Spectrum, Philadelphia, PA]\104 China Cat Sunflower.flac</t>
  </si>
  <si>
    <t>Z:\Grateful Dead\# Dick's Picks #\36 - 1972-09-21 [The Spectrum, Philadelphia, PA]\105 I Know You Rider.flac</t>
  </si>
  <si>
    <t>Z:\Grateful Dead\# Dick's Picks #\36 - 1972-09-21 [The Spectrum, Philadelphia, PA]\106 Black Throated Wind.flac</t>
  </si>
  <si>
    <t>Black Throated Wind</t>
  </si>
  <si>
    <t>Z:\Grateful Dead\# Dick's Picks #\36 - 1972-09-21 [The Spectrum, Philadelphia, PA]\107 Big Railroad Blues.flac</t>
  </si>
  <si>
    <t>Z:\Grateful Dead\# Dick's Picks #\36 - 1972-09-21 [The Spectrum, Philadelphia, PA]\108 Jack Straw.flac</t>
  </si>
  <si>
    <t>Z:\Grateful Dead\# Dick's Picks #\36 - 1972-09-21 [The Spectrum, Philadelphia, PA]\109 Loser.flac</t>
  </si>
  <si>
    <t>Z:\Grateful Dead\# Dick's Picks #\36 - 1972-09-21 [The Spectrum, Philadelphia, PA]\110 Big River.flac</t>
  </si>
  <si>
    <t>Z:\Grateful Dead\# Dick's Picks #\36 - 1972-09-21 [The Spectrum, Philadelphia, PA]\111 Ramble On Rose.flac</t>
  </si>
  <si>
    <t>Z:\Grateful Dead\# Dick's Picks #\36 - 1972-09-21 [The Spectrum, Philadelphia, PA]\112 Cumberland Blues.flac</t>
  </si>
  <si>
    <t>Z:\Grateful Dead\# Dick's Picks #\36 - 1972-09-21 [The Spectrum, Philadelphia, PA]\113 Playing In The Band.flac</t>
  </si>
  <si>
    <t>Z:\Grateful Dead\# Dick's Picks #\36 - 1972-09-21 [The Spectrum, Philadelphia, PA]\201 He's Gone.flac</t>
  </si>
  <si>
    <t>Z:\Grateful Dead\# Dick's Picks #\36 - 1972-09-21 [The Spectrum, Philadelphia, PA]\202 Truckin'.flac</t>
  </si>
  <si>
    <t>Z:\Grateful Dead\# Dick's Picks #\36 - 1972-09-21 [The Spectrum, Philadelphia, PA]\204 Black Peter.flac</t>
  </si>
  <si>
    <t>Z:\Grateful Dead\# Dick's Picks #\36 - 1972-09-21 [The Spectrum, Philadelphia, PA]\204 Mexicali Blues.flac</t>
  </si>
  <si>
    <t>Z:\Grateful Dead\# Dick's Picks #\36 - 1972-09-21 [The Spectrum, Philadelphia, PA]\211 Not Fade Away.flac</t>
  </si>
  <si>
    <t>Z:\Grateful Dead\# Dick's Picks #\36 - 1972-09-21 [The Spectrum, Philadelphia, PA]\212 Going Down The Road Feelin' Bad.flac</t>
  </si>
  <si>
    <t>Going Down The Road Feelin' Bad</t>
  </si>
  <si>
    <t>Z:\Grateful Dead\# Dick's Picks #\36 - 1972-09-21 [The Spectrum, Philadelphia, PA]\213 Not Fade Away.flac</t>
  </si>
  <si>
    <t>Z:\Grateful Dead\# Dick's Picks #\36 - 1972-09-21 [The Spectrum, Philadelphia, PA]\214 One More Saturday Night.flac</t>
  </si>
  <si>
    <t>Z:\Grateful Dead\# Dick's Picks #\36 - 1972-09-21 [The Spectrum, Philadelphia, PA]\997 He's Gone (filler 9-3-72 Folsom Field, Boulder, CO).flac</t>
  </si>
  <si>
    <t>He's Gone (filler 9-3-72 Folsom Field, Boulder, CO)</t>
  </si>
  <si>
    <t>Z:\Grateful Dead\# Dick's Picks #\36 - 1972-09-21 [The Spectrum, Philadelphia, PA]\998 The Other One (filler 9-3-72 Folsom Field, Boulder, CO).flac</t>
  </si>
  <si>
    <t>The Other One (filler 9-3-72 Folsom Field, Boulder, CO)</t>
  </si>
  <si>
    <t>Z:\Grateful Dead\# Dick's Picks #\36 - 1972-09-21 [The Spectrum, Philadelphia, PA]\999 Wharf Rat (filler 9-3-72 Folsom Field, Boulder, CO).flac</t>
  </si>
  <si>
    <t>Wharf Rat (filler 9-3-72 Folsom Field, Boulder, CO)</t>
  </si>
  <si>
    <t>Z:\Grateful Dead\# Dave's Picks #\01 - 1977-05-25 [The Mosque, Richmond, VA]\101 Mississippi Half-Step Uptown Toodeloo.flac</t>
  </si>
  <si>
    <t>Z:\Grateful Dead\# Dave's Picks #\01 - 1977-05-25 [The Mosque, Richmond, VA]\102 Jack Straw.flac</t>
  </si>
  <si>
    <t>Z:\Grateful Dead\# Dave's Picks #\01 - 1977-05-25 [The Mosque, Richmond, VA]\103 They Love Each Other.flac</t>
  </si>
  <si>
    <t>Z:\Grateful Dead\# Dave's Picks #\01 - 1977-05-25 [The Mosque, Richmond, VA]\104 Mexicali Blues.flac</t>
  </si>
  <si>
    <t>Z:\Grateful Dead\# Dave's Picks #\01 - 1977-05-25 [The Mosque, Richmond, VA]\105 Peggy-O.flac</t>
  </si>
  <si>
    <t>Z:\Grateful Dead\# Dave's Picks #\01 - 1977-05-25 [The Mosque, Richmond, VA]\106 Cassidy.flac</t>
  </si>
  <si>
    <t>Z:\Grateful Dead\# Dave's Picks #\01 - 1977-05-25 [The Mosque, Richmond, VA]\107 Loser.flac</t>
  </si>
  <si>
    <t>Z:\Grateful Dead\# Dave's Picks #\01 - 1977-05-25 [The Mosque, Richmond, VA]\108 Lazy Lightning ].flac</t>
  </si>
  <si>
    <t>Lazy Lightning ]</t>
  </si>
  <si>
    <t>Z:\Grateful Dead\# Dave's Picks #\01 - 1977-05-25 [The Mosque, Richmond, VA]\109 Supplication.flac</t>
  </si>
  <si>
    <t>Z:\Grateful Dead\# Dave's Picks #\01 - 1977-05-25 [The Mosque, Richmond, VA]\110 Brown-Eyed Women.flac</t>
  </si>
  <si>
    <t>Z:\Grateful Dead\# Dave's Picks #\01 - 1977-05-25 [The Mosque, Richmond, VA]\111 Promised Land.flac</t>
  </si>
  <si>
    <t>Z:\Grateful Dead\# Dave's Picks #\01 - 1977-05-25 [The Mosque, Richmond, VA]\201 Scarlet Begonias ].flac</t>
  </si>
  <si>
    <t>Scarlet Begonias ]</t>
  </si>
  <si>
    <t>Z:\Grateful Dead\# Dave's Picks #\01 - 1977-05-25 [The Mosque, Richmond, VA]\202 Fire on the Mountain.flac</t>
  </si>
  <si>
    <t>Z:\Grateful Dead\# Dave's Picks #\01 - 1977-05-25 [The Mosque, Richmond, VA]\203 Estimated Prophet ].flac</t>
  </si>
  <si>
    <t>Estimated Prophet ]</t>
  </si>
  <si>
    <t>Z:\Grateful Dead\# Dave's Picks #\01 - 1977-05-25 [The Mosque, Richmond, VA]\204 He's Gone ].flac</t>
  </si>
  <si>
    <t>He's Gone ]</t>
  </si>
  <si>
    <t>Z:\Grateful Dead\# Dave's Picks #\01 - 1977-05-25 [The Mosque, Richmond, VA]\205 Drums.flac</t>
  </si>
  <si>
    <t>Z:\Grateful Dead\# Dave's Picks #\01 - 1977-05-25 [The Mosque, Richmond, VA]\206 The Other One ].flac</t>
  </si>
  <si>
    <t>The Other One ]</t>
  </si>
  <si>
    <t>Z:\Grateful Dead\# Dave's Picks #\01 - 1977-05-25 [The Mosque, Richmond, VA]\207 Wharf Rat ].flac</t>
  </si>
  <si>
    <t>Wharf Rat ]</t>
  </si>
  <si>
    <t>Z:\Grateful Dead\# Dave's Picks #\01 - 1977-05-25 [The Mosque, Richmond, VA]\208 The Other One ].flac</t>
  </si>
  <si>
    <t>Z:\Grateful Dead\# Dave's Picks #\01 - 1977-05-25 [The Mosque, Richmond, VA]\209 The Wheel ].flac</t>
  </si>
  <si>
    <t>The Wheel ]</t>
  </si>
  <si>
    <t>Z:\Grateful Dead\# Dave's Picks #\01 - 1977-05-25 [The Mosque, Richmond, VA]\210 Around and Around.flac</t>
  </si>
  <si>
    <t>Z:\Grateful Dead\# Dave's Picks #\01 - 1977-05-25 [The Mosque, Richmond, VA]\211 Johnny B. Goode.flac</t>
  </si>
  <si>
    <t>Z:\Grateful Dead\# Dave's Picks #\02 - 1974-07-31 [Dillon Stadium, Hartford, CT]\101 Scarlet Begonias.flac</t>
  </si>
  <si>
    <t>Z:\Grateful Dead\# Dave's Picks #\02 - 1974-07-31 [Dillon Stadium, Hartford, CT]\102 Me and My Uncle.flac</t>
  </si>
  <si>
    <t>Z:\Grateful Dead\# Dave's Picks #\02 - 1974-07-31 [Dillon Stadium, Hartford, CT]\103 Brown-Eyed Women.flac</t>
  </si>
  <si>
    <t>Z:\Grateful Dead\# Dave's Picks #\02 - 1974-07-31 [Dillon Stadium, Hartford, CT]\104 Beat It On Down The Line.flac</t>
  </si>
  <si>
    <t>Z:\Grateful Dead\# Dave's Picks #\02 - 1974-07-31 [Dillon Stadium, Hartford, CT]\105 Mississippi Half-Step Uptown Toodeloo.flac</t>
  </si>
  <si>
    <t>Z:\Grateful Dead\# Dave's Picks #\02 - 1974-07-31 [Dillon Stadium, Hartford, CT]\106 It Must Have Been The Roses.flac</t>
  </si>
  <si>
    <t>Z:\Grateful Dead\# Dave's Picks #\02 - 1974-07-31 [Dillon Stadium, Hartford, CT]\107 Mexicalli Blues.flac</t>
  </si>
  <si>
    <t>Mexicalli Blues</t>
  </si>
  <si>
    <t>Z:\Grateful Dead\# Dave's Picks #\02 - 1974-07-31 [Dillon Stadium, Hartford, CT]\108 Row Jimmy.flac</t>
  </si>
  <si>
    <t>Z:\Grateful Dead\# Dave's Picks #\02 - 1974-07-31 [Dillon Stadium, Hartford, CT]\109 Jack Straw.flac</t>
  </si>
  <si>
    <t>Z:\Grateful Dead\# Dave's Picks #\02 - 1974-07-31 [Dillon Stadium, Hartford, CT]\110 China Cat Sunflower.flac</t>
  </si>
  <si>
    <t>Z:\Grateful Dead\# Dave's Picks #\02 - 1974-07-31 [Dillon Stadium, Hartford, CT]\111 I Know You Rider.flac</t>
  </si>
  <si>
    <t>Z:\Grateful Dead\# Dave's Picks #\02 - 1974-07-31 [Dillon Stadium, Hartford, CT]\112 Around and Around.flac</t>
  </si>
  <si>
    <t>Z:\Grateful Dead\# Dave's Picks #\02 - 1974-07-31 [Dillon Stadium, Hartford, CT]\201 Bertha.flac</t>
  </si>
  <si>
    <t>Z:\Grateful Dead\# Dave's Picks #\02 - 1974-07-31 [Dillon Stadium, Hartford, CT]\202 Big River.flac</t>
  </si>
  <si>
    <t>Z:\Grateful Dead\# Dave's Picks #\02 - 1974-07-31 [Dillon Stadium, Hartford, CT]\203 Eyes Of The World].flac</t>
  </si>
  <si>
    <t>Eyes Of The World]</t>
  </si>
  <si>
    <t>Z:\Grateful Dead\# Dave's Picks #\02 - 1974-07-31 [Dillon Stadium, Hartford, CT]\204 China Doll.flac</t>
  </si>
  <si>
    <t>Z:\Grateful Dead\# Dave's Picks #\02 - 1974-07-31 [Dillon Stadium, Hartford, CT]\205 Promised Land.flac</t>
  </si>
  <si>
    <t>Z:\Grateful Dead\# Dave's Picks #\02 - 1974-07-31 [Dillon Stadium, Hartford, CT]\206 Ship Of Fools.flac</t>
  </si>
  <si>
    <t>Z:\Grateful Dead\# Dave's Picks #\02 - 1974-07-31 [Dillon Stadium, Hartford, CT]\207 Weather Report Suite.flac</t>
  </si>
  <si>
    <t>Z:\Grateful Dead\# Dave's Picks #\02 - 1974-07-31 [Dillon Stadium, Hartford, CT]\208 El Paso.flac</t>
  </si>
  <si>
    <t>Z:\Grateful Dead\# Dave's Picks #\02 - 1974-07-31 [Dillon Stadium, Hartford, CT]\209 Ramble On Rose.flac</t>
  </si>
  <si>
    <t>Z:\Grateful Dead\# Dave's Picks #\02 - 1974-07-31 [Dillon Stadium, Hartford, CT]\210 Greatest Story Ever Told.flac</t>
  </si>
  <si>
    <t>Z:\Grateful Dead\# Dave's Picks #\02 - 1974-07-31 [Dillon Stadium, Hartford, CT]\301 To Lay Me Down.flac</t>
  </si>
  <si>
    <t>Z:\Grateful Dead\# Dave's Picks #\02 - 1974-07-31 [Dillon Stadium, Hartford, CT]\302 Truckin'].flac</t>
  </si>
  <si>
    <t>Truckin']</t>
  </si>
  <si>
    <t>Z:\Grateful Dead\# Dave's Picks #\02 - 1974-07-31 [Dillon Stadium, Hartford, CT]\303 Mind Left Body Jam].flac</t>
  </si>
  <si>
    <t>Mind Left Body Jam]</t>
  </si>
  <si>
    <t>Z:\Grateful Dead\# Dave's Picks #\02 - 1974-07-31 [Dillon Stadium, Hartford, CT]\304 Spanish Jam].flac</t>
  </si>
  <si>
    <t>Spanish Jam]</t>
  </si>
  <si>
    <t>Z:\Grateful Dead\# Dave's Picks #\02 - 1974-07-31 [Dillon Stadium, Hartford, CT]\305 Wharf Rat.flac</t>
  </si>
  <si>
    <t>Z:\Grateful Dead\# Dave's Picks #\02 - 1974-07-31 [Dillon Stadium, Hartford, CT]\306 U.S. Blues.flac</t>
  </si>
  <si>
    <t>Z:\Grateful Dead\# Dave's Picks #\02 - 1974-07-31 [Dillon Stadium, Hartford, CT]\307 One More Saturday Night.flac</t>
  </si>
  <si>
    <t>Z:\Grateful Dead\# Dave's Picks #\02 - 1974-07-31 [Dillon Stadium, Hartford, CT]\308 Uncle John's Band.flac</t>
  </si>
  <si>
    <t>Z:\Grateful Dead\# Dave's Picks #\03 - 1971-10-21 [Auditorium Theatre, Chicago, IL] % filler\01 Truckin'.flac</t>
  </si>
  <si>
    <t>Z:\Grateful Dead\# Dave's Picks #\03 - 1971-10-21 [Auditorium Theatre, Chicago, IL] % filler\02 Big Railroad Blues.flac</t>
  </si>
  <si>
    <t>Z:\Grateful Dead\# Dave's Picks #\03 - 1971-10-21 [Auditorium Theatre, Chicago, IL] % filler\03 The Frozen Logger.flac</t>
  </si>
  <si>
    <t>The Frozen Logger</t>
  </si>
  <si>
    <t>Z:\Grateful Dead\# Dave's Picks #\03 - 1971-10-21 [Auditorium Theatre, Chicago, IL] % filler\04 Dark Star.flac</t>
  </si>
  <si>
    <t>Z:\Grateful Dead\# Dave's Picks #\03 - 1971-10-21 [Auditorium Theatre, Chicago, IL] % filler\05 Sitting On Top of the World.flac</t>
  </si>
  <si>
    <t>Sitting On Top of the World</t>
  </si>
  <si>
    <t>Z:\Grateful Dead\# Dave's Picks #\03 - 1971-10-21 [Auditorium Theatre, Chicago, IL] % filler\06 Dark Star.flac</t>
  </si>
  <si>
    <t>Z:\Grateful Dead\# Dave's Picks #\03 - 1971-10-21 [Auditorium Theatre, Chicago, IL] % filler\07 Me and Bobby McGee.flac</t>
  </si>
  <si>
    <t>Me and Bobby McGee</t>
  </si>
  <si>
    <t>Z:\Grateful Dead\# Dave's Picks #\03 - 1971-10-21 [Auditorium Theatre, Chicago, IL] % filler\08 Brown-Eyed Women.flac</t>
  </si>
  <si>
    <t>Z:\Grateful Dead\# Dave's Picks #\03 - 1971-10-21 [Auditorium Theatre, Chicago, IL] % filler\09 St. Stephen.flac</t>
  </si>
  <si>
    <t>Z:\Grateful Dead\# Dave's Picks #\03 - 1971-10-21 [Auditorium Theatre, Chicago, IL] % filler\10 Johnny B. Goode.flac</t>
  </si>
  <si>
    <t>Z:\Grateful Dead\# Dave's Picks #\03 - 1971-10-22 [Auditorium Theatre, Chicago, IL]\101 Bertha.flac</t>
  </si>
  <si>
    <t>Z:\Grateful Dead\# Dave's Picks #\03 - 1971-10-22 [Auditorium Theatre, Chicago, IL]\102 Me and My Uncle.flac</t>
  </si>
  <si>
    <t>Z:\Grateful Dead\# Dave's Picks #\03 - 1971-10-22 [Auditorium Theatre, Chicago, IL]\103 Tennessee Jed.flac</t>
  </si>
  <si>
    <t>Z:\Grateful Dead\# Dave's Picks #\03 - 1971-10-22 [Auditorium Theatre, Chicago, IL]\104 Jack Straw.flac</t>
  </si>
  <si>
    <t>Z:\Grateful Dead\# Dave's Picks #\03 - 1971-10-22 [Auditorium Theatre, Chicago, IL]\105 Loser.flac</t>
  </si>
  <si>
    <t>Z:\Grateful Dead\# Dave's Picks #\03 - 1971-10-22 [Auditorium Theatre, Chicago, IL]\106 Playing in the Band.flac</t>
  </si>
  <si>
    <t>Z:\Grateful Dead\# Dave's Picks #\03 - 1971-10-22 [Auditorium Theatre, Chicago, IL]\107 Sugaree.flac</t>
  </si>
  <si>
    <t>Z:\Grateful Dead\# Dave's Picks #\03 - 1971-10-22 [Auditorium Theatre, Chicago, IL]\108 Beat It On Down the Line.flac</t>
  </si>
  <si>
    <t>Z:\Grateful Dead\# Dave's Picks #\03 - 1971-10-22 [Auditorium Theatre, Chicago, IL]\109 Black Peter.flac</t>
  </si>
  <si>
    <t>Z:\Grateful Dead\# Dave's Picks #\03 - 1971-10-22 [Auditorium Theatre, Chicago, IL]\110 Mexicali Blues.flac</t>
  </si>
  <si>
    <t>Z:\Grateful Dead\# Dave's Picks #\03 - 1971-10-22 [Auditorium Theatre, Chicago, IL]\111 Cold Rain &amp; Snow.flac</t>
  </si>
  <si>
    <t>Z:\Grateful Dead\# Dave's Picks #\03 - 1971-10-22 [Auditorium Theatre, Chicago, IL]\112 Me and Bobby McGee.flac</t>
  </si>
  <si>
    <t>Z:\Grateful Dead\# Dave's Picks #\03 - 1971-10-22 [Auditorium Theatre, Chicago, IL]\113 Comes a Time.flac</t>
  </si>
  <si>
    <t>Z:\Grateful Dead\# Dave's Picks #\03 - 1971-10-22 [Auditorium Theatre, Chicago, IL]\114 One More Saturday Night.flac</t>
  </si>
  <si>
    <t>Z:\Grateful Dead\# Dave's Picks #\03 - 1971-10-22 [Auditorium Theatre, Chicago, IL]\201 Ramble On Rose.flac</t>
  </si>
  <si>
    <t>Z:\Grateful Dead\# Dave's Picks #\03 - 1971-10-22 [Auditorium Theatre, Chicago, IL]\202 Cumberland Blues.flac</t>
  </si>
  <si>
    <t>Z:\Grateful Dead\# Dave's Picks #\03 - 1971-10-22 [Auditorium Theatre, Chicago, IL]\203 That's It for the Other One.flac</t>
  </si>
  <si>
    <t>Z:\Grateful Dead\# Dave's Picks #\03 - 1971-10-22 [Auditorium Theatre, Chicago, IL]\204 Deal.flac</t>
  </si>
  <si>
    <t>Z:\Grateful Dead\# Dave's Picks #\03 - 1971-10-22 [Auditorium Theatre, Chicago, IL]\205 Sugar Magnolia.flac</t>
  </si>
  <si>
    <t>Z:\Grateful Dead\# Dave's Picks #\03 - 1971-10-22 [Auditorium Theatre, Chicago, IL]\206 Casey Jones.flac</t>
  </si>
  <si>
    <t>Z:\Grateful Dead\# Dave's Picks #\03 - 1971-10-22 [Auditorium Theatre, Chicago, IL]\207 Johnny B. Goode.flac</t>
  </si>
  <si>
    <t>Z:\Grateful Dead\# Dave's Picks #\04 - 1976-09-24 [College Of William &amp; Mary, Williamsburg, VA]\101 promised land.flac</t>
  </si>
  <si>
    <t>Z:\Grateful Dead\# Dave's Picks #\04 - 1976-09-24 [College Of William &amp; Mary, Williamsburg, VA]\102 deal.flac</t>
  </si>
  <si>
    <t>Z:\Grateful Dead\# Dave's Picks #\04 - 1976-09-24 [College Of William &amp; Mary, Williamsburg, VA]\103 cassidy.flac</t>
  </si>
  <si>
    <t>Z:\Grateful Dead\# Dave's Picks #\04 - 1976-09-24 [College Of William &amp; Mary, Williamsburg, VA]\104 sugaree.flac</t>
  </si>
  <si>
    <t>Z:\Grateful Dead\# Dave's Picks #\04 - 1976-09-24 [College Of William &amp; Mary, Williamsburg, VA]\105 looks like rain.flac</t>
  </si>
  <si>
    <t>Z:\Grateful Dead\# Dave's Picks #\04 - 1976-09-24 [College Of William &amp; Mary, Williamsburg, VA]\106 row jimmy row.flac</t>
  </si>
  <si>
    <t>Row Jimmy Row</t>
  </si>
  <si>
    <t>Z:\Grateful Dead\# Dave's Picks #\04 - 1976-09-24 [College Of William &amp; Mary, Williamsburg, VA]\107 big river.flac</t>
  </si>
  <si>
    <t>Z:\Grateful Dead\# Dave's Picks #\04 - 1976-09-24 [College Of William &amp; Mary, Williamsburg, VA]\108 tennessee jed.flac</t>
  </si>
  <si>
    <t>Z:\Grateful Dead\# Dave's Picks #\04 - 1976-09-24 [College Of William &amp; Mary, Williamsburg, VA]\109 playing in the band.flac</t>
  </si>
  <si>
    <t>Z:\Grateful Dead\# Dave's Picks #\04 - 1976-09-24 [College Of William &amp; Mary, Williamsburg, VA]\110 supplication.flac</t>
  </si>
  <si>
    <t>Z:\Grateful Dead\# Dave's Picks #\04 - 1976-09-24 [College Of William &amp; Mary, Williamsburg, VA]\111 playing in the band.flac</t>
  </si>
  <si>
    <t>Z:\Grateful Dead\# Dave's Picks #\04 - 1976-09-24 [College Of William &amp; Mary, Williamsburg, VA]\201 might as well.flac</t>
  </si>
  <si>
    <t>Z:\Grateful Dead\# Dave's Picks #\04 - 1976-09-24 [College Of William &amp; Mary, Williamsburg, VA]\202 samson &amp; delilah.flac</t>
  </si>
  <si>
    <t>Z:\Grateful Dead\# Dave's Picks #\04 - 1976-09-24 [College Of William &amp; Mary, Williamsburg, VA]\203 loser.flac</t>
  </si>
  <si>
    <t>Z:\Grateful Dead\# Dave's Picks #\04 - 1976-09-24 [College Of William &amp; Mary, Williamsburg, VA]\204 new minglewood blues.flac</t>
  </si>
  <si>
    <t>Z:\Grateful Dead\# Dave's Picks #\04 - 1976-09-24 [College Of William &amp; Mary, Williamsburg, VA]\205 help on the way.flac</t>
  </si>
  <si>
    <t>Help On The Way</t>
  </si>
  <si>
    <t>Z:\Grateful Dead\# Dave's Picks #\04 - 1976-09-24 [College Of William &amp; Mary, Williamsburg, VA]\206 slipknot!.flac</t>
  </si>
  <si>
    <t>Z:\Grateful Dead\# Dave's Picks #\04 - 1976-09-24 [College Of William &amp; Mary, Williamsburg, VA]\207 drums.flac</t>
  </si>
  <si>
    <t>Z:\Grateful Dead\# Dave's Picks #\04 - 1976-09-24 [College Of William &amp; Mary, Williamsburg, VA]\208 slipknot!.flac</t>
  </si>
  <si>
    <t>Z:\Grateful Dead\# Dave's Picks #\04 - 1976-09-24 [College Of William &amp; Mary, Williamsburg, VA]\209 franklin's tower.flac</t>
  </si>
  <si>
    <t>Z:\Grateful Dead\# Dave's Picks #\04 - 1976-09-24 [College Of William &amp; Mary, Williamsburg, VA]\210 the music never stopped.flac</t>
  </si>
  <si>
    <t>Z:\Grateful Dead\# Dave's Picks #\04 - 1976-09-24 [College Of William &amp; Mary, Williamsburg, VA]\211 stella blue.flac</t>
  </si>
  <si>
    <t>Z:\Grateful Dead\# Dave's Picks #\04 - 1976-09-24 [College Of William &amp; Mary, Williamsburg, VA]\212 around &amp; around.flac</t>
  </si>
  <si>
    <t>Around &amp; Around</t>
  </si>
  <si>
    <t>Z:\Grateful Dead\# Dave's Picks #\04 - 1976-09-24 [College Of William &amp; Mary, Williamsburg, VA]\213 US Blues.flac</t>
  </si>
  <si>
    <t>US Blues</t>
  </si>
  <si>
    <t>Z:\Grateful Dead\# Dave's Picks #\05 - 1973-11-17 [Pauley Pavilion, UCLA, LA]\101 Me And My Uncle.flac</t>
  </si>
  <si>
    <t>Z:\Grateful Dead\# Dave's Picks #\05 - 1973-11-17 [Pauley Pavilion, UCLA, LA]\102 Here Comes Sunshine.flac</t>
  </si>
  <si>
    <t>Z:\Grateful Dead\# Dave's Picks #\05 - 1973-11-17 [Pauley Pavilion, UCLA, LA]\103 Looks Like Rain.flac</t>
  </si>
  <si>
    <t>Z:\Grateful Dead\# Dave's Picks #\05 - 1973-11-17 [Pauley Pavilion, UCLA, LA]\104 Deal.flac</t>
  </si>
  <si>
    <t>Z:\Grateful Dead\# Dave's Picks #\05 - 1973-11-17 [Pauley Pavilion, UCLA, LA]\105 Mexicali Blues.flac</t>
  </si>
  <si>
    <t>Z:\Grateful Dead\# Dave's Picks #\05 - 1973-11-17 [Pauley Pavilion, UCLA, LA]\106 Tennessee Jed.flac</t>
  </si>
  <si>
    <t>Z:\Grateful Dead\# Dave's Picks #\05 - 1973-11-17 [Pauley Pavilion, UCLA, LA]\107 The Race Is On.flac</t>
  </si>
  <si>
    <t>The Race Is On</t>
  </si>
  <si>
    <t>Z:\Grateful Dead\# Dave's Picks #\05 - 1973-11-17 [Pauley Pavilion, UCLA, LA]\108 China Cat Sunflower ].flac</t>
  </si>
  <si>
    <t>China Cat Sunflower ]</t>
  </si>
  <si>
    <t>Z:\Grateful Dead\# Dave's Picks #\05 - 1973-11-17 [Pauley Pavilion, UCLA, LA]\109 I Know You Rider.flac</t>
  </si>
  <si>
    <t>Z:\Grateful Dead\# Dave's Picks #\05 - 1973-11-17 [Pauley Pavilion, UCLA, LA]\110 Big River.flac</t>
  </si>
  <si>
    <t>Z:\Grateful Dead\# Dave's Picks #\05 - 1973-11-17 [Pauley Pavilion, UCLA, LA]\111 Brown-Eyed Women.flac</t>
  </si>
  <si>
    <t>Z:\Grateful Dead\# Dave's Picks #\05 - 1973-11-17 [Pauley Pavilion, UCLA, LA]\112 Around And Around.flac</t>
  </si>
  <si>
    <t>Z:\Grateful Dead\# Dave's Picks #\05 - 1973-11-17 [Pauley Pavilion, UCLA, LA]\201 Row Jimmy.flac</t>
  </si>
  <si>
    <t>Z:\Grateful Dead\# Dave's Picks #\05 - 1973-11-17 [Pauley Pavilion, UCLA, LA]\202 Jack Straw.flac</t>
  </si>
  <si>
    <t>Z:\Grateful Dead\# Dave's Picks #\05 - 1973-11-17 [Pauley Pavilion, UCLA, LA]\203 Ramble On Rose.flac</t>
  </si>
  <si>
    <t>Z:\Grateful Dead\# Dave's Picks #\05 - 1973-11-17 [Pauley Pavilion, UCLA, LA]\204 Playing In The Band ].flac</t>
  </si>
  <si>
    <t>Playing In The Band ]</t>
  </si>
  <si>
    <t>Z:\Grateful Dead\# Dave's Picks #\05 - 1973-11-17 [Pauley Pavilion, UCLA, LA]\205 Uncle John's Band ].flac</t>
  </si>
  <si>
    <t>Uncle John's Band ]</t>
  </si>
  <si>
    <t>Z:\Grateful Dead\# Dave's Picks #\05 - 1973-11-17 [Pauley Pavilion, UCLA, LA]\206 Morning Dew ].flac</t>
  </si>
  <si>
    <t>Morning Dew ]</t>
  </si>
  <si>
    <t>Z:\Grateful Dead\# Dave's Picks #\05 - 1973-11-17 [Pauley Pavilion, UCLA, LA]\207 Uncle John's Band ].flac</t>
  </si>
  <si>
    <t>Z:\Grateful Dead\# Dave's Picks #\05 - 1973-11-17 [Pauley Pavilion, UCLA, LA]\208 Playing In The Band.flac</t>
  </si>
  <si>
    <t>Z:\Grateful Dead\# Dave's Picks #\05 - 1973-11-17 [Pauley Pavilion, UCLA, LA]\209 Stella Blue.flac</t>
  </si>
  <si>
    <t>Z:\Grateful Dead\# Dave's Picks #\05 - 1973-11-17 [Pauley Pavilion, UCLA, LA]\210 El Paso.flac</t>
  </si>
  <si>
    <t>Z:\Grateful Dead\# Dave's Picks #\05 - 1973-11-17 [Pauley Pavilion, UCLA, LA]\211 Eyes Of The World ].flac</t>
  </si>
  <si>
    <t>Eyes Of The World ]</t>
  </si>
  <si>
    <t>Z:\Grateful Dead\# Dave's Picks #\05 - 1973-11-17 [Pauley Pavilion, UCLA, LA]\212 Sugar Magnolia.flac</t>
  </si>
  <si>
    <t>Z:\Grateful Dead\# Dave's Picks #\05 - 1973-11-17 [Pauley Pavilion, UCLA, LA]\213 Casey Jones.flac</t>
  </si>
  <si>
    <t>Z:\Grateful Dead\# Dave's Picks #\06 - 1969-12-20 [Fillmore Auditorium, San Francisco, CA]\01 Mason's Children.flac</t>
  </si>
  <si>
    <t>Z:\Grateful Dead\# Dave's Picks #\06 - 1969-12-20 [Fillmore Auditorium, San Francisco, CA]\02 China Cat Sunflower.flac</t>
  </si>
  <si>
    <t>Z:\Grateful Dead\# Dave's Picks #\06 - 1969-12-20 [Fillmore Auditorium, San Francisco, CA]\03 I Know You Rider.flac</t>
  </si>
  <si>
    <t>Z:\Grateful Dead\# Dave's Picks #\06 - 1969-12-20 [Fillmore Auditorium, San Francisco, CA]\04 High Time.flac</t>
  </si>
  <si>
    <t>Z:\Grateful Dead\# Dave's Picks #\06 - 1969-12-20 [Fillmore Auditorium, San Francisco, CA]\05 Me &amp; My Uncle.flac</t>
  </si>
  <si>
    <t>Z:\Grateful Dead\# Dave's Picks #\06 - 1969-12-20 [Fillmore Auditorium, San Francisco, CA]\06 Hard To Handle.flac</t>
  </si>
  <si>
    <t>Z:\Grateful Dead\# Dave's Picks #\06 - 1969-12-20 [Fillmore Auditorium, San Francisco, CA]\07 Cumberland Blues.flac</t>
  </si>
  <si>
    <t>Z:\Grateful Dead\# Dave's Picks #\06 - 1969-12-20 [Fillmore Auditorium, San Francisco, CA]\08 Dark Star.flac</t>
  </si>
  <si>
    <t>Z:\Grateful Dead\# Dave's Picks #\06 - 1969-12-20 [Fillmore Auditorium, San Francisco, CA]\09 St. Stephen.flac</t>
  </si>
  <si>
    <t>Z:\Grateful Dead\# Dave's Picks #\06 - 1969-12-20 [Fillmore Auditorium, San Francisco, CA]\10 The Eleven.flac</t>
  </si>
  <si>
    <t>Z:\Grateful Dead\# Dave's Picks #\06 - 1969-12-20 [Fillmore Auditorium, San Francisco, CA]\11 New Speedway Boogie.flac</t>
  </si>
  <si>
    <t>New Speedway Boogie</t>
  </si>
  <si>
    <t>Z:\Grateful Dead\# Dave's Picks #\06 - 1969-12-20 [Fillmore Auditorium, San Francisco, CA]\12 Turn On Your Lovelight.flac</t>
  </si>
  <si>
    <t>Z:\Grateful Dead\# Dave's Picks #\06 - 1970-02-02 [Fox Theater, St. Louis, MO]\01 Casey Jones.flac</t>
  </si>
  <si>
    <t>Z:\Grateful Dead\# Dave's Picks #\06 - 1970-02-02 [Fox Theater, St. Louis, MO]\02 Mama Tried.flac</t>
  </si>
  <si>
    <t>Z:\Grateful Dead\# Dave's Picks #\06 - 1970-02-02 [Fox Theater, St. Louis, MO]\03 Hard To Handle.flac</t>
  </si>
  <si>
    <t>Z:\Grateful Dead\# Dave's Picks #\06 - 1970-02-02 [Fox Theater, St. Louis, MO]\04 Cold Rain &amp; Snow.flac</t>
  </si>
  <si>
    <t>Z:\Grateful Dead\# Dave's Picks #\06 - 1970-02-02 [Fox Theater, St. Louis, MO]\05 Black Peter.flac</t>
  </si>
  <si>
    <t>Z:\Grateful Dead\# Dave's Picks #\06 - 1970-02-02 [Fox Theater, St. Louis, MO]\06 Cumberland Blues.flac</t>
  </si>
  <si>
    <t>Z:\Grateful Dead\# Dave's Picks #\06 - 1970-02-02 [Fox Theater, St. Louis, MO]\07 Dark Star.flac</t>
  </si>
  <si>
    <t>Z:\Grateful Dead\# Dave's Picks #\06 - 1970-02-02 [Fox Theater, St. Louis, MO]\08 St. Stephen.flac</t>
  </si>
  <si>
    <t>Z:\Grateful Dead\# Dave's Picks #\06 - 1970-02-02 [Fox Theater, St. Louis, MO]\09 Mason's Children.flac</t>
  </si>
  <si>
    <t>Z:\Grateful Dead\# Dave's Picks #\06 - 1970-02-02 [Fox Theater, St. Louis, MO]\10 Good Lovin'.flac</t>
  </si>
  <si>
    <t>Z:\Grateful Dead\# Dave's Picks #\06 - 1970-02-02 [Fox Theater, St. Louis, MO]\11 Uncle John's Band.flac</t>
  </si>
  <si>
    <t>Z:\Grateful Dead\# Dave's Picks #\06 - 1970-02-02 [Fox Theater, St. Louis, MO]\12 Turn On Your Lovelight.flac</t>
  </si>
  <si>
    <t>Z:\Grateful Dead\# Dave's Picks #\06 - 1970-02-02 [Fox Theater, St. Louis, MO]\13 Not Fade Away.flac</t>
  </si>
  <si>
    <t>Z:\Grateful Dead\# Dave's Picks #\06 - 1970-02-02 [Fox Theater, St. Louis, MO]\14 Turn On Your Lovelight.flac</t>
  </si>
  <si>
    <t>Z:\Grateful Dead\# Dave's Picks #\06 - 1970-02-02 [Fox Theater, St. Louis, MO]\15 And We Bid You Goodnight.flac</t>
  </si>
  <si>
    <t>And We Bid You Goodnight</t>
  </si>
  <si>
    <t>Z:\Grateful Dead\# Dave's Picks #\07 - 1978-04-24 [Horton Field House - Illinois State University, Normal, IL]\101 Promised Land.flac</t>
  </si>
  <si>
    <t>Z:\Grateful Dead\# Dave's Picks #\07 - 1978-04-24 [Horton Field House - Illinois State University, Normal, IL]\102 Ramble on Rose.flac</t>
  </si>
  <si>
    <t>Z:\Grateful Dead\# Dave's Picks #\07 - 1978-04-24 [Horton Field House - Illinois State University, Normal, IL]\103 Me and My Uncle ».flac</t>
  </si>
  <si>
    <t>Me and My Uncle »</t>
  </si>
  <si>
    <t>Z:\Grateful Dead\# Dave's Picks #\07 - 1978-04-24 [Horton Field House - Illinois State University, Normal, IL]\104 Big River.flac</t>
  </si>
  <si>
    <t>Z:\Grateful Dead\# Dave's Picks #\07 - 1978-04-24 [Horton Field House - Illinois State University, Normal, IL]\105 Friend of the Devil.flac</t>
  </si>
  <si>
    <t>Z:\Grateful Dead\# Dave's Picks #\07 - 1978-04-24 [Horton Field House - Illinois State University, Normal, IL]\106 Cassidy.flac</t>
  </si>
  <si>
    <t>Z:\Grateful Dead\# Dave's Picks #\07 - 1978-04-24 [Horton Field House - Illinois State University, Normal, IL]\107 Brown-Eyed Women.flac</t>
  </si>
  <si>
    <t>Z:\Grateful Dead\# Dave's Picks #\07 - 1978-04-24 [Horton Field House - Illinois State University, Normal, IL]\108 Passenger.flac</t>
  </si>
  <si>
    <t>Z:\Grateful Dead\# Dave's Picks #\07 - 1978-04-24 [Horton Field House - Illinois State University, Normal, IL]\109 It Must Have Been the Roses.flac</t>
  </si>
  <si>
    <t>It Must Have Been the Roses</t>
  </si>
  <si>
    <t>Z:\Grateful Dead\# Dave's Picks #\07 - 1978-04-24 [Horton Field House - Illinois State University, Normal, IL]\110 The Music Never Stopped.flac</t>
  </si>
  <si>
    <t>Z:\Grateful Dead\# Dave's Picks #\07 - 1978-04-24 [Horton Field House - Illinois State University, Normal, IL]\201 Scarlet Begonias.flac</t>
  </si>
  <si>
    <t>Z:\Grateful Dead\# Dave's Picks #\07 - 1978-04-24 [Horton Field House - Illinois State University, Normal, IL]\202 Fire On The Mountain.flac</t>
  </si>
  <si>
    <t>Z:\Grateful Dead\# Dave's Picks #\07 - 1978-04-24 [Horton Field House - Illinois State University, Normal, IL]\203 Good Lovin'.flac</t>
  </si>
  <si>
    <t>Z:\Grateful Dead\# Dave's Picks #\07 - 1978-04-24 [Horton Field House - Illinois State University, Normal, IL]\204 Terrapin Station.flac</t>
  </si>
  <si>
    <t>Z:\Grateful Dead\# Dave's Picks #\07 - 1978-04-24 [Horton Field House - Illinois State University, Normal, IL]\205 Rhythm Devils.flac</t>
  </si>
  <si>
    <t>Z:\Grateful Dead\# Dave's Picks #\07 - 1978-04-24 [Horton Field House - Illinois State University, Normal, IL]\206 Space.flac</t>
  </si>
  <si>
    <t>Z:\Grateful Dead\# Dave's Picks #\07 - 1978-04-24 [Horton Field House - Illinois State University, Normal, IL]\207 Not Fade Away.flac</t>
  </si>
  <si>
    <t>Z:\Grateful Dead\# Dave's Picks #\07 - 1978-04-24 [Horton Field House - Illinois State University, Normal, IL]\208 Black Peter.flac</t>
  </si>
  <si>
    <t>Z:\Grateful Dead\# Dave's Picks #\07 - 1978-04-24 [Horton Field House - Illinois State University, Normal, IL]\209 Around And Around.flac</t>
  </si>
  <si>
    <t>Z:\Grateful Dead\# Dave's Picks #\07 - 1978-04-24 [Horton Field House - Illinois State University, Normal, IL]\210 Werewolves Of London.flac</t>
  </si>
  <si>
    <t>Z:\Grateful Dead\# Dave's Picks #\08 - 1980-11-30 [Fox Theatre, Atlanta, GA]\101 Feel Like A Stranger.flac</t>
  </si>
  <si>
    <t>Z:\Grateful Dead\# Dave's Picks #\08 - 1980-11-30 [Fox Theatre, Atlanta, GA]\102 Loser.flac</t>
  </si>
  <si>
    <t>Z:\Grateful Dead\# Dave's Picks #\08 - 1980-11-30 [Fox Theatre, Atlanta, GA]\103 Cassidy.flac</t>
  </si>
  <si>
    <t>Z:\Grateful Dead\# Dave's Picks #\08 - 1980-11-30 [Fox Theatre, Atlanta, GA]\104 Ramble On Rose.flac</t>
  </si>
  <si>
    <t>Z:\Grateful Dead\# Dave's Picks #\08 - 1980-11-30 [Fox Theatre, Atlanta, GA]\105 Little Red Rooster.flac</t>
  </si>
  <si>
    <t>Z:\Grateful Dead\# Dave's Picks #\08 - 1980-11-30 [Fox Theatre, Atlanta, GA]\106 Bird Song.flac</t>
  </si>
  <si>
    <t>Z:\Grateful Dead\# Dave's Picks #\08 - 1980-11-30 [Fox Theatre, Atlanta, GA]\107 Me And My Uncle.flac</t>
  </si>
  <si>
    <t>Z:\Grateful Dead\# Dave's Picks #\08 - 1980-11-30 [Fox Theatre, Atlanta, GA]\108 Big River.flac</t>
  </si>
  <si>
    <t>Z:\Grateful Dead\# Dave's Picks #\08 - 1980-11-30 [Fox Theatre, Atlanta, GA]\109 It Must Have Been The Roses.flac</t>
  </si>
  <si>
    <t>Z:\Grateful Dead\# Dave's Picks #\08 - 1980-11-30 [Fox Theatre, Atlanta, GA]\110 Lost Sailor.flac</t>
  </si>
  <si>
    <t>Z:\Grateful Dead\# Dave's Picks #\08 - 1980-11-30 [Fox Theatre, Atlanta, GA]\111 Saint Of Circumstance.flac</t>
  </si>
  <si>
    <t>Saint Of Circumstance</t>
  </si>
  <si>
    <t>Z:\Grateful Dead\# Dave's Picks #\08 - 1980-11-30 [Fox Theatre, Atlanta, GA]\112 Deal.flac</t>
  </si>
  <si>
    <t>Z:\Grateful Dead\# Dave's Picks #\08 - 1980-11-30 [Fox Theatre, Atlanta, GA]\201 Scarlet Begonias.flac</t>
  </si>
  <si>
    <t>Z:\Grateful Dead\# Dave's Picks #\08 - 1980-11-30 [Fox Theatre, Atlanta, GA]\202 Fire On The Mountain.flac</t>
  </si>
  <si>
    <t>Z:\Grateful Dead\# Dave's Picks #\08 - 1980-11-30 [Fox Theatre, Atlanta, GA]\203 Samson And Delilah.flac</t>
  </si>
  <si>
    <t>Z:\Grateful Dead\# Dave's Picks #\08 - 1980-11-30 [Fox Theatre, Atlanta, GA]\204 Ship Of Fools.flac</t>
  </si>
  <si>
    <t>Z:\Grateful Dead\# Dave's Picks #\08 - 1980-11-30 [Fox Theatre, Atlanta, GA]\205 Playing In The Band.flac</t>
  </si>
  <si>
    <t>Z:\Grateful Dead\# Dave's Picks #\08 - 1980-11-30 [Fox Theatre, Atlanta, GA]\206 Drums.flac</t>
  </si>
  <si>
    <t>Z:\Grateful Dead\# Dave's Picks #\08 - 1980-11-30 [Fox Theatre, Atlanta, GA]\207 Space.flac</t>
  </si>
  <si>
    <t>Z:\Grateful Dead\# Dave's Picks #\08 - 1980-11-30 [Fox Theatre, Atlanta, GA]\208 The Wheel.flac</t>
  </si>
  <si>
    <t>Z:\Grateful Dead\# Dave's Picks #\08 - 1980-11-30 [Fox Theatre, Atlanta, GA]\209 China Doll.flac</t>
  </si>
  <si>
    <t>Z:\Grateful Dead\# Dave's Picks #\08 - 1980-11-30 [Fox Theatre, Atlanta, GA]\210 Around And Around.flac</t>
  </si>
  <si>
    <t>Z:\Grateful Dead\# Dave's Picks #\08 - 1980-11-30 [Fox Theatre, Atlanta, GA]\211 Johnny B. Goode.flac</t>
  </si>
  <si>
    <t>Z:\Grateful Dead\# Dave's Picks #\08 - 1980-11-30 [Fox Theatre, Atlanta, GA]\212 Uncle John's Band.flac</t>
  </si>
  <si>
    <t>Z:\Grateful Dead\# Dave's Picks #\10 - 1969-12-12 [Thelma Theater, Los Angeles, CA]\101 Cold Rain and Snow.flac</t>
  </si>
  <si>
    <t>Z:\Grateful Dead\# Dave's Picks #\10 - 1969-12-12 [Thelma Theater, Los Angeles, CA]\102 Me and My Uncle.flac</t>
  </si>
  <si>
    <t>Z:\Grateful Dead\# Dave's Picks #\10 - 1969-12-12 [Thelma Theater, Los Angeles, CA]\103 Easy Wind.flac</t>
  </si>
  <si>
    <t>Z:\Grateful Dead\# Dave's Picks #\10 - 1969-12-12 [Thelma Theater, Los Angeles, CA]\104 Cumberland Blues.flac</t>
  </si>
  <si>
    <t>Z:\Grateful Dead\# Dave's Picks #\10 - 1969-12-12 [Thelma Theater, Los Angeles, CA]\105 Black Peter.flac</t>
  </si>
  <si>
    <t>Z:\Grateful Dead\# Dave's Picks #\10 - 1969-12-12 [Thelma Theater, Los Angeles, CA]\106 Next Time You See Me.flac</t>
  </si>
  <si>
    <t>Z:\Grateful Dead\# Dave's Picks #\10 - 1969-12-12 [Thelma Theater, Los Angeles, CA]\107 China Cat Sunflower.flac</t>
  </si>
  <si>
    <t>Z:\Grateful Dead\# Dave's Picks #\10 - 1969-12-12 [Thelma Theater, Los Angeles, CA]\108 I Know You Rider.flac</t>
  </si>
  <si>
    <t>Z:\Grateful Dead\# Dave's Picks #\10 - 1969-12-12 [Thelma Theater, Los Angeles, CA]\109 Turn on Your Lovelight.flac</t>
  </si>
  <si>
    <t>Turn on Your Lovelight</t>
  </si>
  <si>
    <t>Z:\Grateful Dead\# Dave's Picks #\10 - 1969-12-12 [Thelma Theater, Los Angeles, CA]\201 Hard to Handle.flac</t>
  </si>
  <si>
    <t>Hard to Handle</t>
  </si>
  <si>
    <t>Z:\Grateful Dead\# Dave's Picks #\10 - 1969-12-12 [Thelma Theater, Los Angeles, CA]\202 Casey Jones.flac</t>
  </si>
  <si>
    <t>Z:\Grateful Dead\# Dave's Picks #\10 - 1969-12-12 [Thelma Theater, Los Angeles, CA]\203 Mama Tried.flac</t>
  </si>
  <si>
    <t>Z:\Grateful Dead\# Dave's Picks #\10 - 1969-12-12 [Thelma Theater, Los Angeles, CA]\204 High Time.flac</t>
  </si>
  <si>
    <t>Z:\Grateful Dead\# Dave's Picks #\10 - 1969-12-12 [Thelma Theater, Los Angeles, CA]\205 Dire Wolf.flac</t>
  </si>
  <si>
    <t>Z:\Grateful Dead\# Dave's Picks #\10 - 1969-12-12 [Thelma Theater, Los Angeles, CA]\206 Good Lovin'.flac</t>
  </si>
  <si>
    <t>Z:\Grateful Dead\# Dave's Picks #\10 - 1969-12-12 [Thelma Theater, Los Angeles, CA]\207 I'm a King Bee.flac</t>
  </si>
  <si>
    <t>I'm a King Bee</t>
  </si>
  <si>
    <t>Z:\Grateful Dead\# Dave's Picks #\10 - 1969-12-12 [Thelma Theater, Los Angeles, CA]\208 Uncle John's Band.flac</t>
  </si>
  <si>
    <t>Z:\Grateful Dead\# Dave's Picks #\10 - 1969-12-12 [Thelma Theater, Los Angeles, CA]\209 He Was a Friend of Mine.flac</t>
  </si>
  <si>
    <t>He Was a Friend of Mine</t>
  </si>
  <si>
    <t>Z:\Grateful Dead\# Dave's Picks #\10 - 1969-12-12 [Thelma Theater, Los Angeles, CA]\210 Alligator.flac</t>
  </si>
  <si>
    <t>Z:\Grateful Dead\# Dave's Picks #\10 - 1969-12-12 [Thelma Theater, Los Angeles, CA]\211 Drums.flac</t>
  </si>
  <si>
    <t>Z:\Grateful Dead\# Dave's Picks #\10 - 1969-12-12 [Thelma Theater, Los Angeles, CA]\212 Alligator.flac</t>
  </si>
  <si>
    <t>Z:\Grateful Dead\# Dave's Picks #\10 - 1969-12-12 [Thelma Theater, Los Angeles, CA]\213 Caution (Do Not Stop on Tracks).flac</t>
  </si>
  <si>
    <t>Z:\Grateful Dead\# Dave's Picks #\10 - 1969-12-12 [Thelma Theater, Los Angeles, CA]\214 Feedback.flac</t>
  </si>
  <si>
    <t>Z:\Grateful Dead\# Dave's Picks #\10 - 1969-12-12 [Thelma Theater, Los Angeles, CA]\215 And We Bid You Goodnight.flac</t>
  </si>
  <si>
    <t>Z:\Grateful Dead\# Dave's Picks #\11 - 1972-11-15 [Oklahoma Music Hall, Oklahoma City, OK] % filler\1 Playing In The Band.flac</t>
  </si>
  <si>
    <t>Z:\Grateful Dead\# Dave's Picks #\11 - 1972-11-15 [Oklahoma Music Hall, Oklahoma City, OK] % filler\2 Wharf Rat.flac</t>
  </si>
  <si>
    <t>Z:\Grateful Dead\# Dave's Picks #\11 - 1972-11-15 [Oklahoma Music Hall, Oklahoma City, OK] % filler\3 Not Fade Away.flac</t>
  </si>
  <si>
    <t>Z:\Grateful Dead\# Dave's Picks #\11 - 1972-11-15 [Oklahoma Music Hall, Oklahoma City, OK] % filler\4 Goin' Down The Road Feeling Bad.flac</t>
  </si>
  <si>
    <t>Z:\Grateful Dead\# Dave's Picks #\11 - 1972-11-15 [Oklahoma Music Hall, Oklahoma City, OK] % filler\5 Not Fade Away.flac</t>
  </si>
  <si>
    <t>Z:\Grateful Dead\# Dave's Picks #\11 - 1972-11-17 [Century II Convention Hall, Wichita, KS]\101 Promised Land.flac</t>
  </si>
  <si>
    <t>Z:\Grateful Dead\# Dave's Picks #\11 - 1972-11-17 [Century II Convention Hall, Wichita, KS]\102 Sugaree.flac</t>
  </si>
  <si>
    <t>Z:\Grateful Dead\# Dave's Picks #\11 - 1972-11-17 [Century II Convention Hall, Wichita, KS]\103 Me And My Uncle.flac</t>
  </si>
  <si>
    <t>Z:\Grateful Dead\# Dave's Picks #\11 - 1972-11-17 [Century II Convention Hall, Wichita, KS]\104 Tennessee Jed.flac</t>
  </si>
  <si>
    <t>Z:\Grateful Dead\# Dave's Picks #\11 - 1972-11-17 [Century II Convention Hall, Wichita, KS]\105 Black-Throated Wind.flac</t>
  </si>
  <si>
    <t>Z:\Grateful Dead\# Dave's Picks #\11 - 1972-11-17 [Century II Convention Hall, Wichita, KS]\106 Bird Song.flac</t>
  </si>
  <si>
    <t>Z:\Grateful Dead\# Dave's Picks #\11 - 1972-11-17 [Century II Convention Hall, Wichita, KS]\107 Jack Straw.flac</t>
  </si>
  <si>
    <t>Z:\Grateful Dead\# Dave's Picks #\11 - 1972-11-17 [Century II Convention Hall, Wichita, KS]\108 Box Of Rain.flac</t>
  </si>
  <si>
    <t>Z:\Grateful Dead\# Dave's Picks #\11 - 1972-11-17 [Century II Convention Hall, Wichita, KS]\109 Don't Ease Me In.flac</t>
  </si>
  <si>
    <t>Z:\Grateful Dead\# Dave's Picks #\11 - 1972-11-17 [Century II Convention Hall, Wichita, KS]\110 Beat It On Down The Line.flac</t>
  </si>
  <si>
    <t>Z:\Grateful Dead\# Dave's Picks #\11 - 1972-11-17 [Century II Convention Hall, Wichita, KS]\111 Brown-Eyed Women.flac</t>
  </si>
  <si>
    <t>Z:\Grateful Dead\# Dave's Picks #\11 - 1972-11-17 [Century II Convention Hall, Wichita, KS]\112 Big River.flac</t>
  </si>
  <si>
    <t>Z:\Grateful Dead\# Dave's Picks #\11 - 1972-11-17 [Century II Convention Hall, Wichita, KS]\113 China Cat Sunflower.flac</t>
  </si>
  <si>
    <t>Z:\Grateful Dead\# Dave's Picks #\11 - 1972-11-17 [Century II Convention Hall, Wichita, KS]\114 I Know You Rider.flac</t>
  </si>
  <si>
    <t>Z:\Grateful Dead\# Dave's Picks #\11 - 1972-11-17 [Century II Convention Hall, Wichita, KS]\115 Around And Around.flac</t>
  </si>
  <si>
    <t>Z:\Grateful Dead\# Dave's Picks #\11 - 1972-11-17 [Century II Convention Hall, Wichita, KS]\116 Casey Jones.flac</t>
  </si>
  <si>
    <t>Z:\Grateful Dead\# Dave's Picks #\11 - 1972-11-17 [Century II Convention Hall, Wichita, KS]\201 Cumberland Blues.flac</t>
  </si>
  <si>
    <t>Z:\Grateful Dead\# Dave's Picks #\11 - 1972-11-17 [Century II Convention Hall, Wichita, KS]\202 El Paso.flac</t>
  </si>
  <si>
    <t>Z:\Grateful Dead\# Dave's Picks #\11 - 1972-11-17 [Century II Convention Hall, Wichita, KS]\203 He's Gone.flac</t>
  </si>
  <si>
    <t>Z:\Grateful Dead\# Dave's Picks #\11 - 1972-11-17 [Century II Convention Hall, Wichita, KS]\204 Truckin'.flac</t>
  </si>
  <si>
    <t>Z:\Grateful Dead\# Dave's Picks #\11 - 1972-11-17 [Century II Convention Hall, Wichita, KS]\205 The Other One.flac</t>
  </si>
  <si>
    <t>Z:\Grateful Dead\# Dave's Picks #\11 - 1972-11-17 [Century II Convention Hall, Wichita, KS]\206 Brokedown Palace.flac</t>
  </si>
  <si>
    <t>Z:\Grateful Dead\# Dave's Picks #\11 - 1972-11-17 [Century II Convention Hall, Wichita, KS]\207 Sugar Magnolia.flac</t>
  </si>
  <si>
    <t>Z:\Grateful Dead\# Dave's Picks #\11 - 1972-11-17 [Century II Convention Hall, Wichita, KS]\208 Uncle John's Band.flac</t>
  </si>
  <si>
    <t>Z:\Grateful Dead\# Dave's Picks #\11 - 1972-11-17 [Century II Convention Hall, Wichita, KS]\209 Johnny B. Goode.flac</t>
  </si>
  <si>
    <t>Z:\Grateful Dead\# Dave's Picks #\12 - 1977-11-03 [Field House - Seneca College,Toronto, ON] %\101 Promised Land.flac</t>
  </si>
  <si>
    <t>Z:\Grateful Dead\# Dave's Picks #\12 - 1977-11-03 [Field House - Seneca College,Toronto, ON] %\102 They Love Each Other.flac</t>
  </si>
  <si>
    <t>Z:\Grateful Dead\# Dave's Picks #\12 - 1977-11-03 [Field House - Seneca College,Toronto, ON] %\103 Me And My Uncle.flac</t>
  </si>
  <si>
    <t>Z:\Grateful Dead\# Dave's Picks #\12 - 1977-11-03 [Field House - Seneca College,Toronto, ON] %\104 Big River.flac</t>
  </si>
  <si>
    <t>Z:\Grateful Dead\# Dave's Picks #\12 - 1977-11-03 [Field House - Seneca College,Toronto, ON] %\105 Candyman.flac</t>
  </si>
  <si>
    <t>Z:\Grateful Dead\# Dave's Picks #\12 - 1977-11-03 [Field House - Seneca College,Toronto, ON] %\106 Looks Like Rain.flac</t>
  </si>
  <si>
    <t>Z:\Grateful Dead\# Dave's Picks #\12 - 1977-11-03 [Field House - Seneca College,Toronto, ON] %\107 Ramble On Rose.flac</t>
  </si>
  <si>
    <t>Z:\Grateful Dead\# Dave's Picks #\12 - 1977-11-03 [Field House - Seneca College,Toronto, ON] %\108 Scarlet Begonias.flac</t>
  </si>
  <si>
    <t>Z:\Grateful Dead\# Dave's Picks #\12 - 1977-11-03 [Field House - Seneca College,Toronto, ON] %\109 Fire On The Mountain.flac</t>
  </si>
  <si>
    <t>Z:\Grateful Dead\# Dave's Picks #\12 - 1977-11-03 [Field House - Seneca College,Toronto, ON] %\110 Terrapin Station.flac</t>
  </si>
  <si>
    <t>Z:\Grateful Dead\# Dave's Picks #\12 - 1977-11-04 [Cotterell Gym - Reid Athletic Center, Colgate University, Hamilton, NY]\101 Bertha.flac</t>
  </si>
  <si>
    <t>Z:\Grateful Dead\# Dave's Picks #\12 - 1977-11-04 [Cotterell Gym - Reid Athletic Center, Colgate University, Hamilton, NY]\102 Good Lovin'.flac</t>
  </si>
  <si>
    <t>Z:\Grateful Dead\# Dave's Picks #\12 - 1977-11-04 [Cotterell Gym - Reid Athletic Center, Colgate University, Hamilton, NY]\103 Brown-Eyed Women.flac</t>
  </si>
  <si>
    <t>Z:\Grateful Dead\# Dave's Picks #\12 - 1977-11-04 [Cotterell Gym - Reid Athletic Center, Colgate University, Hamilton, NY]\104 Cassidy.flac</t>
  </si>
  <si>
    <t>Z:\Grateful Dead\# Dave's Picks #\12 - 1977-11-04 [Cotterell Gym - Reid Athletic Center, Colgate University, Hamilton, NY]\105 It Must Have Been The Roses.flac</t>
  </si>
  <si>
    <t>Z:\Grateful Dead\# Dave's Picks #\12 - 1977-11-04 [Cotterell Gym - Reid Athletic Center, Colgate University, Hamilton, NY]\106 Sunrise.flac</t>
  </si>
  <si>
    <t>Z:\Grateful Dead\# Dave's Picks #\12 - 1977-11-04 [Cotterell Gym - Reid Athletic Center, Colgate University, Hamilton, NY]\107 New Minglewood Blues.flac</t>
  </si>
  <si>
    <t>Z:\Grateful Dead\# Dave's Picks #\12 - 1977-11-04 [Cotterell Gym - Reid Athletic Center, Colgate University, Hamilton, NY]\108 Dupree's Diamond Blues.flac</t>
  </si>
  <si>
    <t>Z:\Grateful Dead\# Dave's Picks #\12 - 1977-11-04 [Cotterell Gym - Reid Athletic Center, Colgate University, Hamilton, NY]\109 Let It Grow.flac</t>
  </si>
  <si>
    <t>Z:\Grateful Dead\# Dave's Picks #\12 - 1977-11-04 [Cotterell Gym - Reid Athletic Center, Colgate University, Hamilton, NY]\201 James Gang Introduction.flac</t>
  </si>
  <si>
    <t>James Gang Introduction</t>
  </si>
  <si>
    <t>Z:\Grateful Dead\# Dave's Picks #\12 - 1977-11-04 [Cotterell Gym - Reid Athletic Center, Colgate University, Hamilton, NY]\202 Samson And Delilah.flac</t>
  </si>
  <si>
    <t>Z:\Grateful Dead\# Dave's Picks #\12 - 1977-11-04 [Cotterell Gym - Reid Athletic Center, Colgate University, Hamilton, NY]\203 Cold Rain And Snow.flac</t>
  </si>
  <si>
    <t>Z:\Grateful Dead\# Dave's Picks #\12 - 1977-11-04 [Cotterell Gym - Reid Athletic Center, Colgate University, Hamilton, NY]\204 Playing In The Band.flac</t>
  </si>
  <si>
    <t>Z:\Grateful Dead\# Dave's Picks #\12 - 1977-11-04 [Cotterell Gym - Reid Athletic Center, Colgate University, Hamilton, NY]\205 Eyes Of The World.flac</t>
  </si>
  <si>
    <t>Z:\Grateful Dead\# Dave's Picks #\12 - 1977-11-04 [Cotterell Gym - Reid Athletic Center, Colgate University, Hamilton, NY]\206 Estimated Prophet.flac</t>
  </si>
  <si>
    <t>Z:\Grateful Dead\# Dave's Picks #\12 - 1977-11-04 [Cotterell Gym - Reid Athletic Center, Colgate University, Hamilton, NY]\207 The Other One.flac</t>
  </si>
  <si>
    <t>Z:\Grateful Dead\# Dave's Picks #\12 - 1977-11-04 [Cotterell Gym - Reid Athletic Center, Colgate University, Hamilton, NY]\208 Drums.flac</t>
  </si>
  <si>
    <t>Z:\Grateful Dead\# Dave's Picks #\12 - 1977-11-04 [Cotterell Gym - Reid Athletic Center, Colgate University, Hamilton, NY]\209 Iko Iko.flac</t>
  </si>
  <si>
    <t>Z:\Grateful Dead\# Dave's Picks #\12 - 1977-11-04 [Cotterell Gym - Reid Athletic Center, Colgate University, Hamilton, NY]\210 Stella Blue.flac</t>
  </si>
  <si>
    <t>Z:\Grateful Dead\# Dave's Picks #\12 - 1977-11-04 [Cotterell Gym - Reid Athletic Center, Colgate University, Hamilton, NY]\211 Playing In The Band.flac</t>
  </si>
  <si>
    <t>Z:\Grateful Dead\# Dave's Picks #\12 - 1977-11-04 [Cotterell Gym - Reid Athletic Center, Colgate University, Hamilton, NY]\212 Johnny B. Goode.flac</t>
  </si>
  <si>
    <t>Z:\Grateful Dead\# Dave's Picks #\13 - 1974-02-24 [Winterland, San Francisco, CA]\101 U.S. Blues.flac</t>
  </si>
  <si>
    <t>Z:\Grateful Dead\# Dave's Picks #\13 - 1974-02-24 [Winterland, San Francisco, CA]\102 Mexicali Blues.flac</t>
  </si>
  <si>
    <t>Z:\Grateful Dead\# Dave's Picks #\13 - 1974-02-24 [Winterland, San Francisco, CA]\103 Brown-Eyed Women.flac</t>
  </si>
  <si>
    <t>Z:\Grateful Dead\# Dave's Picks #\13 - 1974-02-24 [Winterland, San Francisco, CA]\104 Beat it on Down the Line.flac</t>
  </si>
  <si>
    <t>Beat it on Down the Line</t>
  </si>
  <si>
    <t>Z:\Grateful Dead\# Dave's Picks #\13 - 1974-02-24 [Winterland, San Francisco, CA]\105 Candyman.flac</t>
  </si>
  <si>
    <t>Z:\Grateful Dead\# Dave's Picks #\13 - 1974-02-24 [Winterland, San Francisco, CA]\106 Jack Straw.flac</t>
  </si>
  <si>
    <t>Z:\Grateful Dead\# Dave's Picks #\13 - 1974-02-24 [Winterland, San Francisco, CA]\107 China Cat Sunflower.flac</t>
  </si>
  <si>
    <t>Z:\Grateful Dead\# Dave's Picks #\13 - 1974-02-24 [Winterland, San Francisco, CA]\108 I Know You Rider.flac</t>
  </si>
  <si>
    <t>Z:\Grateful Dead\# Dave's Picks #\13 - 1974-02-24 [Winterland, San Francisco, CA]\109 El Paso.flac</t>
  </si>
  <si>
    <t>Z:\Grateful Dead\# Dave's Picks #\13 - 1974-02-24 [Winterland, San Francisco, CA]\110 Loser.flac</t>
  </si>
  <si>
    <t>Z:\Grateful Dead\# Dave's Picks #\13 - 1974-02-24 [Winterland, San Francisco, CA]\111 Playing in the Band.flac</t>
  </si>
  <si>
    <t>Z:\Grateful Dead\# Dave's Picks #\13 - 1974-02-24 [Winterland, San Francisco, CA]\201 Cumberland Blues.flac</t>
  </si>
  <si>
    <t>Z:\Grateful Dead\# Dave's Picks #\13 - 1974-02-24 [Winterland, San Francisco, CA]\202 It Must Have Been the Roses.flac</t>
  </si>
  <si>
    <t>Z:\Grateful Dead\# Dave's Picks #\13 - 1974-02-24 [Winterland, San Francisco, CA]\203 Big River.flac</t>
  </si>
  <si>
    <t>Z:\Grateful Dead\# Dave's Picks #\13 - 1974-02-24 [Winterland, San Francisco, CA]\204 Bertha.flac</t>
  </si>
  <si>
    <t>Z:\Grateful Dead\# Dave's Picks #\13 - 1974-02-24 [Winterland, San Francisco, CA]\205 Weather Report Suite.flac</t>
  </si>
  <si>
    <t>Z:\Grateful Dead\# Dave's Picks #\13 - 1974-02-24 [Winterland, San Francisco, CA]\206 Row Jimmy.flac</t>
  </si>
  <si>
    <t>Z:\Grateful Dead\# Dave's Picks #\13 - 1974-02-24 [Winterland, San Francisco, CA]\207 Ship of Fools.flac</t>
  </si>
  <si>
    <t>Z:\Grateful Dead\# Dave's Picks #\13 - 1974-02-24 [Winterland, San Francisco, CA]\208 Promised Land.flac</t>
  </si>
  <si>
    <t>Z:\Grateful Dead\# Dave's Picks #\13 - 1974-02-24 [Winterland, San Francisco, CA]\209 Dark Star.flac</t>
  </si>
  <si>
    <t>Z:\Grateful Dead\# Dave's Picks #\13 - 1974-02-24 [Winterland, San Francisco, CA]\210 Morning Dew.flac</t>
  </si>
  <si>
    <t>Z:\Grateful Dead\# Dave's Picks #\13 - 1974-02-24 [Winterland, San Francisco, CA]\211 Sugar Magnolia.flac</t>
  </si>
  <si>
    <t>Z:\Grateful Dead\# Dave's Picks #\13 - 1974-02-24 [Winterland, San Francisco, CA]\212 Not Fade Away.flac</t>
  </si>
  <si>
    <t>Z:\Grateful Dead\# Dave's Picks #\13 - 1974-02-24 [Winterland, San Francisco, CA]\213 Goin' Down the Road Feeling Bad.flac</t>
  </si>
  <si>
    <t>Z:\Grateful Dead\# Dave's Picks #\13 - 1974-02-24 [Winterland, San Francisco, CA]\214 Not Fade Away.flac</t>
  </si>
  <si>
    <t>Z:\Grateful Dead\# Dave's Picks #\13 - 1974-02-24 [Winterland, San Francisco, CA]\215 It's All Over Now, Baby Blue.flac</t>
  </si>
  <si>
    <t>It's All Over Now, Baby Blue</t>
  </si>
  <si>
    <t>Z:\Grateful Dead\# Dave's Picks #\14 - 1972-03-26 [Academy Of Music. New York, NY]\101 Greatest Story Ever Told.flac</t>
  </si>
  <si>
    <t>Z:\Grateful Dead\# Dave's Picks #\14 - 1972-03-26 [Academy Of Music. New York, NY]\102 Cold Rain And Snow.flac</t>
  </si>
  <si>
    <t>Z:\Grateful Dead\# Dave's Picks #\14 - 1972-03-26 [Academy Of Music. New York, NY]\103 Chinatown Shuffle.flac</t>
  </si>
  <si>
    <t>Z:\Grateful Dead\# Dave's Picks #\14 - 1972-03-26 [Academy Of Music. New York, NY]\104 Black-Throated Wind.flac</t>
  </si>
  <si>
    <t>Z:\Grateful Dead\# Dave's Picks #\14 - 1972-03-26 [Academy Of Music. New York, NY]\105 You Win Again.flac</t>
  </si>
  <si>
    <t>Z:\Grateful Dead\# Dave's Picks #\14 - 1972-03-26 [Academy Of Music. New York, NY]\106 Mr. Charlie.flac</t>
  </si>
  <si>
    <t>Z:\Grateful Dead\# Dave's Picks #\14 - 1972-03-26 [Academy Of Music. New York, NY]\107 Jack Straw.flac</t>
  </si>
  <si>
    <t>Z:\Grateful Dead\# Dave's Picks #\14 - 1972-03-26 [Academy Of Music. New York, NY]\108 Loser.flac</t>
  </si>
  <si>
    <t>Z:\Grateful Dead\# Dave's Picks #\14 - 1972-03-26 [Academy Of Music. New York, NY]\109 Looks Like Rain.flac</t>
  </si>
  <si>
    <t>Z:\Grateful Dead\# Dave's Picks #\14 - 1972-03-26 [Academy Of Music. New York, NY]\110 Big Railroad Blues.flac</t>
  </si>
  <si>
    <t>Z:\Grateful Dead\# Dave's Picks #\14 - 1972-03-26 [Academy Of Music. New York, NY]\111 Big Boss Man.flac</t>
  </si>
  <si>
    <t>Z:\Grateful Dead\# Dave's Picks #\14 - 1972-03-26 [Academy Of Music. New York, NY]\112 Playing In The Band.flac</t>
  </si>
  <si>
    <t>Z:\Grateful Dead\# Dave's Picks #\14 - 1972-03-26 [Academy Of Music. New York, NY]\113 El Paso.flac</t>
  </si>
  <si>
    <t>Z:\Grateful Dead\# Dave's Picks #\14 - 1972-03-26 [Academy Of Music. New York, NY]\114 Good Lovin'.flac</t>
  </si>
  <si>
    <t>Z:\Grateful Dead\# Dave's Picks #\14 - 1972-03-26 [Academy Of Music. New York, NY]\201 Truckin'.flac</t>
  </si>
  <si>
    <t>Z:\Grateful Dead\# Dave's Picks #\14 - 1972-03-26 [Academy Of Music. New York, NY]\202 Drums.flac</t>
  </si>
  <si>
    <t>Z:\Grateful Dead\# Dave's Picks #\14 - 1972-03-26 [Academy Of Music. New York, NY]\203 The Other One.flac</t>
  </si>
  <si>
    <t>Z:\Grateful Dead\# Dave's Picks #\14 - 1972-03-26 [Academy Of Music. New York, NY]\204 Me &amp; My Uncle.flac</t>
  </si>
  <si>
    <t>Z:\Grateful Dead\# Dave's Picks #\14 - 1972-03-26 [Academy Of Music. New York, NY]\205 The Other One.flac</t>
  </si>
  <si>
    <t>Z:\Grateful Dead\# Dave's Picks #\14 - 1972-03-26 [Academy Of Music. New York, NY]\206 Wharf Rat.flac</t>
  </si>
  <si>
    <t>Z:\Grateful Dead\# Dave's Picks #\14 - 1972-03-26 [Academy Of Music. New York, NY]\207 Sugar Magnolia.flac</t>
  </si>
  <si>
    <t>Z:\Grateful Dead\# Dave's Picks #\14 - 1972-03-26 [Academy Of Music. New York, NY]\208 The Stranger (Two Souls In Communion).flac</t>
  </si>
  <si>
    <t>Z:\Grateful Dead\# Dave's Picks #\14 - 1972-03-26 [Academy Of Music. New York, NY]\209 Not Fade Away.flac</t>
  </si>
  <si>
    <t>Z:\Grateful Dead\# Dave's Picks #\14 - 1972-03-26 [Academy Of Music. New York, NY]\210 Goin' Down The Road Feeling Bad.flac</t>
  </si>
  <si>
    <t>Z:\Grateful Dead\# Dave's Picks #\14 - 1972-03-26 [Academy Of Music. New York, NY]\211 Not Fade Away.flac</t>
  </si>
  <si>
    <t>Z:\Grateful Dead\# Dave's Picks #\15 - 1978-04-22 [Nashville Municipal Auditorium, Nashville, TN]\101 Bertha.flac</t>
  </si>
  <si>
    <t>Z:\Grateful Dead\# Dave's Picks #\15 - 1978-04-22 [Nashville Municipal Auditorium, Nashville, TN]\102 Good Lovin'.flac</t>
  </si>
  <si>
    <t>Z:\Grateful Dead\# Dave's Picks #\15 - 1978-04-22 [Nashville Municipal Auditorium, Nashville, TN]\103 Candyman.flac</t>
  </si>
  <si>
    <t>Z:\Grateful Dead\# Dave's Picks #\15 - 1978-04-22 [Nashville Municipal Auditorium, Nashville, TN]\104 Looks Like Rain.flac</t>
  </si>
  <si>
    <t>Z:\Grateful Dead\# Dave's Picks #\15 - 1978-04-22 [Nashville Municipal Auditorium, Nashville, TN]\105 Tennessee Jed.flac</t>
  </si>
  <si>
    <t>Z:\Grateful Dead\# Dave's Picks #\15 - 1978-04-22 [Nashville Municipal Auditorium, Nashville, TN]\106 Jack Straw.flac</t>
  </si>
  <si>
    <t>Z:\Grateful Dead\# Dave's Picks #\15 - 1978-04-22 [Nashville Municipal Auditorium, Nashville, TN]\107 Peggy-O.flac</t>
  </si>
  <si>
    <t>Z:\Grateful Dead\# Dave's Picks #\15 - 1978-04-22 [Nashville Municipal Auditorium, Nashville, TN]\108 New Minglewood Blues.flac</t>
  </si>
  <si>
    <t>Z:\Grateful Dead\# Dave's Picks #\15 - 1978-04-22 [Nashville Municipal Auditorium, Nashville, TN]\109 Deal.flac</t>
  </si>
  <si>
    <t>Z:\Grateful Dead\# Dave's Picks #\15 - 1978-04-22 [Nashville Municipal Auditorium, Nashville, TN]\201 Lazy Lightning.flac</t>
  </si>
  <si>
    <t>Z:\Grateful Dead\# Dave's Picks #\15 - 1978-04-22 [Nashville Municipal Auditorium, Nashville, TN]\202 Supplication.flac</t>
  </si>
  <si>
    <t>Z:\Grateful Dead\# Dave's Picks #\15 - 1978-04-22 [Nashville Municipal Auditorium, Nashville, TN]\203 It Must Have Been the Roses.flac</t>
  </si>
  <si>
    <t>Z:\Grateful Dead\# Dave's Picks #\15 - 1978-04-22 [Nashville Municipal Auditorium, Nashville, TN]\204 Estimated Prophet.flac</t>
  </si>
  <si>
    <t>Z:\Grateful Dead\# Dave's Picks #\15 - 1978-04-22 [Nashville Municipal Auditorium, Nashville, TN]\205 Eyes of the World.flac</t>
  </si>
  <si>
    <t>Z:\Grateful Dead\# Dave's Picks #\15 - 1978-04-22 [Nashville Municipal Auditorium, Nashville, TN]\206 Rhythm Devils.flac</t>
  </si>
  <si>
    <t>Z:\Grateful Dead\# Dave's Picks #\15 - 1978-04-22 [Nashville Municipal Auditorium, Nashville, TN]\207 Not Fade Away.flac</t>
  </si>
  <si>
    <t>Z:\Grateful Dead\# Dave's Picks #\15 - 1978-04-22 [Nashville Municipal Auditorium, Nashville, TN]\208 Wharf Rat.flac</t>
  </si>
  <si>
    <t>Z:\Grateful Dead\# Dave's Picks #\15 - 1978-04-22 [Nashville Municipal Auditorium, Nashville, TN]\209 Sugar Magnolia.flac</t>
  </si>
  <si>
    <t>Z:\Grateful Dead\# Dave's Picks #\15 - 1978-04-22 [Nashville Municipal Auditorium, Nashville, TN]\210 One More Saturday Night.flac</t>
  </si>
  <si>
    <t>Z:\Grateful Dead\# Dave's Picks #\16 - 1973-03-28 [Civic Center, Springfield, MA]\101 Cumberland Blues.flac</t>
  </si>
  <si>
    <t>Z:\Grateful Dead\# Dave's Picks #\16 - 1973-03-28 [Civic Center, Springfield, MA]\102 Here Comes Sunshine.flac</t>
  </si>
  <si>
    <t>Z:\Grateful Dead\# Dave's Picks #\16 - 1973-03-28 [Civic Center, Springfield, MA]\103 Mexicali Blues.flac</t>
  </si>
  <si>
    <t>Z:\Grateful Dead\# Dave's Picks #\16 - 1973-03-28 [Civic Center, Springfield, MA]\104 Wave That Flag.flac</t>
  </si>
  <si>
    <t>Wave That Flag</t>
  </si>
  <si>
    <t>Z:\Grateful Dead\# Dave's Picks #\16 - 1973-03-28 [Civic Center, Springfield, MA]\105 Beat It on Down the Line.flac</t>
  </si>
  <si>
    <t>Z:\Grateful Dead\# Dave's Picks #\16 - 1973-03-28 [Civic Center, Springfield, MA]\106 Loser.flac</t>
  </si>
  <si>
    <t>Z:\Grateful Dead\# Dave's Picks #\16 - 1973-03-28 [Civic Center, Springfield, MA]\107 Jack Straw.flac</t>
  </si>
  <si>
    <t>Z:\Grateful Dead\# Dave's Picks #\16 - 1973-03-28 [Civic Center, Springfield, MA]\108 Box of Rain.flac</t>
  </si>
  <si>
    <t>Box of Rain</t>
  </si>
  <si>
    <t>Z:\Grateful Dead\# Dave's Picks #\16 - 1973-03-28 [Civic Center, Springfield, MA]\109 They Love Each Other.flac</t>
  </si>
  <si>
    <t>Z:\Grateful Dead\# Dave's Picks #\16 - 1973-03-28 [Civic Center, Springfield, MA]\110 El Paso.flac</t>
  </si>
  <si>
    <t>Z:\Grateful Dead\# Dave's Picks #\16 - 1973-03-28 [Civic Center, Springfield, MA]\111 Row Jimmy.flac</t>
  </si>
  <si>
    <t>Z:\Grateful Dead\# Dave's Picks #\16 - 1973-03-28 [Civic Center, Springfield, MA]\112 Around and Around.flac</t>
  </si>
  <si>
    <t>Z:\Grateful Dead\# Dave's Picks #\16 - 1973-03-28 [Civic Center, Springfield, MA]\113 Brown-Eyed Women.flac</t>
  </si>
  <si>
    <t>Z:\Grateful Dead\# Dave's Picks #\16 - 1973-03-28 [Civic Center, Springfield, MA]\114 You Ain't Woman Enough.flac</t>
  </si>
  <si>
    <t>You Ain't Woman Enough</t>
  </si>
  <si>
    <t>Z:\Grateful Dead\# Dave's Picks #\16 - 1973-03-28 [Civic Center, Springfield, MA]\115 Looks Like Rain.flac</t>
  </si>
  <si>
    <t>Z:\Grateful Dead\# Dave's Picks #\16 - 1973-03-28 [Civic Center, Springfield, MA]\116 China Cat Sunflower.flac</t>
  </si>
  <si>
    <t>Z:\Grateful Dead\# Dave's Picks #\16 - 1973-03-28 [Civic Center, Springfield, MA]\117 I Know You Rider.flac</t>
  </si>
  <si>
    <t>Z:\Grateful Dead\# Dave's Picks #\16 - 1973-03-28 [Civic Center, Springfield, MA]\201 Promised Land.flac</t>
  </si>
  <si>
    <t>Z:\Grateful Dead\# Dave's Picks #\16 - 1973-03-28 [Civic Center, Springfield, MA]\202 Loose Lucy.flac</t>
  </si>
  <si>
    <t>Z:\Grateful Dead\# Dave's Picks #\16 - 1973-03-28 [Civic Center, Springfield, MA]\203 Me and My Uncle.flac</t>
  </si>
  <si>
    <t>Z:\Grateful Dead\# Dave's Picks #\16 - 1973-03-28 [Civic Center, Springfield, MA]\204 Don't Ease Me In.flac</t>
  </si>
  <si>
    <t>Z:\Grateful Dead\# Dave's Picks #\16 - 1973-03-28 [Civic Center, Springfield, MA]\205 The Race Is on.flac</t>
  </si>
  <si>
    <t>The Race Is on</t>
  </si>
  <si>
    <t>Z:\Grateful Dead\# Dave's Picks #\16 - 1973-03-28 [Civic Center, Springfield, MA]\206 Stella Blue.flac</t>
  </si>
  <si>
    <t>Z:\Grateful Dead\# Dave's Picks #\16 - 1973-03-28 [Civic Center, Springfield, MA]\207 Big River.flac</t>
  </si>
  <si>
    <t>Z:\Grateful Dead\# Dave's Picks #\16 - 1973-03-28 [Civic Center, Springfield, MA]\208 Mississippi Half-Step Uptown Toodeloo.flac</t>
  </si>
  <si>
    <t>Z:\Grateful Dead\# Dave's Picks #\16 - 1973-03-28 [Civic Center, Springfield, MA]\209 Weather Report Suite Prelude.flac</t>
  </si>
  <si>
    <t>Weather Report Suite Prelude</t>
  </si>
  <si>
    <t>Z:\Grateful Dead\# Dave's Picks #\16 - 1973-03-28 [Civic Center, Springfield, MA]\210 Dark Star.flac</t>
  </si>
  <si>
    <t>Z:\Grateful Dead\# Dave's Picks #\16 - 1973-03-28 [Civic Center, Springfield, MA]\211 Eyes of the World.flac</t>
  </si>
  <si>
    <t>Z:\Grateful Dead\# Dave's Picks #\16 - 1973-03-28 [Civic Center, Springfield, MA]\212 Playing In the Band.flac</t>
  </si>
  <si>
    <t>Playing In the Band</t>
  </si>
  <si>
    <t>Z:\Grateful Dead\# Dave's Picks #\16 - 1973-03-28 [Civic Center, Springfield, MA]\213 Johnny B. Goode.flac</t>
  </si>
  <si>
    <t>Z:\Grateful Dead\# Dave's Picks #\17 - 1974-07-19 [Selland Arena, Fresno, CA]\101 Bertha.flac</t>
  </si>
  <si>
    <t>Z:\Grateful Dead\# Dave's Picks #\17 - 1974-07-19 [Selland Arena, Fresno, CA]\102 Mexicali Blues.flac</t>
  </si>
  <si>
    <t>Z:\Grateful Dead\# Dave's Picks #\17 - 1974-07-19 [Selland Arena, Fresno, CA]\103 Deal.flac</t>
  </si>
  <si>
    <t>Z:\Grateful Dead\# Dave's Picks #\17 - 1974-07-19 [Selland Arena, Fresno, CA]\104 Beat It On Down The Line.flac</t>
  </si>
  <si>
    <t>Z:\Grateful Dead\# Dave's Picks #\17 - 1974-07-19 [Selland Arena, Fresno, CA]\105 Row Jimmy.flac</t>
  </si>
  <si>
    <t>Z:\Grateful Dead\# Dave's Picks #\17 - 1974-07-19 [Selland Arena, Fresno, CA]\106 Me &amp; Bobby McGee.flac</t>
  </si>
  <si>
    <t>Z:\Grateful Dead\# Dave's Picks #\17 - 1974-07-19 [Selland Arena, Fresno, CA]\107 Scarlet Begonias.flac</t>
  </si>
  <si>
    <t>Z:\Grateful Dead\# Dave's Picks #\17 - 1974-07-19 [Selland Arena, Fresno, CA]\108 El Paso.flac</t>
  </si>
  <si>
    <t>Z:\Grateful Dead\# Dave's Picks #\17 - 1974-07-19 [Selland Arena, Fresno, CA]\109 Tennessee Jed.flac</t>
  </si>
  <si>
    <t>Z:\Grateful Dead\# Dave's Picks #\17 - 1974-07-19 [Selland Arena, Fresno, CA]\110 Playing In The Band.flac</t>
  </si>
  <si>
    <t>Z:\Grateful Dead\# Dave's Picks #\17 - 1974-07-19 [Selland Arena, Fresno, CA]\201 Seastones.flac</t>
  </si>
  <si>
    <t>Z:\Grateful Dead\# Dave's Picks #\17 - 1974-07-19 [Selland Arena, Fresno, CA]\301 Brown-Eyed Women.flac</t>
  </si>
  <si>
    <t>Z:\Grateful Dead\# Dave's Picks #\17 - 1974-07-19 [Selland Arena, Fresno, CA]\302 Me &amp; My Uncle.flac</t>
  </si>
  <si>
    <t>Z:\Grateful Dead\# Dave's Picks #\17 - 1974-07-19 [Selland Arena, Fresno, CA]\303 It Must Have Been The Roses.flac</t>
  </si>
  <si>
    <t>Z:\Grateful Dead\# Dave's Picks #\17 - 1974-07-19 [Selland Arena, Fresno, CA]\304 Jack Straw.flac</t>
  </si>
  <si>
    <t>Z:\Grateful Dead\# Dave's Picks #\17 - 1974-07-19 [Selland Arena, Fresno, CA]\305 He's Gone.flac</t>
  </si>
  <si>
    <t>Z:\Grateful Dead\# Dave's Picks #\17 - 1974-07-19 [Selland Arena, Fresno, CA]\306 U.S. Blues.flac</t>
  </si>
  <si>
    <t>Z:\Grateful Dead\# Dave's Picks #\17 - 1974-07-19 [Selland Arena, Fresno, CA]\307 Weather Report Suite.flac</t>
  </si>
  <si>
    <t>Z:\Grateful Dead\# Dave's Picks #\17 - 1974-07-19 [Selland Arena, Fresno, CA]\308 Jam.flac</t>
  </si>
  <si>
    <t>Z:\Grateful Dead\# Dave's Picks #\17 - 1974-07-19 [Selland Arena, Fresno, CA]\309 Eyes Of The World.flac</t>
  </si>
  <si>
    <t>Z:\Grateful Dead\# Dave's Picks #\17 - 1974-07-19 [Selland Arena, Fresno, CA]\310 China Doll.flac</t>
  </si>
  <si>
    <t>Z:\Grateful Dead\# Dave's Picks #\17 - 1974-07-19 [Selland Arena, Fresno, CA]\311 One More Saturday Night.flac</t>
  </si>
  <si>
    <t>Z:\Grateful Dead\# Dave's Picks #\18 - 1976-07-17 [Orpheum Theatre, San Francisco, CA]\101 Promised Land.flac</t>
  </si>
  <si>
    <t>Z:\Grateful Dead\# Dave's Picks #\18 - 1976-07-17 [Orpheum Theatre, San Francisco, CA]\102 Mississippi Half-Step Uptown Toodeloo.flac</t>
  </si>
  <si>
    <t>Z:\Grateful Dead\# Dave's Picks #\18 - 1976-07-17 [Orpheum Theatre, San Francisco, CA]\103 Mama Tried.flac</t>
  </si>
  <si>
    <t>Z:\Grateful Dead\# Dave's Picks #\18 - 1976-07-17 [Orpheum Theatre, San Francisco, CA]\104 Deal.flac</t>
  </si>
  <si>
    <t>Z:\Grateful Dead\# Dave's Picks #\18 - 1976-07-17 [Orpheum Theatre, San Francisco, CA]\105 New Minglewood Blues.flac</t>
  </si>
  <si>
    <t>Z:\Grateful Dead\# Dave's Picks #\18 - 1976-07-17 [Orpheum Theatre, San Francisco, CA]\106 Peggy-O.flac</t>
  </si>
  <si>
    <t>Z:\Grateful Dead\# Dave's Picks #\18 - 1976-07-17 [Orpheum Theatre, San Francisco, CA]\107 Big River.flac</t>
  </si>
  <si>
    <t>Z:\Grateful Dead\# Dave's Picks #\18 - 1976-07-17 [Orpheum Theatre, San Francisco, CA]\108 Sugaree.flac</t>
  </si>
  <si>
    <t>Z:\Grateful Dead\# Dave's Picks #\18 - 1976-07-17 [Orpheum Theatre, San Francisco, CA]\109 Johnny B. Goode.flac</t>
  </si>
  <si>
    <t>Z:\Grateful Dead\# Dave's Picks #\18 - 1976-07-17 [Orpheum Theatre, San Francisco, CA]\201 Samson and Delilah.flac</t>
  </si>
  <si>
    <t>Z:\Grateful Dead\# Dave's Picks #\18 - 1976-07-17 [Orpheum Theatre, San Francisco, CA]\202 Comes A Time.flac</t>
  </si>
  <si>
    <t>Comes A Time</t>
  </si>
  <si>
    <t>Z:\Grateful Dead\# Dave's Picks #\18 - 1976-07-17 [Orpheum Theatre, San Francisco, CA]\203 Drums.flac</t>
  </si>
  <si>
    <t>Z:\Grateful Dead\# Dave's Picks #\18 - 1976-07-17 [Orpheum Theatre, San Francisco, CA]\204 The Other One.flac</t>
  </si>
  <si>
    <t>Z:\Grateful Dead\# Dave's Picks #\18 - 1976-07-17 [Orpheum Theatre, San Francisco, CA]\205 Space.flac</t>
  </si>
  <si>
    <t>Z:\Grateful Dead\# Dave's Picks #\18 - 1976-07-17 [Orpheum Theatre, San Francisco, CA]\206 Eyes of the World.flac</t>
  </si>
  <si>
    <t>Z:\Grateful Dead\# Dave's Picks #\18 - 1976-07-17 [Orpheum Theatre, San Francisco, CA]\207 Jam.flac</t>
  </si>
  <si>
    <t>Z:\Grateful Dead\# Dave's Picks #\18 - 1976-07-17 [Orpheum Theatre, San Francisco, CA]\208 The Other One.flac</t>
  </si>
  <si>
    <t>Z:\Grateful Dead\# Dave's Picks #\18 - 1976-07-17 [Orpheum Theatre, San Francisco, CA]\209 Goin' Down The Road Feeling Bad.flac</t>
  </si>
  <si>
    <t>Z:\Grateful Dead\# Dave's Picks #\18 - 1976-07-17 [Orpheum Theatre, San Francisco, CA]\210 One More Saturday Night.flac</t>
  </si>
  <si>
    <t>Z:\Grateful Dead\# Dave's Picks #\18 - 1976-07-17 [Orpheum Theatre, San Francisco, CA]\211 U.S. Blues.flac</t>
  </si>
  <si>
    <t>Z:\Grateful Dead\# Dave's Picks #\18 - 1976-07-17 [Orpheum Theatre, San Francisco, CA]\212 Not Fade Away.flac</t>
  </si>
  <si>
    <t>Z:\Grateful Dead\# Dave's Picks #\18 - 1976-07-17 [Orpheum Theatre, San Francisco, CA]\213 Big River.flac</t>
  </si>
  <si>
    <t>Z:\Grateful Dead\# Dave's Picks #\18 - 1976-07-17 [Orpheum Theatre, San Francisco, CA]\214 Brown-Eyed Women.flac</t>
  </si>
  <si>
    <t>Z:\Grateful Dead\# Dave's Picks #\18 - 1976-07-17 [Orpheum Theatre, San Francisco, CA]\215 Looks Like Rain.flac</t>
  </si>
  <si>
    <t>Z:\Grateful Dead\# Dave's Picks #\18 - 1976-07-17 [Orpheum Theatre, San Francisco, CA]\216 Peggy-O.flac</t>
  </si>
  <si>
    <t>Z:\Grateful Dead\# Dave's Picks #\18 - 1976-07-17 [Orpheum Theatre, San Francisco, CA]\217 The Music Never Stopped.flac</t>
  </si>
  <si>
    <t>Z:\Grateful Dead\# Dave's Picks #\18 - 1976-07-17 [Orpheum Theatre, San Francisco, CA]\218 Scarlet Begonias.flac</t>
  </si>
  <si>
    <t>Z:\Grateful Dead\# Dave's Picks #\18 - 1976-07-17 [Orpheum Theatre, San Francisco, CA]\219 U.S. Blues.flac</t>
  </si>
  <si>
    <t>Z:\Grateful Dead\# Dave's Picks #\19 - 1970-01-23 [Honolulu Civic Auditorium, Honolulu, HI]\01 - 01 China Cat Sunflower.flac</t>
  </si>
  <si>
    <t>Z:\Grateful Dead\# Dave's Picks #\19 - 1970-01-23 [Honolulu Civic Auditorium, Honolulu, HI]\01 - 02 I Know You Rider.flac</t>
  </si>
  <si>
    <t>Z:\Grateful Dead\# Dave's Picks #\19 - 1970-01-23 [Honolulu Civic Auditorium, Honolulu, HI]\01 - 03 Black Peter.flac</t>
  </si>
  <si>
    <t>Z:\Grateful Dead\# Dave's Picks #\19 - 1970-01-23 [Honolulu Civic Auditorium, Honolulu, HI]\01 - 04 The Yellow Dog Story.flac</t>
  </si>
  <si>
    <t>The Yellow Dog Story</t>
  </si>
  <si>
    <t>Z:\Grateful Dead\# Dave's Picks #\19 - 1970-01-23 [Honolulu Civic Auditorium, Honolulu, HI]\01 - 05 Hard To Handle.flac</t>
  </si>
  <si>
    <t>Z:\Grateful Dead\# Dave's Picks #\19 - 1970-01-23 [Honolulu Civic Auditorium, Honolulu, HI]\01 - 06 Mama Tried.flac</t>
  </si>
  <si>
    <t>Z:\Grateful Dead\# Dave's Picks #\19 - 1970-01-23 [Honolulu Civic Auditorium, Honolulu, HI]\01 - 07 Casey Jones.flac</t>
  </si>
  <si>
    <t>Z:\Grateful Dead\# Dave's Picks #\19 - 1970-01-23 [Honolulu Civic Auditorium, Honolulu, HI]\01 - 08 Dire Wolf.flac</t>
  </si>
  <si>
    <t>Z:\Grateful Dead\# Dave's Picks #\19 - 1970-01-23 [Honolulu Civic Auditorium, Honolulu, HI]\01 - 09 Good Lovin'.flac</t>
  </si>
  <si>
    <t>Z:\Grateful Dead\# Dave's Picks #\19 - 1970-01-23 [Honolulu Civic Auditorium, Honolulu, HI]\01 - 10 The Other One.flac</t>
  </si>
  <si>
    <t>Z:\Grateful Dead\# Dave's Picks #\19 - 1970-01-23 [Honolulu Civic Auditorium, Honolulu, HI]\02 - 01 Dark Star.flac</t>
  </si>
  <si>
    <t>Z:\Grateful Dead\# Dave's Picks #\19 - 1970-01-23 [Honolulu Civic Auditorium, Honolulu, HI]\02 - 02 St. Stephen.flac</t>
  </si>
  <si>
    <t>Z:\Grateful Dead\# Dave's Picks #\19 - 1970-01-23 [Honolulu Civic Auditorium, Honolulu, HI]\02 - 03 Turn on yor Lovelight.flac</t>
  </si>
  <si>
    <t>Turn on yor Lovelight</t>
  </si>
  <si>
    <t>Z:\Grateful Dead\# Dave's Picks #\19 - 1970-01-23 [Honolulu Civic Auditorium, Honolulu, HI]\03 - 01 Cumberland Blues.flac</t>
  </si>
  <si>
    <t>Z:\Grateful Dead\# Dave's Picks #\19 - 1970-01-23 [Honolulu Civic Auditorium, Honolulu, HI]\03 - 02 Cold Rain and Snow.flac</t>
  </si>
  <si>
    <t>Z:\Grateful Dead\# Dave's Picks #\19 - 1970-01-23 [Honolulu Civic Auditorium, Honolulu, HI]\03 - 03 Me and My Uncle.flac</t>
  </si>
  <si>
    <t>Z:\Grateful Dead\# Dave's Picks #\19 - 1970-01-23 [Honolulu Civic Auditorium, Honolulu, HI]\03 - 04 I'm A King Bee.flac</t>
  </si>
  <si>
    <t>I'm A King Bee</t>
  </si>
  <si>
    <t>Z:\Grateful Dead\# Dave's Picks #\19 - 1970-01-23 [Honolulu Civic Auditorium, Honolulu, HI]\03 - 05 Mason's Children.flac</t>
  </si>
  <si>
    <t>Z:\Grateful Dead\# Dave's Picks #\19 - 1970-01-23 [Honolulu Civic Auditorium, Honolulu, HI]\03 - 06 Black Peter.flac</t>
  </si>
  <si>
    <t>Z:\Grateful Dead\# Dave's Picks #\19 - 1970-01-23 [Honolulu Civic Auditorium, Honolulu, HI]\03 - 07 Good Lovin'.flac</t>
  </si>
  <si>
    <t>Z:\Grateful Dead\# Dave's Picks #\19 - 1970-01-23 [Honolulu Civic Auditorium, Honolulu, HI]\03 - 08 Feedback.flac</t>
  </si>
  <si>
    <t>Z:\Grateful Dead\# Dave's Picks #\19 - 1970-01-23 [Honolulu Civic Auditorium, Honolulu, HI]\03 - 09 And We Bid You Goodnight.flac</t>
  </si>
  <si>
    <t>Z:\Grateful Dead\# Dave's Picks #\19 - 1970-01-23 [Honolulu Civic Auditorium, Honolulu, HI]\03 - 10 Dancing In The Street.flac</t>
  </si>
  <si>
    <t>Dancing In The Street</t>
  </si>
  <si>
    <t>Z:\Grateful Dead\# Dave's Picks #\20 - 1981-12-09 [University Of Colorado, Boulder, CO]\101 Cold Rain and Snow.flac</t>
  </si>
  <si>
    <t>Z:\Grateful Dead\# Dave's Picks #\20 - 1981-12-09 [University Of Colorado, Boulder, CO]\102 Jack Straw.flac</t>
  </si>
  <si>
    <t>Z:\Grateful Dead\# Dave's Picks #\20 - 1981-12-09 [University Of Colorado, Boulder, CO]\103 Friend Of The Devil.flac</t>
  </si>
  <si>
    <t>Z:\Grateful Dead\# Dave's Picks #\20 - 1981-12-09 [University Of Colorado, Boulder, CO]\104 Little Red Rooster.flac</t>
  </si>
  <si>
    <t>Z:\Grateful Dead\# Dave's Picks #\20 - 1981-12-09 [University Of Colorado, Boulder, CO]\105 Bird Song.flac</t>
  </si>
  <si>
    <t>Z:\Grateful Dead\# Dave's Picks #\20 - 1981-12-09 [University Of Colorado, Boulder, CO]\106 Mama Treid.flac</t>
  </si>
  <si>
    <t>Mama Treid</t>
  </si>
  <si>
    <t>Z:\Grateful Dead\# Dave's Picks #\20 - 1981-12-09 [University Of Colorado, Boulder, CO]\107 Mexicali Blues.flac</t>
  </si>
  <si>
    <t>Z:\Grateful Dead\# Dave's Picks #\20 - 1981-12-09 [University Of Colorado, Boulder, CO]\108 Candyman.flac</t>
  </si>
  <si>
    <t>Z:\Grateful Dead\# Dave's Picks #\20 - 1981-12-09 [University Of Colorado, Boulder, CO]\109 Cassidy.flac</t>
  </si>
  <si>
    <t>Z:\Grateful Dead\# Dave's Picks #\20 - 1981-12-09 [University Of Colorado, Boulder, CO]\110 Looks Like Rain.flac</t>
  </si>
  <si>
    <t>Z:\Grateful Dead\# Dave's Picks #\20 - 1981-12-09 [University Of Colorado, Boulder, CO]\111 China Cat Sunflower _.flac</t>
  </si>
  <si>
    <t>Z:\Grateful Dead\# Dave's Picks #\20 - 1981-12-09 [University Of Colorado, Boulder, CO]\112 I Know You Rider.flac</t>
  </si>
  <si>
    <t>Z:\Grateful Dead\# Dave's Picks #\20 - 1981-12-09 [University Of Colorado, Boulder, CO]\201 Scarlet Begonias _.flac</t>
  </si>
  <si>
    <t>Z:\Grateful Dead\# Dave's Picks #\20 - 1981-12-09 [University Of Colorado, Boulder, CO]\202 Fire On The Mountain.flac</t>
  </si>
  <si>
    <t>Z:\Grateful Dead\# Dave's Picks #\20 - 1981-12-09 [University Of Colorado, Boulder, CO]\203 Estimated Prophet _.flac</t>
  </si>
  <si>
    <t>Z:\Grateful Dead\# Dave's Picks #\20 - 1981-12-09 [University Of Colorado, Boulder, CO]\204 He's Gone _.flac</t>
  </si>
  <si>
    <t>Z:\Grateful Dead\# Dave's Picks #\20 - 1981-12-09 [University Of Colorado, Boulder, CO]\205 Drums _.flac</t>
  </si>
  <si>
    <t>Z:\Grateful Dead\# Dave's Picks #\20 - 1981-12-09 [University Of Colorado, Boulder, CO]\206 Space.flac</t>
  </si>
  <si>
    <t>Z:\Grateful Dead\# Dave's Picks #\20 - 1981-12-09 [University Of Colorado, Boulder, CO]\207 The Other One _.flac</t>
  </si>
  <si>
    <t>Z:\Grateful Dead\# Dave's Picks #\20 - 1981-12-09 [University Of Colorado, Boulder, CO]\208 Stella Blue _.flac</t>
  </si>
  <si>
    <t>Z:\Grateful Dead\# Dave's Picks #\20 - 1981-12-09 [University Of Colorado, Boulder, CO]\209 Around And Around _.flac</t>
  </si>
  <si>
    <t>Z:\Grateful Dead\# Dave's Picks #\20 - 1981-12-09 [University Of Colorado, Boulder, CO]\210 Good Lovin'.flac</t>
  </si>
  <si>
    <t>Z:\Grateful Dead\# Dave's Picks #\20 - 1981-12-09 [University Of Colorado, Boulder, CO]\211 U.S. Blues _.flac</t>
  </si>
  <si>
    <t>Z:\Grateful Dead\# Dave's Picks #\20 - 1981-12-09 [University Of Colorado, Boulder, CO]\212 (I Can't Get No) Satisfaction.flac</t>
  </si>
  <si>
    <t>(I Can't Get No) Satisfaction</t>
  </si>
  <si>
    <t>Z:\Grateful Dead\# Dave's Picks #\21 - 1973-04-02 [Boston Garden, Boston, MA]\101 Promised Land.flac</t>
  </si>
  <si>
    <t>Z:\Grateful Dead\# Dave's Picks #\21 - 1973-04-02 [Boston Garden, Boston, MA]\102 Deal.flac</t>
  </si>
  <si>
    <t>Z:\Grateful Dead\# Dave's Picks #\21 - 1973-04-02 [Boston Garden, Boston, MA]\103 Mexicali Blues.flac</t>
  </si>
  <si>
    <t>Z:\Grateful Dead\# Dave's Picks #\21 - 1973-04-02 [Boston Garden, Boston, MA]\104 Brown-Eyed Women.flac</t>
  </si>
  <si>
    <t>Z:\Grateful Dead\# Dave's Picks #\21 - 1973-04-02 [Boston Garden, Boston, MA]\105 Beat It On Down The Line.flac</t>
  </si>
  <si>
    <t>Z:\Grateful Dead\# Dave's Picks #\21 - 1973-04-02 [Boston Garden, Boston, MA]\106 Row Jimmy.flac</t>
  </si>
  <si>
    <t>Z:\Grateful Dead\# Dave's Picks #\21 - 1973-04-02 [Boston Garden, Boston, MA]\107 Looks Like Rain.flac</t>
  </si>
  <si>
    <t>Z:\Grateful Dead\# Dave's Picks #\21 - 1973-04-02 [Boston Garden, Boston, MA]\108 Wave That Flag.flac</t>
  </si>
  <si>
    <t>Z:\Grateful Dead\# Dave's Picks #\21 - 1973-04-02 [Boston Garden, Boston, MA]\109 Box Of Rain.flac</t>
  </si>
  <si>
    <t>Z:\Grateful Dead\# Dave's Picks #\21 - 1973-04-02 [Boston Garden, Boston, MA]\110 Big River.flac</t>
  </si>
  <si>
    <t>Z:\Grateful Dead\# Dave's Picks #\21 - 1973-04-02 [Boston Garden, Boston, MA]\111 China Cat Sunflower.flac</t>
  </si>
  <si>
    <t>Z:\Grateful Dead\# Dave's Picks #\21 - 1973-04-02 [Boston Garden, Boston, MA]\112 I Know You Rider.flac</t>
  </si>
  <si>
    <t>Z:\Grateful Dead\# Dave's Picks #\21 - 1973-04-02 [Boston Garden, Boston, MA]\113 You Ain't Woman Enough.flac</t>
  </si>
  <si>
    <t>Z:\Grateful Dead\# Dave's Picks #\21 - 1973-04-02 [Boston Garden, Boston, MA]\114 Jack Straw.flac</t>
  </si>
  <si>
    <t>Z:\Grateful Dead\# Dave's Picks #\21 - 1973-04-02 [Boston Garden, Boston, MA]\115 Don't Ease Me In.flac</t>
  </si>
  <si>
    <t>Z:\Grateful Dead\# Dave's Picks #\21 - 1973-04-02 [Boston Garden, Boston, MA]\116 Playing In The Band.flac</t>
  </si>
  <si>
    <t>Z:\Grateful Dead\# Dave's Picks #\21 - 1973-04-02 [Boston Garden, Boston, MA]\201 Ramble On Rose.flac</t>
  </si>
  <si>
    <t>Z:\Grateful Dead\# Dave's Picks #\21 - 1973-04-02 [Boston Garden, Boston, MA]\202 Me And My Uncle.flac</t>
  </si>
  <si>
    <t>Z:\Grateful Dead\# Dave's Picks #\21 - 1973-04-02 [Boston Garden, Boston, MA]\203 Mississippi Half-Step Uptown Toodeloo.flac</t>
  </si>
  <si>
    <t>Z:\Grateful Dead\# Dave's Picks #\21 - 1973-04-02 [Boston Garden, Boston, MA]\204 Greatest Story Ever Told.flac</t>
  </si>
  <si>
    <t>Z:\Grateful Dead\# Dave's Picks #\21 - 1973-04-02 [Boston Garden, Boston, MA]\205 Loose Lucy.flac</t>
  </si>
  <si>
    <t>Z:\Grateful Dead\# Dave's Picks #\21 - 1973-04-02 [Boston Garden, Boston, MA]\206 El Paso.flac</t>
  </si>
  <si>
    <t>Z:\Grateful Dead\# Dave's Picks #\21 - 1973-04-02 [Boston Garden, Boston, MA]\207 Stella Blue.flac</t>
  </si>
  <si>
    <t>Z:\Grateful Dead\# Dave's Picks #\21 - 1973-04-02 [Boston Garden, Boston, MA]\208 Around And Around.flac</t>
  </si>
  <si>
    <t>Z:\Grateful Dead\# Dave's Picks #\21 - 1973-04-02 [Boston Garden, Boston, MA]\209 Here Comes Sunshine.flac</t>
  </si>
  <si>
    <t>Z:\Grateful Dead\# Dave's Picks #\21 - 1973-04-02 [Boston Garden, Boston, MA]\210 Jam.flac</t>
  </si>
  <si>
    <t>Z:\Grateful Dead\# Dave's Picks #\21 - 1973-04-02 [Boston Garden, Boston, MA]\211 Me And Bobby McGee.flac</t>
  </si>
  <si>
    <t>Z:\Grateful Dead\# Dave's Picks #\21 - 1973-04-02 [Boston Garden, Boston, MA]\212 Weather Report Suite- Prelude.flac</t>
  </si>
  <si>
    <t>Weather Report Suite- Prelude</t>
  </si>
  <si>
    <t>Z:\Grateful Dead\# Dave's Picks #\21 - 1973-04-02 [Boston Garden, Boston, MA]\213 Eyes Of The World.flac</t>
  </si>
  <si>
    <t>Z:\Grateful Dead\# Dave's Picks #\21 - 1973-04-02 [Boston Garden, Boston, MA]\214 China Doll.flac</t>
  </si>
  <si>
    <t>Z:\Grateful Dead\# Dave's Picks #\21 - 1973-04-02 [Boston Garden, Boston, MA]\215 Sugar Magnolia.flac</t>
  </si>
  <si>
    <t>Z:\Grateful Dead\# Dave's Picks #\21 - 1973-04-02 [Boston Garden, Boston, MA]\216 Casey Jones.flac</t>
  </si>
  <si>
    <t>Z:\Grateful Dead\# Dave's Picks #\21 - 1973-04-02 [Boston Garden, Boston, MA]\217 Johnny B. Goode.flac</t>
  </si>
  <si>
    <t>Z:\Grateful Dead\# Dave's Picks #\21 - 1973-04-02 [Boston Garden, Boston, MA]\218 And We Bid You Goodnight.flac</t>
  </si>
  <si>
    <t>Z:\Grateful Dead\# Dave's Picks #\22 - 1971-12-06 [Felt Forum, New York, NY] %I II (2017 Bonus Disc)\101 Truckin'.flac</t>
  </si>
  <si>
    <t>Z:\Grateful Dead\# Dave's Picks #\22 - 1971-12-06 [Felt Forum, New York, NY] %I II (2017 Bonus Disc)\102 Loser.flac</t>
  </si>
  <si>
    <t>Z:\Grateful Dead\# Dave's Picks #\22 - 1971-12-06 [Felt Forum, New York, NY] %I II (2017 Bonus Disc)\103 Mr. Charlie.flac</t>
  </si>
  <si>
    <t>Z:\Grateful Dead\# Dave's Picks #\22 - 1971-12-06 [Felt Forum, New York, NY] %I II (2017 Bonus Disc)\104 Jack Straw.flac</t>
  </si>
  <si>
    <t>Z:\Grateful Dead\# Dave's Picks #\22 - 1971-12-06 [Felt Forum, New York, NY] %I II (2017 Bonus Disc)\105 China Cat Sunflower.flac</t>
  </si>
  <si>
    <t>Z:\Grateful Dead\# Dave's Picks #\22 - 1971-12-06 [Felt Forum, New York, NY] %I II (2017 Bonus Disc)\106 I Know You Rider.flac</t>
  </si>
  <si>
    <t>Z:\Grateful Dead\# Dave's Picks #\22 - 1971-12-06 [Felt Forum, New York, NY] %I II (2017 Bonus Disc)\109 Tennessee Jed.flac</t>
  </si>
  <si>
    <t>Z:\Grateful Dead\# Dave's Picks #\22 - 1971-12-06 [Felt Forum, New York, NY] %I II (2017 Bonus Disc)\110 Mexicali Blues.flac</t>
  </si>
  <si>
    <t>Z:\Grateful Dead\# Dave's Picks #\22 - 1971-12-06 [Felt Forum, New York, NY] %I II (2017 Bonus Disc)\111 Black Peter.flac</t>
  </si>
  <si>
    <t>Z:\Grateful Dead\# Dave's Picks #\22 - 1971-12-06 [Felt Forum, New York, NY] %I II (2017 Bonus Disc)\112 Casey Jones.flac</t>
  </si>
  <si>
    <t>Z:\Grateful Dead\# Dave's Picks #\22 - 1971-12-06 [Felt Forum, New York, NY] %I II (2017 Bonus Disc)\201 Big Railroad Blues.flac</t>
  </si>
  <si>
    <t>Z:\Grateful Dead\# Dave's Picks #\22 - 1971-12-06 [Felt Forum, New York, NY] %I II (2017 Bonus Disc)\202 Me &amp; My Uncle.flac</t>
  </si>
  <si>
    <t>Z:\Grateful Dead\# Dave's Picks #\22 - 1971-12-06 [Felt Forum, New York, NY] %I II (2017 Bonus Disc)\203 Ramble On Rose.flac</t>
  </si>
  <si>
    <t>Z:\Grateful Dead\# Dave's Picks #\22 - 1971-12-06 [Felt Forum, New York, NY] %I II (2017 Bonus Disc)\204 Playing In The Band.flac</t>
  </si>
  <si>
    <t>Z:\Grateful Dead\# Dave's Picks #\22 - 1971-12-06 [Felt Forum, New York, NY] %I II (2017 Bonus Disc)\205 Cryptical Envelopment.flac</t>
  </si>
  <si>
    <t>Z:\Grateful Dead\# Dave's Picks #\22 - 1971-12-06 [Felt Forum, New York, NY] %I II (2017 Bonus Disc)\206 Drums.flac</t>
  </si>
  <si>
    <t>Z:\Grateful Dead\# Dave's Picks #\22 - 1971-12-06 [Felt Forum, New York, NY] %I II (2017 Bonus Disc)\207 The Other One.flac</t>
  </si>
  <si>
    <t>Z:\Grateful Dead\# Dave's Picks #\22 - 1971-12-06 [Felt Forum, New York, NY] %I II (2017 Bonus Disc)\208 Me &amp; Bobby McGee.flac</t>
  </si>
  <si>
    <t>Me &amp; Bobby Mcgee</t>
  </si>
  <si>
    <t>Z:\Grateful Dead\# Dave's Picks #\22 - 1971-12-06 [Felt Forum, New York, NY] %I II (2017 Bonus Disc)\209 The Other One.flac</t>
  </si>
  <si>
    <t>Z:\Grateful Dead\# Dave's Picks #\22 - 1971-12-06 [Felt Forum, New York, NY] %I II (2017 Bonus Disc)\210 Wharf Rat.flac</t>
  </si>
  <si>
    <t>Z:\Grateful Dead\# Dave's Picks #\22 - 1971-12-06 [Felt Forum, New York, NY] %I II (2017 Bonus Disc)\211 One More Saturday Night.flac</t>
  </si>
  <si>
    <t>Z:\Grateful Dead\# Dave's Picks #\22 - 1971-12-06 [Felt Forum, New York, NY] %I II (2017 Bonus Disc)\212 Uncle John's Band.flac</t>
  </si>
  <si>
    <t>Z:\Grateful Dead\# Dave's Picks #\22 - 1971-12-07 [Felt Forum, New York, NY]\101 Cold Rain &amp; Snow.flac</t>
  </si>
  <si>
    <t>Z:\Grateful Dead\# Dave's Picks #\22 - 1971-12-07 [Felt Forum, New York, NY]\102 Beat It On Down The Line.flac</t>
  </si>
  <si>
    <t>Z:\Grateful Dead\# Dave's Picks #\22 - 1971-12-07 [Felt Forum, New York, NY]\103 Mr. Charlie.flac</t>
  </si>
  <si>
    <t>Z:\Grateful Dead\# Dave's Picks #\22 - 1971-12-07 [Felt Forum, New York, NY]\104 Sugaree.flac</t>
  </si>
  <si>
    <t>Z:\Grateful Dead\# Dave's Picks #\22 - 1971-12-07 [Felt Forum, New York, NY]\105 Jack Straw.flac</t>
  </si>
  <si>
    <t>Z:\Grateful Dead\# Dave's Picks #\22 - 1971-12-07 [Felt Forum, New York, NY]\106 Next Time You See Me.flac</t>
  </si>
  <si>
    <t>Z:\Grateful Dead\# Dave's Picks #\22 - 1971-12-07 [Felt Forum, New York, NY]\107 Tennessee Jed.flac</t>
  </si>
  <si>
    <t>Z:\Grateful Dead\# Dave's Picks #\22 - 1971-12-07 [Felt Forum, New York, NY]\108 El Paso.flac</t>
  </si>
  <si>
    <t>Z:\Grateful Dead\# Dave's Picks #\22 - 1971-12-07 [Felt Forum, New York, NY]\109 Brokedown Palace.flac</t>
  </si>
  <si>
    <t>Z:\Grateful Dead\# Dave's Picks #\22 - 1971-12-07 [Felt Forum, New York, NY]\110 Run Rudolph Run.flac</t>
  </si>
  <si>
    <t>Run Rudolph Run</t>
  </si>
  <si>
    <t>Z:\Grateful Dead\# Dave's Picks #\22 - 1971-12-07 [Felt Forum, New York, NY]\111 You Win Again.flac</t>
  </si>
  <si>
    <t>Z:\Grateful Dead\# Dave's Picks #\22 - 1971-12-07 [Felt Forum, New York, NY]\112 Cumberland Blues.flac</t>
  </si>
  <si>
    <t>Z:\Grateful Dead\# Dave's Picks #\22 - 1971-12-07 [Felt Forum, New York, NY]\113 Casey Jones.flac</t>
  </si>
  <si>
    <t>Z:\Grateful Dead\# Dave's Picks #\22 - 1971-12-07 [Felt Forum, New York, NY]\201 Sugar Magnolia.flac</t>
  </si>
  <si>
    <t>Z:\Grateful Dead\# Dave's Picks #\22 - 1971-12-07 [Felt Forum, New York, NY]\202 Ramble On Rose.flac</t>
  </si>
  <si>
    <t>Z:\Grateful Dead\# Dave's Picks #\22 - 1971-12-07 [Felt Forum, New York, NY]\203 Big Boss Man.flac</t>
  </si>
  <si>
    <t>Z:\Grateful Dead\# Dave's Picks #\22 - 1971-12-07 [Felt Forum, New York, NY]\204 Mexicali Blues.flac</t>
  </si>
  <si>
    <t>Z:\Grateful Dead\# Dave's Picks #\22 - 1971-12-07 [Felt Forum, New York, NY]\205 Brown-Eyed Women.flac</t>
  </si>
  <si>
    <t>Z:\Grateful Dead\# Dave's Picks #\22 - 1971-12-07 [Felt Forum, New York, NY]\206 Me &amp; My Uncle.flac</t>
  </si>
  <si>
    <t>Z:\Grateful Dead\# Dave's Picks #\22 - 1971-12-07 [Felt Forum, New York, NY]\207 Smokestack Lightning.flac</t>
  </si>
  <si>
    <t>Smokestack Lightning</t>
  </si>
  <si>
    <t>Z:\Grateful Dead\# Dave's Picks #\22 - 1971-12-07 [Felt Forum, New York, NY]\208 Deal.flac</t>
  </si>
  <si>
    <t>Z:\Grateful Dead\# Dave's Picks #\22 - 1971-12-07 [Felt Forum, New York, NY]\209 Truckin'.flac</t>
  </si>
  <si>
    <t>Z:\Grateful Dead\# Dave's Picks #\22 - 1971-12-07 [Felt Forum, New York, NY]\210 Not Fade Away.flac</t>
  </si>
  <si>
    <t>Z:\Grateful Dead\# Dave's Picks #\22 - 1971-12-07 [Felt Forum, New York, NY]\211 Goin' Down The Road Feeling Bad.flac</t>
  </si>
  <si>
    <t>Z:\Grateful Dead\# Dave's Picks #\22 - 1971-12-07 [Felt Forum, New York, NY]\212 Not Fade Away.flac</t>
  </si>
  <si>
    <t>Z:\Grateful Dead\# Dave's Picks #\22 - 1971-12-07 [Felt Forum, New York, NY]\213 One More Saturday Night.flac</t>
  </si>
  <si>
    <t>Z:\Grateful Dead\# Dave's Picks #\23 - 1978-01-22 [McArthur Court, Eugene, OR]\01 New Minglewood Blues.flac</t>
  </si>
  <si>
    <t>Z:\Grateful Dead\# Dave's Picks #\23 - 1978-01-22 [McArthur Court, Eugene, OR]\02 Dire Wolf.flac</t>
  </si>
  <si>
    <t>Z:\Grateful Dead\# Dave's Picks #\23 - 1978-01-22 [McArthur Court, Eugene, OR]\03 Cassidy.flac</t>
  </si>
  <si>
    <t>Z:\Grateful Dead\# Dave's Picks #\23 - 1978-01-22 [McArthur Court, Eugene, OR]\04 Peggy O.flac</t>
  </si>
  <si>
    <t>Peggy O</t>
  </si>
  <si>
    <t>Z:\Grateful Dead\# Dave's Picks #\23 - 1978-01-22 [McArthur Court, Eugene, OR]\05 El Paso.flac</t>
  </si>
  <si>
    <t>Z:\Grateful Dead\# Dave's Picks #\23 - 1978-01-22 [McArthur Court, Eugene, OR]\06 Tennessee Jed.flac</t>
  </si>
  <si>
    <t>Z:\Grateful Dead\# Dave's Picks #\23 - 1978-01-22 [McArthur Court, Eugene, OR]\07 Jack Straw.flac</t>
  </si>
  <si>
    <t>Z:\Grateful Dead\# Dave's Picks #\23 - 1978-01-22 [McArthur Court, Eugene, OR]\08 Row Jimmy.flac</t>
  </si>
  <si>
    <t>Z:\Grateful Dead\# Dave's Picks #\23 - 1978-01-22 [McArthur Court, Eugene, OR]\09 The Music Never Stopped.flac</t>
  </si>
  <si>
    <t>Z:\Grateful Dead\# Dave's Picks #\23 - 1978-01-22 [McArthur Court, Eugene, OR]\10 Bertha.flac</t>
  </si>
  <si>
    <t>Z:\Grateful Dead\# Dave's Picks #\23 - 1978-01-22 [McArthur Court, Eugene, OR]\11 Good Lovin'.flac</t>
  </si>
  <si>
    <t>Z:\Grateful Dead\# Dave's Picks #\23 - 1978-01-22 [McArthur Court, Eugene, OR]\12 Ship of Fools.flac</t>
  </si>
  <si>
    <t>Z:\Grateful Dead\# Dave's Picks #\23 - 1978-01-22 [McArthur Court, Eugene, OR]\13 Samson and Delilah.flac</t>
  </si>
  <si>
    <t>Z:\Grateful Dead\# Dave's Picks #\23 - 1978-01-22 [McArthur Court, Eugene, OR]\14 Terrapin Station.flac</t>
  </si>
  <si>
    <t>Terrapin Station &gt;</t>
  </si>
  <si>
    <t>Z:\Grateful Dead\# Dave's Picks #\23 - 1978-01-22 [McArthur Court, Eugene, OR]\15 Drums.flac</t>
  </si>
  <si>
    <t>Z:\Grateful Dead\# Dave's Picks #\23 - 1978-01-22 [McArthur Court, Eugene, OR]\16 The Other One.flac</t>
  </si>
  <si>
    <t>Z:\Grateful Dead\# Dave's Picks #\23 - 1978-01-22 [McArthur Court, Eugene, OR]\17 Space.flac</t>
  </si>
  <si>
    <t>Z:\Grateful Dead\# Dave's Picks #\23 - 1978-01-22 [McArthur Court, Eugene, OR]\18 St. Stephen.flac</t>
  </si>
  <si>
    <t>Z:\Grateful Dead\# Dave's Picks #\23 - 1978-01-22 [McArthur Court, Eugene, OR]\19 Not Fade Away.flac</t>
  </si>
  <si>
    <t>Z:\Grateful Dead\# Dave's Picks #\23 - 1978-01-22 [McArthur Court, Eugene, OR]\20 Around and Around.flac</t>
  </si>
  <si>
    <t>Z:\Grateful Dead\# Dave's Picks #\23 - 1978-01-22 [McArthur Court, Eugene, OR]\21 U.S. Blues.flac</t>
  </si>
  <si>
    <t>Z:\Grateful Dead\# Dave's Picks #\24 - 1972-08-25 [Berkeley Community Theatre, Berkeley, CA]\101 Cold Rain And Snow.flac</t>
  </si>
  <si>
    <t>Z:\Grateful Dead\# Dave's Picks #\24 - 1972-08-25 [Berkeley Community Theatre, Berkeley, CA]\102 Black Throated Wind.flac</t>
  </si>
  <si>
    <t>Z:\Grateful Dead\# Dave's Picks #\24 - 1972-08-25 [Berkeley Community Theatre, Berkeley, CA]\103 He's Gone.flac</t>
  </si>
  <si>
    <t>Z:\Grateful Dead\# Dave's Picks #\24 - 1972-08-25 [Berkeley Community Theatre, Berkeley, CA]\104 Beat It On Down The Line.flac</t>
  </si>
  <si>
    <t>Z:\Grateful Dead\# Dave's Picks #\24 - 1972-08-25 [Berkeley Community Theatre, Berkeley, CA]\105 Loser.flac</t>
  </si>
  <si>
    <t>Z:\Grateful Dead\# Dave's Picks #\24 - 1972-08-25 [Berkeley Community Theatre, Berkeley, CA]\106 El Paso.flac</t>
  </si>
  <si>
    <t>Z:\Grateful Dead\# Dave's Picks #\24 - 1972-08-25 [Berkeley Community Theatre, Berkeley, CA]\107 Black Peter.flac</t>
  </si>
  <si>
    <t>Z:\Grateful Dead\# Dave's Picks #\24 - 1972-08-25 [Berkeley Community Theatre, Berkeley, CA]\108 Jack Straw.flac</t>
  </si>
  <si>
    <t>Z:\Grateful Dead\# Dave's Picks #\24 - 1972-08-25 [Berkeley Community Theatre, Berkeley, CA]\109 Friend Of The Devil.flac</t>
  </si>
  <si>
    <t>Z:\Grateful Dead\# Dave's Picks #\24 - 1972-08-25 [Berkeley Community Theatre, Berkeley, CA]\110 Promised Land.flac</t>
  </si>
  <si>
    <t>Z:\Grateful Dead\# Dave's Picks #\24 - 1972-08-25 [Berkeley Community Theatre, Berkeley, CA]\111 Bird Song.flac</t>
  </si>
  <si>
    <t>Z:\Grateful Dead\# Dave's Picks #\24 - 1972-08-25 [Berkeley Community Theatre, Berkeley, CA]\112 Playing In The Band.flac</t>
  </si>
  <si>
    <t>Z:\Grateful Dead\# Dave's Picks #\24 - 1972-08-25 [Berkeley Community Theatre, Berkeley, CA]\113 Bertha.flac</t>
  </si>
  <si>
    <t>Z:\Grateful Dead\# Dave's Picks #\24 - 1972-08-25 [Berkeley Community Theatre, Berkeley, CA]\201 Truckin.flac</t>
  </si>
  <si>
    <t>Truckin</t>
  </si>
  <si>
    <t>Z:\Grateful Dead\# Dave's Picks #\24 - 1972-08-25 [Berkeley Community Theatre, Berkeley, CA]\202 The Other One.flac</t>
  </si>
  <si>
    <t>Z:\Grateful Dead\# Dave's Picks #\24 - 1972-08-25 [Berkeley Community Theatre, Berkeley, CA]\203 Stella Blue.flac</t>
  </si>
  <si>
    <t>Z:\Grateful Dead\# Dave's Picks #\24 - 1972-08-25 [Berkeley Community Theatre, Berkeley, CA]\204 One More Saturday Night.flac</t>
  </si>
  <si>
    <t>Z:\Grateful Dead\# Dave's Picks #\24 - 1972-08-25 [Berkeley Community Theatre, Berkeley, CA]\205 Sugar Magnolia.flac</t>
  </si>
  <si>
    <t>Z:\Grateful Dead\# Dave's Picks #\25 - 1977-11-06 [Broome County Veterans Memorial Arena, Binghamton, NY]\101 Mississippi Half-Step Uptown Toodleoo.flac</t>
  </si>
  <si>
    <t>Mississippi Half-Step Uptown Toodleoo</t>
  </si>
  <si>
    <t>Z:\Grateful Dead\# Dave's Picks #\25 - 1977-11-06 [Broome County Veterans Memorial Arena, Binghamton, NY]\102 Jack Straw.flac</t>
  </si>
  <si>
    <t>Z:\Grateful Dead\# Dave's Picks #\25 - 1977-11-06 [Broome County Veterans Memorial Arena, Binghamton, NY]\103 Tennessee Jed.flac</t>
  </si>
  <si>
    <t>Z:\Grateful Dead\# Dave's Picks #\25 - 1977-11-06 [Broome County Veterans Memorial Arena, Binghamton, NY]\104 Mexicali Blues_.flac</t>
  </si>
  <si>
    <t>Z:\Grateful Dead\# Dave's Picks #\25 - 1977-11-06 [Broome County Veterans Memorial Arena, Binghamton, NY]\105 Me and My Uncle.flac</t>
  </si>
  <si>
    <t>Z:\Grateful Dead\# Dave's Picks #\25 - 1977-11-06 [Broome County Veterans Memorial Arena, Binghamton, NY]\106 Friend Of The Devil.flac</t>
  </si>
  <si>
    <t>Z:\Grateful Dead\# Dave's Picks #\25 - 1977-11-06 [Broome County Veterans Memorial Arena, Binghamton, NY]\107 New Minglewood Blues.flac</t>
  </si>
  <si>
    <t>Z:\Grateful Dead\# Dave's Picks #\25 - 1977-11-06 [Broome County Veterans Memorial Arena, Binghamton, NY]\108 Dupree's Diamond Blues.flac</t>
  </si>
  <si>
    <t>Z:\Grateful Dead\# Dave's Picks #\25 - 1977-11-06 [Broome County Veterans Memorial Arena, Binghamton, NY]\109 Passenger.flac</t>
  </si>
  <si>
    <t>Z:\Grateful Dead\# Dave's Picks #\25 - 1977-11-06 [Broome County Veterans Memorial Arena, Binghamton, NY]\110 Dire Wolf.flac</t>
  </si>
  <si>
    <t>Z:\Grateful Dead\# Dave's Picks #\25 - 1977-11-06 [Broome County Veterans Memorial Arena, Binghamton, NY]\111 The Music Never Stopped.flac</t>
  </si>
  <si>
    <t>Z:\Grateful Dead\# Dave's Picks #\25 - 1977-11-06 [Broome County Veterans Memorial Arena, Binghamton, NY]\201 Samson And Delilah.flac</t>
  </si>
  <si>
    <t>Z:\Grateful Dead\# Dave's Picks #\25 - 1977-11-06 [Broome County Veterans Memorial Arena, Binghamton, NY]\202 Sunrise.flac</t>
  </si>
  <si>
    <t>Z:\Grateful Dead\# Dave's Picks #\25 - 1977-11-06 [Broome County Veterans Memorial Arena, Binghamton, NY]\203 Scarlet Begonias_.flac</t>
  </si>
  <si>
    <t>Z:\Grateful Dead\# Dave's Picks #\25 - 1977-11-06 [Broome County Veterans Memorial Arena, Binghamton, NY]\204 Fire On The Mountain_.flac</t>
  </si>
  <si>
    <t>Z:\Grateful Dead\# Dave's Picks #\25 - 1977-11-06 [Broome County Veterans Memorial Arena, Binghamton, NY]\205 Good Lovin'.flac</t>
  </si>
  <si>
    <t>Z:\Grateful Dead\# Dave's Picks #\25 - 1977-11-06 [Broome County Veterans Memorial Arena, Binghamton, NY]\206 St. Stephen_.flac</t>
  </si>
  <si>
    <t>Z:\Grateful Dead\# Dave's Picks #\25 - 1977-11-06 [Broome County Veterans Memorial Arena, Binghamton, NY]\207 Drums_.flac</t>
  </si>
  <si>
    <t>Z:\Grateful Dead\# Dave's Picks #\25 - 1977-11-06 [Broome County Veterans Memorial Arena, Binghamton, NY]\208 Not Fade Away_.flac</t>
  </si>
  <si>
    <t>Z:\Grateful Dead\# Dave's Picks #\25 - 1977-11-06 [Broome County Veterans Memorial Arena, Binghamton, NY]\209 Wharf Rat_.flac</t>
  </si>
  <si>
    <t>Z:\Grateful Dead\# Dave's Picks #\25 - 1977-11-06 [Broome County Veterans Memorial Arena, Binghamton, NY]\210 St. Stephen_.flac</t>
  </si>
  <si>
    <t>Z:\Grateful Dead\# Dave's Picks #\25 - 1977-11-06 [Broome County Veterans Memorial Arena, Binghamton, NY]\211 Truckin'.flac</t>
  </si>
  <si>
    <t>Z:\Grateful Dead\# Dave's Picks #\25 - 1977-11-06 [Broome County Veterans Memorial Arena, Binghamton, NY]\212 Johnny B. Goode.flac</t>
  </si>
  <si>
    <t>Z:\Grateful Dead\# Dave's Picks #\26 - 1971-11-17 [Albuquerque Civic Auditorium, Albuquerque, NM]\101 Truckin'.flac</t>
  </si>
  <si>
    <t>Z:\Grateful Dead\# Dave's Picks #\26 - 1971-11-17 [Albuquerque Civic Auditorium, Albuquerque, NM]\102 Sugaree.flac</t>
  </si>
  <si>
    <t>Z:\Grateful Dead\# Dave's Picks #\26 - 1971-11-17 [Albuquerque Civic Auditorium, Albuquerque, NM]\103 Beat It On Down The Line.flac</t>
  </si>
  <si>
    <t>Z:\Grateful Dead\# Dave's Picks #\26 - 1971-11-17 [Albuquerque Civic Auditorium, Albuquerque, NM]\104 Tennessee Jed.flac</t>
  </si>
  <si>
    <t>Z:\Grateful Dead\# Dave's Picks #\26 - 1971-11-17 [Albuquerque Civic Auditorium, Albuquerque, NM]\105 El Paso.flac</t>
  </si>
  <si>
    <t>Z:\Grateful Dead\# Dave's Picks #\26 - 1971-11-17 [Albuquerque Civic Auditorium, Albuquerque, NM]\106 Big Railroad Blues.flac</t>
  </si>
  <si>
    <t>Z:\Grateful Dead\# Dave's Picks #\26 - 1971-11-17 [Albuquerque Civic Auditorium, Albuquerque, NM]\107 Jack Straw.flac</t>
  </si>
  <si>
    <t>Z:\Grateful Dead\# Dave's Picks #\26 - 1971-11-17 [Albuquerque Civic Auditorium, Albuquerque, NM]\108 Deal.flac</t>
  </si>
  <si>
    <t>Z:\Grateful Dead\# Dave's Picks #\26 - 1971-11-17 [Albuquerque Civic Auditorium, Albuquerque, NM]\109 Playing In The Band.flac</t>
  </si>
  <si>
    <t>Z:\Grateful Dead\# Dave's Picks #\26 - 1971-11-17 [Albuquerque Civic Auditorium, Albuquerque, NM]\110 Cumberland Blues.flac</t>
  </si>
  <si>
    <t>Z:\Grateful Dead\# Dave's Picks #\26 - 1971-11-17 [Albuquerque Civic Auditorium, Albuquerque, NM]\111 Me And Bobby McGee.flac</t>
  </si>
  <si>
    <t>Z:\Grateful Dead\# Dave's Picks #\26 - 1971-11-17 [Albuquerque Civic Auditorium, Albuquerque, NM]\112 You Win Again.flac</t>
  </si>
  <si>
    <t>Z:\Grateful Dead\# Dave's Picks #\26 - 1971-11-17 [Albuquerque Civic Auditorium, Albuquerque, NM]\113 Mexicali Blues.flac</t>
  </si>
  <si>
    <t>Z:\Grateful Dead\# Dave's Picks #\26 - 1971-11-17 [Albuquerque Civic Auditorium, Albuquerque, NM]\114 Casey Jones.flac</t>
  </si>
  <si>
    <t>Z:\Grateful Dead\# Dave's Picks #\26 - 1971-11-17 [Albuquerque Civic Auditorium, Albuquerque, NM]\115 One More Saturday Night.flac</t>
  </si>
  <si>
    <t>Z:\Grateful Dead\# Dave's Picks #\26 - 1971-11-17 [Albuquerque Civic Auditorium, Albuquerque, NM]\201 Sugar Magnolia.flac</t>
  </si>
  <si>
    <t>Z:\Grateful Dead\# Dave's Picks #\26 - 1971-11-17 [Albuquerque Civic Auditorium, Albuquerque, NM]\202 Cryptical Envelopment.flac</t>
  </si>
  <si>
    <t>Z:\Grateful Dead\# Dave's Picks #\26 - 1971-11-17 [Albuquerque Civic Auditorium, Albuquerque, NM]\203 Drums.flac</t>
  </si>
  <si>
    <t>Z:\Grateful Dead\# Dave's Picks #\26 - 1971-11-17 [Albuquerque Civic Auditorium, Albuquerque, NM]\204 The Other One.flac</t>
  </si>
  <si>
    <t>Z:\Grateful Dead\# Dave's Picks #\26 - 1971-11-17 [Albuquerque Civic Auditorium, Albuquerque, NM]\205 Me and My Uncle.flac</t>
  </si>
  <si>
    <t>Z:\Grateful Dead\# Dave's Picks #\26 - 1971-11-17 [Albuquerque Civic Auditorium, Albuquerque, NM]\206 The Other One.flac</t>
  </si>
  <si>
    <t>Z:\Grateful Dead\# Dave's Picks #\26 - 1971-11-17 [Albuquerque Civic Auditorium, Albuquerque, NM]\207 Wharf Rat.flac</t>
  </si>
  <si>
    <t>Z:\Grateful Dead\# Dave's Picks #\26 - 1971-11-17 [Albuquerque Civic Auditorium, Albuquerque, NM]\208 Not Fade Away.flac</t>
  </si>
  <si>
    <t>Z:\Grateful Dead\# Dave's Picks #\26 - 1971-11-17 [Albuquerque Civic Auditorium, Albuquerque, NM]\209 Goin' Down the Road Feeling Bad.flac</t>
  </si>
  <si>
    <t>Z:\Grateful Dead\# Dave's Picks #\26 - 1971-11-17 [Albuquerque Civic Auditorium, Albuquerque, NM]\210 Not Fade Away.flac</t>
  </si>
  <si>
    <t>Z:\Grateful Dead\# Dave's Picks #\26 - 1971-11-17 [Albuquerque Civic Auditorium, Albuquerque, NM]\211 Ramble On Rose.flac</t>
  </si>
  <si>
    <t>Z:\Grateful Dead\# Dave's Picks #\28 - 1976-06-17 [Capitol Theatre, Passaic, NJ]\101 Cold Rain And Snow.flac</t>
  </si>
  <si>
    <t>Z:\Grateful Dead\# Dave's Picks #\28 - 1976-06-17 [Capitol Theatre, Passaic, NJ]\102 Big River.flac</t>
  </si>
  <si>
    <t>Z:\Grateful Dead\# Dave's Picks #\28 - 1976-06-17 [Capitol Theatre, Passaic, NJ]\103 They Loved Each Other.flac</t>
  </si>
  <si>
    <t>They Loved Each Other</t>
  </si>
  <si>
    <t>Z:\Grateful Dead\# Dave's Picks #\28 - 1976-06-17 [Capitol Theatre, Passaic, NJ]\104 Cassidy.flac</t>
  </si>
  <si>
    <t>Z:\Grateful Dead\# Dave's Picks #\28 - 1976-06-17 [Capitol Theatre, Passaic, NJ]\105 Tennessee Jed.flac</t>
  </si>
  <si>
    <t>Z:\Grateful Dead\# Dave's Picks #\28 - 1976-06-17 [Capitol Theatre, Passaic, NJ]\106 Looks Like Rain.flac</t>
  </si>
  <si>
    <t>Z:\Grateful Dead\# Dave's Picks #\28 - 1976-06-17 [Capitol Theatre, Passaic, NJ]\107 Row Jimmy.flac</t>
  </si>
  <si>
    <t>Z:\Grateful Dead\# Dave's Picks #\28 - 1976-06-17 [Capitol Theatre, Passaic, NJ]\108 The Music Never Stopped.flac</t>
  </si>
  <si>
    <t>Z:\Grateful Dead\# Dave's Picks #\28 - 1976-06-17 [Capitol Theatre, Passaic, NJ]\109 Scarlet Begonias.flac</t>
  </si>
  <si>
    <t>Z:\Grateful Dead\# Dave's Picks #\28 - 1976-06-17 [Capitol Theatre, Passaic, NJ]\110 Promised Land.flac</t>
  </si>
  <si>
    <t>Z:\Grateful Dead\# Dave's Picks #\28 - 1976-06-17 [Capitol Theatre, Passaic, NJ]\201 Help On The Way ].flac</t>
  </si>
  <si>
    <t>Help On The Way ]</t>
  </si>
  <si>
    <t>Z:\Grateful Dead\# Dave's Picks #\28 - 1976-06-17 [Capitol Theatre, Passaic, NJ]\202 Slipknot! ].flac</t>
  </si>
  <si>
    <t>Slipknot! ]</t>
  </si>
  <si>
    <t>Z:\Grateful Dead\# Dave's Picks #\28 - 1976-06-17 [Capitol Theatre, Passaic, NJ]\203 Franklin's Tower ].flac</t>
  </si>
  <si>
    <t>Franklin's Tower ]</t>
  </si>
  <si>
    <t>Z:\Grateful Dead\# Dave's Picks #\28 - 1976-06-17 [Capitol Theatre, Passaic, NJ]\204 Dancing In The Street ].flac</t>
  </si>
  <si>
    <t>Dancing In The Street ]</t>
  </si>
  <si>
    <t>Z:\Grateful Dead\# Dave's Picks #\28 - 1976-06-17 [Capitol Theatre, Passaic, NJ]\205 Samson And Delilah.flac</t>
  </si>
  <si>
    <t>Z:\Grateful Dead\# Dave's Picks #\28 - 1976-06-17 [Capitol Theatre, Passaic, NJ]\206 Ship Of Fools.flac</t>
  </si>
  <si>
    <t>Z:\Grateful Dead\# Dave's Picks #\28 - 1976-06-17 [Capitol Theatre, Passaic, NJ]\207 Lazy Lightning ].flac</t>
  </si>
  <si>
    <t>Z:\Grateful Dead\# Dave's Picks #\28 - 1976-06-17 [Capitol Theatre, Passaic, NJ]\208 Supplication.flac</t>
  </si>
  <si>
    <t>Z:\Grateful Dead\# Dave's Picks #\28 - 1976-06-17 [Capitol Theatre, Passaic, NJ]\209 Friend Of The Devil.flac</t>
  </si>
  <si>
    <t>Z:\Grateful Dead\# Dave's Picks #\28 - 1976-06-17 [Capitol Theatre, Passaic, NJ]\210 Let It Grow ].flac</t>
  </si>
  <si>
    <t>Let It Grow ]</t>
  </si>
  <si>
    <t>Z:\Grateful Dead\# Dave's Picks #\28 - 1976-06-17 [Capitol Theatre, Passaic, NJ]\211 Drums ].flac</t>
  </si>
  <si>
    <t>Drums ]</t>
  </si>
  <si>
    <t>Z:\Grateful Dead\# Dave's Picks #\28 - 1976-06-17 [Capitol Theatre, Passaic, NJ]\212 Let It Grow ].flac</t>
  </si>
  <si>
    <t>Z:\Grateful Dead\# Dave's Picks #\28 - 1976-06-17 [Capitol Theatre, Passaic, NJ]\213 Wharf Rat ].flac</t>
  </si>
  <si>
    <t>Z:\Grateful Dead\# Dave's Picks #\28 - 1976-06-17 [Capitol Theatre, Passaic, NJ]\214 Around And Around.flac</t>
  </si>
  <si>
    <t>Z:\Grateful Dead\# Dave's Picks #\28 - 1976-06-17 [Capitol Theatre, Passaic, NJ]\215 Sugaree (6,23,76 Tower Theater).flac</t>
  </si>
  <si>
    <t>Sugaree (6,23,76 Tower Theater)</t>
  </si>
  <si>
    <t>Z:\Grateful Dead\# Dave's Picks #\28 - 1976-06-17 [Capitol Theatre, Passaic, NJ]\216 High Time (6,28,76 Auditorium Theatre).flac</t>
  </si>
  <si>
    <t>High Time (6,28,76 Auditorium Theatre)</t>
  </si>
  <si>
    <t>Z:\Grateful Dead\# Dave's Picks #\29 - 1977-02-26 [Swing Auditorium, San Bernardino, CA]\101 Terrapin Station.flac</t>
  </si>
  <si>
    <t>Z:\Grateful Dead\# Dave's Picks #\29 - 1977-02-26 [Swing Auditorium, San Bernardino, CA]\102 New Minglewood Blues.flac</t>
  </si>
  <si>
    <t>Z:\Grateful Dead\# Dave's Picks #\29 - 1977-02-26 [Swing Auditorium, San Bernardino, CA]\103 They Love Each Other.flac</t>
  </si>
  <si>
    <t>Z:\Grateful Dead\# Dave's Picks #\29 - 1977-02-26 [Swing Auditorium, San Bernardino, CA]\104 Estimated Prophet.flac</t>
  </si>
  <si>
    <t>Z:\Grateful Dead\# Dave's Picks #\29 - 1977-02-26 [Swing Auditorium, San Bernardino, CA]\105 Sugaree.flac</t>
  </si>
  <si>
    <t>Z:\Grateful Dead\# Dave's Picks #\29 - 1977-02-26 [Swing Auditorium, San Bernardino, CA]\106 Mama Tried.flac</t>
  </si>
  <si>
    <t>Z:\Grateful Dead\# Dave's Picks #\29 - 1977-02-26 [Swing Auditorium, San Bernardino, CA]\107 Deal.flac</t>
  </si>
  <si>
    <t>Z:\Grateful Dead\# Dave's Picks #\29 - 1977-02-26 [Swing Auditorium, San Bernardino, CA]\108 Playing In The Band.flac</t>
  </si>
  <si>
    <t>Z:\Grateful Dead\# Dave's Picks #\29 - 1977-02-26 [Swing Auditorium, San Bernardino, CA]\109 The Wheel.flac</t>
  </si>
  <si>
    <t>Z:\Grateful Dead\# Dave's Picks #\29 - 1977-02-26 [Swing Auditorium, San Bernardino, CA]\110 Playing In The Band.flac</t>
  </si>
  <si>
    <t>Z:\Grateful Dead\# Dave's Picks #\29 - 1977-02-26 [Swing Auditorium, San Bernardino, CA]\201  Samson And Delilah.flac</t>
  </si>
  <si>
    <t>Z:\Grateful Dead\# Dave's Picks #\29 - 1977-02-26 [Swing Auditorium, San Bernardino, CA]\202 Tennessee Jed.flac</t>
  </si>
  <si>
    <t>Z:\Grateful Dead\# Dave's Picks #\29 - 1977-02-26 [Swing Auditorium, San Bernardino, CA]\203 The Music Never Stopped.flac</t>
  </si>
  <si>
    <t>Z:\Grateful Dead\# Dave's Picks #\29 - 1977-02-26 [Swing Auditorium, San Bernardino, CA]\204 Help On The Way.flac</t>
  </si>
  <si>
    <t>Z:\Grateful Dead\# Dave's Picks #\29 - 1977-02-26 [Swing Auditorium, San Bernardino, CA]\205 Slipknot!.flac</t>
  </si>
  <si>
    <t>Z:\Grateful Dead\# Dave's Picks #\29 - 1977-02-26 [Swing Auditorium, San Bernardino, CA]\206 Franklin's Tower.flac</t>
  </si>
  <si>
    <t>Z:\Grateful Dead\# Dave's Picks #\29 - 1977-02-26 [Swing Auditorium, San Bernardino, CA]\207 The Promised Land.flac</t>
  </si>
  <si>
    <t>The Promised Land</t>
  </si>
  <si>
    <t>Z:\Grateful Dead\# Dave's Picks #\29 - 1977-02-26 [Swing Auditorium, San Bernardino, CA]\208 Eyes Of The World.flac</t>
  </si>
  <si>
    <t>Z:\Grateful Dead\# Dave's Picks #\29 - 1977-02-26 [Swing Auditorium, San Bernardino, CA]\209 Dancing In The Street.flac</t>
  </si>
  <si>
    <t>Z:\Grateful Dead\# Dave's Picks #\29 - 1977-02-26 [Swing Auditorium, San Bernardino, CA]\210 Around &amp; Around.flac</t>
  </si>
  <si>
    <t>Z:\Grateful Dead\# Dave's Picks #\29 - 1977-02-26 [Swing Auditorium, San Bernardino, CA]\211 U.S. Blues.flac</t>
  </si>
  <si>
    <t>Z:\Grateful Dead\# Dave's Picks #\29 - 1977-02-26 [Swing Auditorium, San Bernardino, CA]\212 Morning Dew.flac</t>
  </si>
  <si>
    <t>Z:\Grateful Dead\# Dave's Picks #\29 - 1977-02-26 [Swing Auditorium, San Bernardino, CA]\213 Sugar Magnolia.flac</t>
  </si>
  <si>
    <t>Z:\Grateful Dead\# Dave's Picks #\29 - 1977-02-26 [Swing Auditorium, San Bernardino, CA]\214 Johnny B. Goode.flac</t>
  </si>
  <si>
    <t>Z:\Grateful Dead\# Dave's Picks #\30 - 1970-01-02 [Fillmore East, New York, NY] Early &amp; Late\101 Mason's Children.flac</t>
  </si>
  <si>
    <t>Z:\Grateful Dead\# Dave's Picks #\30 - 1970-01-02 [Fillmore East, New York, NY] Early &amp; Late\102 Casey Jones.flac</t>
  </si>
  <si>
    <t>Z:\Grateful Dead\# Dave's Picks #\30 - 1970-01-02 [Fillmore East, New York, NY] Early &amp; Late\103 Black Peter.flac</t>
  </si>
  <si>
    <t>Z:\Grateful Dead\# Dave's Picks #\30 - 1970-01-02 [Fillmore East, New York, NY] Early &amp; Late\104 Mama Tried.flac</t>
  </si>
  <si>
    <t>Z:\Grateful Dead\# Dave's Picks #\30 - 1970-01-02 [Fillmore East, New York, NY] Early &amp; Late\105 Hard To Handle.flac</t>
  </si>
  <si>
    <t>Z:\Grateful Dead\# Dave's Picks #\30 - 1970-01-02 [Fillmore East, New York, NY] Early &amp; Late\106 Cumberland Blues.flac</t>
  </si>
  <si>
    <t>Z:\Grateful Dead\# Dave's Picks #\30 - 1970-01-02 [Fillmore East, New York, NY] Early &amp; Late\107 That's It For The Other One.flac</t>
  </si>
  <si>
    <t>That's It For The Other One</t>
  </si>
  <si>
    <t>Z:\Grateful Dead\# Dave's Picks #\30 - 1970-01-02 [Fillmore East, New York, NY] Early &amp; Late\108 Cosmic Charlie.flac</t>
  </si>
  <si>
    <t>Z:\Grateful Dead\# Dave's Picks #\30 - 1970-01-02 [Fillmore East, New York, NY] Early &amp; Late\201 Uncle John's Band.flac</t>
  </si>
  <si>
    <t>Z:\Grateful Dead\# Dave's Picks #\30 - 1970-01-02 [Fillmore East, New York, NY] Early &amp; Late\202  High Time.flac</t>
  </si>
  <si>
    <t>Z:\Grateful Dead\# Dave's Picks #\30 - 1970-01-02 [Fillmore East, New York, NY] Early &amp; Late\203 Dire Wolf.flac</t>
  </si>
  <si>
    <t>Z:\Grateful Dead\# Dave's Picks #\30 - 1970-01-02 [Fillmore East, New York, NY] Early &amp; Late\204 Easy Wind.flac</t>
  </si>
  <si>
    <t>Z:\Grateful Dead\# Dave's Picks #\30 - 1970-01-02 [Fillmore East, New York, NY] Early &amp; Late\205 China Cat Sunflower.flac</t>
  </si>
  <si>
    <t>Z:\Grateful Dead\# Dave's Picks #\30 - 1970-01-02 [Fillmore East, New York, NY] Early &amp; Late\206 I Know You Rider.flac</t>
  </si>
  <si>
    <t>Z:\Grateful Dead\# Dave's Picks #\30 - 1970-01-02 [Fillmore East, New York, NY] Early &amp; Late\207 Good Lovin'.flac</t>
  </si>
  <si>
    <t>Z:\Grateful Dead\# Dave's Picks #\30 - 1970-01-02 [Fillmore East, New York, NY] Early &amp; Late\208 Me &amp; My Uncle.flac</t>
  </si>
  <si>
    <t>Z:\Grateful Dead\# Dave's Picks #\30 - 1970-01-02 [Fillmore East, New York, NY] Early &amp; Late\209 Monkey &amp; The Engineer.flac</t>
  </si>
  <si>
    <t>Monkey &amp; The Engineer</t>
  </si>
  <si>
    <t>Z:\Grateful Dead\# Dave's Picks #\30 - 1970-01-02 [Fillmore East, New York, NY] Early &amp; Late\210 Morning Dew.flac</t>
  </si>
  <si>
    <t>Z:\Grateful Dead\# Dave's Picks #\30 - 1970-01-02 [Fillmore East, New York, NY] Early &amp; Late\211 Big Boss Man.flac</t>
  </si>
  <si>
    <t>Z:\Grateful Dead\# Dave's Picks #\30 - 1970-01-02 [Fillmore East, New York, NY] Early &amp; Late\212 Dancin' In The Streets.flac</t>
  </si>
  <si>
    <t>Dancin' In The Streets</t>
  </si>
  <si>
    <t>Z:\Grateful Dead\# Dave's Picks #\30 - 1970-01-02 [Fillmore East, New York, NY] Early &amp; Late\213 St. Stephen.flac</t>
  </si>
  <si>
    <t>Z:\Grateful Dead\# Dave's Picks #\30 - 1970-01-02 [Fillmore East, New York, NY] Early &amp; Late\214 In The Midnight Hour.flac</t>
  </si>
  <si>
    <t>In The Midnight Hour</t>
  </si>
  <si>
    <t>Z:\Grateful Dead\# Dave's Picks #\30 - 1970-01-02 [Fillmore East, New York, NY] Early &amp; Late\215 Dark Star.flac</t>
  </si>
  <si>
    <t>Z:\Grateful Dead\# Dave's Picks #\30 - 1970-01-02 [Fillmore East, New York, NY] Early &amp; Late\216 St. Stephen.flac</t>
  </si>
  <si>
    <t>Z:\Grateful Dead\# Dave's Picks #\30 - 1970-01-02 [Fillmore East, New York, NY] Early &amp; Late\217 The Eleven.flac</t>
  </si>
  <si>
    <t>Z:\Grateful Dead\# Dave's Picks #\30 - 1970-01-02 [Fillmore East, New York, NY] Early &amp; Late\218 Turn On Your Lovelight.flac</t>
  </si>
  <si>
    <t>Z:\Grateful Dead\# Dave's Picks #\30 - 1970-01-03 [Fillmore East, New York, NY] %Early %Late (2019 Bonus Disc)\01 Cold Rain &amp; Snow.flac</t>
  </si>
  <si>
    <t>Z:\Grateful Dead\# Dave's Picks #\30 - 1970-01-03 [Fillmore East, New York, NY] %Early %Late (2019 Bonus Disc)\02 Alligator.flac</t>
  </si>
  <si>
    <t>Z:\Grateful Dead\# Dave's Picks #\30 - 1970-01-03 [Fillmore East, New York, NY] %Early %Late (2019 Bonus Disc)\03 Drums.flac</t>
  </si>
  <si>
    <t>Z:\Grateful Dead\# Dave's Picks #\30 - 1970-01-03 [Fillmore East, New York, NY] %Early %Late (2019 Bonus Disc)\04 Alligator.flac</t>
  </si>
  <si>
    <t>Z:\Grateful Dead\# Dave's Picks #\30 - 1970-01-03 [Fillmore East, New York, NY] %Early %Late (2019 Bonus Disc)\05 Feedback.flac</t>
  </si>
  <si>
    <t>Z:\Grateful Dead\# Dave's Picks #\30 - 1970-01-03 [Fillmore East, New York, NY] %Early %Late (2019 Bonus Disc)\06 Casey Jones.flac</t>
  </si>
  <si>
    <t>Z:\Grateful Dead\# Dave's Picks #\30 - 1970-01-03 [Fillmore East, New York, NY] %Early %Late (2019 Bonus Disc)\07 Mason's Children.flac</t>
  </si>
  <si>
    <t>Z:\Grateful Dead\# Dave's Picks #\30 - 1970-01-03 [Fillmore East, New York, NY] %Early %Late (2019 Bonus Disc)\08 That's It For The Other One.flac</t>
  </si>
  <si>
    <t>Z:\Grateful Dead\# Dave's Picks #\30 - 1970-01-03 [Fillmore East, New York, NY] %Early %Late (2019 Bonus Disc)\09 Cosmic Charlie.flac</t>
  </si>
  <si>
    <t>Z:\Grateful Dead\# Dave's Picks #\30 - 1970-01-03 [Fillmore East, New York, NY] %Early %Late (2019 Bonus Disc)\10 Uncle John's Band.flac</t>
  </si>
  <si>
    <t>Z:\Grateful Dead\# Dave's Picks #\31 - 1979-12-03 [Uptown Theatre, Chicago, IL]\101 Alabama Getaway.flac</t>
  </si>
  <si>
    <t>Z:\Grateful Dead\# Dave's Picks #\31 - 1979-12-03 [Uptown Theatre, Chicago, IL]\102 Promised Land.flac</t>
  </si>
  <si>
    <t>Z:\Grateful Dead\# Dave's Picks #\31 - 1979-12-03 [Uptown Theatre, Chicago, IL]\103 Brown-Eyed Women.flac</t>
  </si>
  <si>
    <t>Z:\Grateful Dead\# Dave's Picks #\31 - 1979-12-03 [Uptown Theatre, Chicago, IL]\104 El Paso.flac</t>
  </si>
  <si>
    <t>Z:\Grateful Dead\# Dave's Picks #\31 - 1979-12-03 [Uptown Theatre, Chicago, IL]\105 Ramble On Rose.flac</t>
  </si>
  <si>
    <t>Z:\Grateful Dead\# Dave's Picks #\31 - 1979-12-03 [Uptown Theatre, Chicago, IL]\106 It's All Over Now.flac</t>
  </si>
  <si>
    <t>Z:\Grateful Dead\# Dave's Picks #\31 - 1979-12-03 [Uptown Theatre, Chicago, IL]\107 Jack-A-Roe.flac</t>
  </si>
  <si>
    <t>Z:\Grateful Dead\# Dave's Picks #\31 - 1979-12-03 [Uptown Theatre, Chicago, IL]\108 Lazy Lightning.flac</t>
  </si>
  <si>
    <t>Z:\Grateful Dead\# Dave's Picks #\31 - 1979-12-03 [Uptown Theatre, Chicago, IL]\109 Supplication.flac</t>
  </si>
  <si>
    <t>Z:\Grateful Dead\# Dave's Picks #\31 - 1979-12-03 [Uptown Theatre, Chicago, IL]\110 Althea.flac</t>
  </si>
  <si>
    <t>Z:\Grateful Dead\# Dave's Picks #\31 - 1979-12-03 [Uptown Theatre, Chicago, IL]\111 The Music Never Stopped.flac</t>
  </si>
  <si>
    <t>Z:\Grateful Dead\# Dave's Picks #\31 - 1979-12-03 [Uptown Theatre, Chicago, IL]\201 Scarlet Begonias.flac</t>
  </si>
  <si>
    <t>Z:\Grateful Dead\# Dave's Picks #\31 - 1979-12-03 [Uptown Theatre, Chicago, IL]\202 Fire On The Mountain.flac</t>
  </si>
  <si>
    <t>Z:\Grateful Dead\# Dave's Picks #\31 - 1979-12-03 [Uptown Theatre, Chicago, IL]\203 Samson And Delilah.flac</t>
  </si>
  <si>
    <t>Z:\Grateful Dead\# Dave's Picks #\31 - 1979-12-03 [Uptown Theatre, Chicago, IL]\204 Terrapin Station.flac</t>
  </si>
  <si>
    <t>Z:\Grateful Dead\# Dave's Picks #\31 - 1979-12-03 [Uptown Theatre, Chicago, IL]\205 Playing In The Band.flac</t>
  </si>
  <si>
    <t>Z:\Grateful Dead\# Dave's Picks #\31 - 1979-12-03 [Uptown Theatre, Chicago, IL]\206 Drums.flac</t>
  </si>
  <si>
    <t>Z:\Grateful Dead\# Dave's Picks #\31 - 1979-12-03 [Uptown Theatre, Chicago, IL]\207 Space.flac</t>
  </si>
  <si>
    <t>Z:\Grateful Dead\# Dave's Picks #\31 - 1979-12-03 [Uptown Theatre, Chicago, IL]\208 Lost Sailor.flac</t>
  </si>
  <si>
    <t>Z:\Grateful Dead\# Dave's Picks #\31 - 1979-12-03 [Uptown Theatre, Chicago, IL]\209 Saint Of Circumstance.flac</t>
  </si>
  <si>
    <t>Z:\Grateful Dead\# Dave's Picks #\31 - 1979-12-03 [Uptown Theatre, Chicago, IL]\210 Wharf Rat.flac</t>
  </si>
  <si>
    <t>Z:\Grateful Dead\# Dave's Picks #\31 - 1979-12-03 [Uptown Theatre, Chicago, IL]\211 Truckin'.flac</t>
  </si>
  <si>
    <t>Z:\Grateful Dead\# Dave's Picks #\31 - 1979-12-03 [Uptown Theatre, Chicago, IL]\212 Johnny B. Goode.flac</t>
  </si>
  <si>
    <t>Z:\Grateful Dead\# Dave's Picks #\31 - 1979-12-04 [Uptown Theatre, Chicago, IL] (fragment - filler)\204 Estimated Prophet.flac</t>
  </si>
  <si>
    <t>Z:\Grateful Dead\# Dave's Picks #\31 - 1979-12-04 [Uptown Theatre, Chicago, IL] (fragment - filler)\205 Franklin's Tower.flac</t>
  </si>
  <si>
    <t>Z:\Grateful Dead\# Dave's Picks #\31 - 1979-12-04 [Uptown Theatre, Chicago, IL] (fragment - filler)\206  Jam.flac</t>
  </si>
  <si>
    <t>Z:\Grateful Dead\# Dave's Picks #\32 - 1973-03-24 [The Spectrum, Philadelphia, PA]\101 Bertha.flac</t>
  </si>
  <si>
    <t>Z:\Grateful Dead\# Dave's Picks #\32 - 1973-03-24 [The Spectrum, Philadelphia, PA]\102 Beat It On Down The Line.flac</t>
  </si>
  <si>
    <t>Z:\Grateful Dead\# Dave's Picks #\32 - 1973-03-24 [The Spectrum, Philadelphia, PA]\103 Dont Ease Me In.flac</t>
  </si>
  <si>
    <t>Dont Ease Me In</t>
  </si>
  <si>
    <t>Z:\Grateful Dead\# Dave's Picks #\32 - 1973-03-24 [The Spectrum, Philadelphia, PA]\104 The Race Is On.flac</t>
  </si>
  <si>
    <t>Z:\Grateful Dead\# Dave's Picks #\32 - 1973-03-24 [The Spectrum, Philadelphia, PA]\105 Cumberland Blues.flac</t>
  </si>
  <si>
    <t>Z:\Grateful Dead\# Dave's Picks #\32 - 1973-03-24 [The Spectrum, Philadelphia, PA]\106 Box Of Rain.flac</t>
  </si>
  <si>
    <t>Z:\Grateful Dead\# Dave's Picks #\32 - 1973-03-24 [The Spectrum, Philadelphia, PA]\107 Row Jimmy.flac</t>
  </si>
  <si>
    <t>Z:\Grateful Dead\# Dave's Picks #\32 - 1973-03-24 [The Spectrum, Philadelphia, PA]\108 Jack Straw.flac</t>
  </si>
  <si>
    <t>Z:\Grateful Dead\# Dave's Picks #\32 - 1973-03-24 [The Spectrum, Philadelphia, PA]\109 They Love Each Other.flac</t>
  </si>
  <si>
    <t>Z:\Grateful Dead\# Dave's Picks #\32 - 1973-03-24 [The Spectrum, Philadelphia, PA]\110 Mexicali Blues.flac</t>
  </si>
  <si>
    <t>Z:\Grateful Dead\# Dave's Picks #\32 - 1973-03-24 [The Spectrum, Philadelphia, PA]\111 Tennessee Jed.flac</t>
  </si>
  <si>
    <t>Z:\Grateful Dead\# Dave's Picks #\32 - 1973-03-24 [The Spectrum, Philadelphia, PA]\112 Looks Like Rain.flac</t>
  </si>
  <si>
    <t>Z:\Grateful Dead\# Dave's Picks #\32 - 1973-03-24 [The Spectrum, Philadelphia, PA]\113 Wave That Flag.flac</t>
  </si>
  <si>
    <t>Z:\Grateful Dead\# Dave's Picks #\32 - 1973-03-24 [The Spectrum, Philadelphia, PA]\201 El Paso.flac</t>
  </si>
  <si>
    <t>Z:\Grateful Dead\# Dave's Picks #\32 - 1973-03-24 [The Spectrum, Philadelphia, PA]\202 Here Comes Sunshine.flac</t>
  </si>
  <si>
    <t>Z:\Grateful Dead\# Dave's Picks #\32 - 1973-03-24 [The Spectrum, Philadelphia, PA]\203 Me And Bobby McGee.flac</t>
  </si>
  <si>
    <t>Z:\Grateful Dead\# Dave's Picks #\32 - 1973-03-24 [The Spectrum, Philadelphia, PA]\204 Loser.flac</t>
  </si>
  <si>
    <t>Z:\Grateful Dead\# Dave's Picks #\32 - 1973-03-24 [The Spectrum, Philadelphia, PA]\205 Playing In The Band.flac</t>
  </si>
  <si>
    <t>Z:\Grateful Dead\# Dave's Picks #\32 - 1973-03-24 [The Spectrum, Philadelphia, PA]\206 Promised Land.flac</t>
  </si>
  <si>
    <t>Z:\Grateful Dead\# Dave's Picks #\32 - 1973-03-24 [The Spectrum, Philadelphia, PA]\207 China Cat Sunflower.flac</t>
  </si>
  <si>
    <t>Z:\Grateful Dead\# Dave's Picks #\32 - 1973-03-24 [The Spectrum, Philadelphia, PA]\208 I Know You Rider.flac</t>
  </si>
  <si>
    <t>Z:\Grateful Dead\# Dave's Picks #\32 - 1973-03-24 [The Spectrum, Philadelphia, PA]\209 Big River.flac</t>
  </si>
  <si>
    <t>Z:\Grateful Dead\# Dave's Picks #\32 - 1973-03-24 [The Spectrum, Philadelphia, PA]\210 Stella Blue.flac</t>
  </si>
  <si>
    <t>Z:\Grateful Dead\# Dave's Picks #\32 - 1973-03-24 [The Spectrum, Philadelphia, PA]\211 Me And My Uncle.flac</t>
  </si>
  <si>
    <t>Z:\Grateful Dead\# Dave's Picks #\32 - 1973-03-24 [The Spectrum, Philadelphia, PA]\301 He's Gone.flac</t>
  </si>
  <si>
    <t>Z:\Grateful Dead\# Dave's Picks #\32 - 1973-03-24 [The Spectrum, Philadelphia, PA]\302 Truckin.flac</t>
  </si>
  <si>
    <t>Z:\Grateful Dead\# Dave's Picks #\32 - 1973-03-24 [The Spectrum, Philadelphia, PA]\303 Jam.flac</t>
  </si>
  <si>
    <t>Z:\Grateful Dead\# Dave's Picks #\32 - 1973-03-24 [The Spectrum, Philadelphia, PA]\304 Dark Star.flac</t>
  </si>
  <si>
    <t>Z:\Grateful Dead\# Dave's Picks #\32 - 1973-03-24 [The Spectrum, Philadelphia, PA]\305 Sing Me Back Home.flac</t>
  </si>
  <si>
    <t>Z:\Grateful Dead\# Dave's Picks #\32 - 1973-03-24 [The Spectrum, Philadelphia, PA]\306 Sugar Magnolia.flac</t>
  </si>
  <si>
    <t>Z:\Grateful Dead\# Dave's Picks #\32 - 1973-03-24 [The Spectrum, Philadelphia, PA]\307 Johnny B Goode.flac</t>
  </si>
  <si>
    <t>Johnny B Goode</t>
  </si>
  <si>
    <t>Z:\Grateful Dead\# Dave's Picks #\33 - 1977-10-29 [Evans Field House - Northern Illinois University, DeKalb, IL]\101 Might As Well.flac</t>
  </si>
  <si>
    <t>Z:\Grateful Dead\# Dave's Picks #\33 - 1977-10-29 [Evans Field House - Northern Illinois University, DeKalb, IL]\102 Jack Straw.flac</t>
  </si>
  <si>
    <t>Z:\Grateful Dead\# Dave's Picks #\33 - 1977-10-29 [Evans Field House - Northern Illinois University, DeKalb, IL]\103 Dire Wolf.flac</t>
  </si>
  <si>
    <t>Z:\Grateful Dead\# Dave's Picks #\33 - 1977-10-29 [Evans Field House - Northern Illinois University, DeKalb, IL]\104 Looks Like Rain.flac</t>
  </si>
  <si>
    <t>Z:\Grateful Dead\# Dave's Picks #\33 - 1977-10-29 [Evans Field House - Northern Illinois University, DeKalb, IL]\105 Loser.flac</t>
  </si>
  <si>
    <t>Z:\Grateful Dead\# Dave's Picks #\33 - 1977-10-29 [Evans Field House - Northern Illinois University, DeKalb, IL]\106 El Paso.flac</t>
  </si>
  <si>
    <t>Z:\Grateful Dead\# Dave's Picks #\33 - 1977-10-29 [Evans Field House - Northern Illinois University, DeKalb, IL]\107 Ramble On Rose.flac</t>
  </si>
  <si>
    <t>Z:\Grateful Dead\# Dave's Picks #\33 - 1977-10-29 [Evans Field House - Northern Illinois University, DeKalb, IL]\108 New Minglewood Blues.flac</t>
  </si>
  <si>
    <t>Z:\Grateful Dead\# Dave's Picks #\33 - 1977-10-29 [Evans Field House - Northern Illinois University, DeKalb, IL]\109 It Must Have Been The Roses.flac</t>
  </si>
  <si>
    <t>Z:\Grateful Dead\# Dave's Picks #\33 - 1977-10-29 [Evans Field House - Northern Illinois University, DeKalb, IL]\110 Let It Grow.flac</t>
  </si>
  <si>
    <t>Z:\Grateful Dead\# Dave's Picks #\33 - 1977-10-29 [Evans Field House - Northern Illinois University, DeKalb, IL]\201 Bertha.flac</t>
  </si>
  <si>
    <t>Z:\Grateful Dead\# Dave's Picks #\33 - 1977-10-29 [Evans Field House - Northern Illinois University, DeKalb, IL]\202 Good Lovin'.flac</t>
  </si>
  <si>
    <t>Z:\Grateful Dead\# Dave's Picks #\33 - 1977-10-29 [Evans Field House - Northern Illinois University, DeKalb, IL]\203 Friend Of The Devil.flac</t>
  </si>
  <si>
    <t>Z:\Grateful Dead\# Dave's Picks #\33 - 1977-10-29 [Evans Field House - Northern Illinois University, DeKalb, IL]\204 Estimated Prophet.flac</t>
  </si>
  <si>
    <t>Z:\Grateful Dead\# Dave's Picks #\33 - 1977-10-29 [Evans Field House - Northern Illinois University, DeKalb, IL]\205 Eyes of the World.flac</t>
  </si>
  <si>
    <t>Z:\Grateful Dead\# Dave's Picks #\33 - 1977-10-29 [Evans Field House - Northern Illinois University, DeKalb, IL]\206 Space.flac</t>
  </si>
  <si>
    <t>Z:\Grateful Dead\# Dave's Picks #\33 - 1977-10-29 [Evans Field House - Northern Illinois University, DeKalb, IL]\207 St. Stephen.flac</t>
  </si>
  <si>
    <t>Z:\Grateful Dead\# Dave's Picks #\33 - 1977-10-29 [Evans Field House - Northern Illinois University, DeKalb, IL]\208 Not Fade Away.flac</t>
  </si>
  <si>
    <t>Z:\Grateful Dead\# Dave's Picks #\33 - 1977-10-29 [Evans Field House - Northern Illinois University, DeKalb, IL]\209 Black Peter.flac</t>
  </si>
  <si>
    <t>Z:\Grateful Dead\# Dave's Picks #\33 - 1977-10-29 [Evans Field House - Northern Illinois University, DeKalb, IL]\210 Sugar Magnolia.flac</t>
  </si>
  <si>
    <t>Z:\Grateful Dead\# Dave's Picks #\33 - 1977-10-29 [Evans Field House - Northern Illinois University, DeKalb, IL]\211 One More Saturday Night.flac</t>
  </si>
  <si>
    <t>Z:\Grateful Dead\# Dave's Picks #\34 - 1974-06-22 [Jai-Alai Fronton, Miami, FL] % (Bonus Disc)\01 Playing In The Band.flac</t>
  </si>
  <si>
    <t>Z:\Grateful Dead\# Dave's Picks #\34 - 1974-06-22 [Jai-Alai Fronton, Miami, FL] % (Bonus Disc)\02 China Cat Sunflower.flac</t>
  </si>
  <si>
    <t>Z:\Grateful Dead\# Dave's Picks #\34 - 1974-06-22 [Jai-Alai Fronton, Miami, FL] % (Bonus Disc)\03 I Know You Rider.flac</t>
  </si>
  <si>
    <t>Z:\Grateful Dead\# Dave's Picks #\34 - 1974-06-22 [Jai-Alai Fronton, Miami, FL] % (Bonus Disc)\04 Eyes Of The World.flac</t>
  </si>
  <si>
    <t>Z:\Grateful Dead\# Dave's Picks #\34 - 1974-06-22 [Jai-Alai Fronton, Miami, FL] % (Bonus Disc)\05 Wharf Rat.flac</t>
  </si>
  <si>
    <t>Z:\Grateful Dead\# Dave's Picks #\34 - 1974-06-22 [Jai-Alai Fronton, Miami, FL] % (Bonus Disc)\06 Sugar Magnolia.flac</t>
  </si>
  <si>
    <t>Z:\Grateful Dead\# Dave's Picks #\34 - 1974-06-23 [Jai-Alai Fronton, Miami, FL]\101 Ramble On Rose.flac</t>
  </si>
  <si>
    <t>Z:\Grateful Dead\# Dave's Picks #\34 - 1974-06-23 [Jai-Alai Fronton, Miami, FL]\102 BlackThroated Wind.flac</t>
  </si>
  <si>
    <t>BlackThroated Wind</t>
  </si>
  <si>
    <t>Z:\Grateful Dead\# Dave's Picks #\34 - 1974-06-23 [Jai-Alai Fronton, Miami, FL]\103 Mississippi HalfStep Uptown Toodeloo.flac</t>
  </si>
  <si>
    <t>Mississippi HalfStep Uptown Toodeloo</t>
  </si>
  <si>
    <t>Z:\Grateful Dead\# Dave's Picks #\34 - 1974-06-23 [Jai-Alai Fronton, Miami, FL]\104 Beat It On Down The Line.flac</t>
  </si>
  <si>
    <t>Z:\Grateful Dead\# Dave's Picks #\34 - 1974-06-23 [Jai-Alai Fronton, Miami, FL]\105 Row Jimmy.flac</t>
  </si>
  <si>
    <t>Z:\Grateful Dead\# Dave's Picks #\34 - 1974-06-23 [Jai-Alai Fronton, Miami, FL]\106 Jack Straw.flac</t>
  </si>
  <si>
    <t>Z:\Grateful Dead\# Dave's Picks #\34 - 1974-06-23 [Jai-Alai Fronton, Miami, FL]\107 Let It Rock.flac</t>
  </si>
  <si>
    <t>Let It Rock</t>
  </si>
  <si>
    <t>Z:\Grateful Dead\# Dave's Picks #\34 - 1974-06-23 [Jai-Alai Fronton, Miami, FL]\108 Cumberland Blues.flac</t>
  </si>
  <si>
    <t>Z:\Grateful Dead\# Dave's Picks #\34 - 1974-06-23 [Jai-Alai Fronton, Miami, FL]\109 El Paso.flac</t>
  </si>
  <si>
    <t>Z:\Grateful Dead\# Dave's Picks #\34 - 1974-06-23 [Jai-Alai Fronton, Miami, FL]\110 To Lay Me Down.flac</t>
  </si>
  <si>
    <t>Z:\Grateful Dead\# Dave's Picks #\34 - 1974-06-23 [Jai-Alai Fronton, Miami, FL]\201 Weather Report Suite.flac</t>
  </si>
  <si>
    <t>Z:\Grateful Dead\# Dave's Picks #\34 - 1974-06-23 [Jai-Alai Fronton, Miami, FL]\202 China Doll.flac</t>
  </si>
  <si>
    <t>Z:\Grateful Dead\# Dave's Picks #\34 - 1974-06-23 [Jai-Alai Fronton, Miami, FL]\203 Seastones.flac</t>
  </si>
  <si>
    <t>Z:\Grateful Dead\# Dave's Picks #\34 - 1974-06-23 [Jai-Alai Fronton, Miami, FL]\204 Jam.flac</t>
  </si>
  <si>
    <t>Z:\Grateful Dead\# Dave's Picks #\34 - 1974-06-23 [Jai-Alai Fronton, Miami, FL]\205 Ship Of Fools.flac</t>
  </si>
  <si>
    <t>Z:\Grateful Dead\# Dave's Picks #\34 - 1974-06-23 [Jai-Alai Fronton, Miami, FL]\206 Big River.flac</t>
  </si>
  <si>
    <t>Z:\Grateful Dead\# Dave's Picks #\34 - 1974-06-23 [Jai-Alai Fronton, Miami, FL]\207 Black Peter.flac</t>
  </si>
  <si>
    <t>Z:\Grateful Dead\# Dave's Picks #\34 - 1974-06-23 [Jai-Alai Fronton, Miami, FL]\208 Around And Around.flac</t>
  </si>
  <si>
    <t>Z:\Grateful Dead\# Dave's Picks #\34 - 1974-06-23 [Jai-Alai Fronton, Miami, FL]\209 Dark Star Jam.flac</t>
  </si>
  <si>
    <t>Dark Star Jam</t>
  </si>
  <si>
    <t>Z:\Grateful Dead\# Dave's Picks #\34 - 1974-06-23 [Jai-Alai Fronton, Miami, FL]\210 Spanish Jam.flac</t>
  </si>
  <si>
    <t>Z:\Grateful Dead\# Dave's Picks #\34 - 1974-06-23 [Jai-Alai Fronton, Miami, FL]\211 U.S. Blues.flac</t>
  </si>
  <si>
    <t>Z:\Grateful Dead\# Dave's Picks #\34 - 1974-06-23 [Jai-Alai Fronton, Miami, FL]\212 Uncle John's Band.flac</t>
  </si>
  <si>
    <t>Z:\Grateful Dead\# Dave's Picks #\34 - 1974-06-23 [Jai-Alai Fronton, Miami, FL]\213 One More Saturday Night.flac</t>
  </si>
  <si>
    <t>Z:\Grateful Dead\# Dave's Picks #\34 - 1974-06-23 [Jai-Alai Fronton, Miami, FL]\214 Casey Jones.flac</t>
  </si>
  <si>
    <t>Z:\Grateful Dead\# Dave's Picks #\35 - 1984-04-20 [Civic Center, Philadelphia, PA]\101 Feel Like A Stranger.flac</t>
  </si>
  <si>
    <t>Z:\Grateful Dead\# Dave's Picks #\35 - 1984-04-20 [Civic Center, Philadelphia, PA]\102 Cold Rain and Snow.flac</t>
  </si>
  <si>
    <t>Z:\Grateful Dead\# Dave's Picks #\35 - 1984-04-20 [Civic Center, Philadelphia, PA]\103 Beat It On Down the Line.flac</t>
  </si>
  <si>
    <t>Z:\Grateful Dead\# Dave's Picks #\35 - 1984-04-20 [Civic Center, Philadelphia, PA]\104 Cumberland Blues.flac</t>
  </si>
  <si>
    <t>Z:\Grateful Dead\# Dave's Picks #\35 - 1984-04-20 [Civic Center, Philadelphia, PA]\105 Little Red Rooster.flac</t>
  </si>
  <si>
    <t>Z:\Grateful Dead\# Dave's Picks #\35 - 1984-04-20 [Civic Center, Philadelphia, PA]\106 Brown-Eyed Women.flac</t>
  </si>
  <si>
    <t>Z:\Grateful Dead\# Dave's Picks #\35 - 1984-04-20 [Civic Center, Philadelphia, PA]\107 My Brother Esau.flac</t>
  </si>
  <si>
    <t>My Brother Esau</t>
  </si>
  <si>
    <t>Z:\Grateful Dead\# Dave's Picks #\35 - 1984-04-20 [Civic Center, Philadelphia, PA]\108 It Must Have Been the Roses.flac</t>
  </si>
  <si>
    <t>Z:\Grateful Dead\# Dave's Picks #\35 - 1984-04-20 [Civic Center, Philadelphia, PA]\109 Let It Grow.flac</t>
  </si>
  <si>
    <t>Z:\Grateful Dead\# Dave's Picks #\35 - 1984-04-20 [Civic Center, Philadelphia, PA]\201 Scarlet Begonias.flac</t>
  </si>
  <si>
    <t>Z:\Grateful Dead\# Dave's Picks #\35 - 1984-04-20 [Civic Center, Philadelphia, PA]\202 Fire on the Mountain.flac</t>
  </si>
  <si>
    <t>Z:\Grateful Dead\# Dave's Picks #\35 - 1984-04-20 [Civic Center, Philadelphia, PA]\203 Samson and Delilah.flac</t>
  </si>
  <si>
    <t>Z:\Grateful Dead\# Dave's Picks #\35 - 1984-04-20 [Civic Center, Philadelphia, PA]\204 Drums.flac</t>
  </si>
  <si>
    <t>Z:\Grateful Dead\# Dave's Picks #\35 - 1984-04-20 [Civic Center, Philadelphia, PA]\205 Space.flac</t>
  </si>
  <si>
    <t>Z:\Grateful Dead\# Dave's Picks #\35 - 1984-04-20 [Civic Center, Philadelphia, PA]\206 The Wheel.flac</t>
  </si>
  <si>
    <t>Z:\Grateful Dead\# Dave's Picks #\35 - 1984-04-20 [Civic Center, Philadelphia, PA]\207 Wharf Rat.flac</t>
  </si>
  <si>
    <t>Z:\Grateful Dead\# Dave's Picks #\35 - 1984-04-20 [Civic Center, Philadelphia, PA]\208 Sugar Magnolia.flac</t>
  </si>
  <si>
    <t>Z:\Grateful Dead\# Dave's Picks #\35 - 1984-04-20 [Civic Center, Philadelphia, PA]\209 Space.flac</t>
  </si>
  <si>
    <t>Z:\Grateful Dead\# Dave's Picks #\35 - 1984-04-20 [Civic Center, Philadelphia, PA]\210 I Need a Miracle.flac</t>
  </si>
  <si>
    <t>Z:\Grateful Dead\# Dave's Picks #\35 - 1984-04-20 [Civic Center, Philadelphia, PA]\211 Morning Dew.flac</t>
  </si>
  <si>
    <t>Z:\Grateful Dead\# Dave's Picks #\35 - 1984-04-20 [Civic Center, Philadelphia, PA]\212 Around and Around.flac</t>
  </si>
  <si>
    <t>Z:\Grateful Dead\# Dave's Picks #\35 - 1984-04-20 [Civic Center, Philadelphia, PA]\213 Johnny B. Goode.flac</t>
  </si>
  <si>
    <t>Z:\Grateful Dead\# Dave's Picks #\35 - 1984-04-20 [Civic Center, Philadelphia, PA]\214 Keep Your Day Job.flac</t>
  </si>
  <si>
    <t>Z:\Grateful Dead\# Dave's Picks #\36 - 1987-03-26 [Hartford Civic Center, Hartford, CT]\101 In The Midnight Hour.flac</t>
  </si>
  <si>
    <t>Z:\Grateful Dead\# Dave's Picks #\36 - 1987-03-26 [Hartford Civic Center, Hartford, CT]\102 Cold Rain And Snow.flac</t>
  </si>
  <si>
    <t>Z:\Grateful Dead\# Dave's Picks #\36 - 1987-03-26 [Hartford Civic Center, Hartford, CT]\103 CC Rider.flac</t>
  </si>
  <si>
    <t>Cc Rider</t>
  </si>
  <si>
    <t>Z:\Grateful Dead\# Dave's Picks #\36 - 1987-03-26 [Hartford Civic Center, Hartford, CT]\104 Row Jimmy.flac</t>
  </si>
  <si>
    <t>Z:\Grateful Dead\# Dave's Picks #\36 - 1987-03-26 [Hartford Civic Center, Hartford, CT]\105 My Brother Esau.flac</t>
  </si>
  <si>
    <t>Z:\Grateful Dead\# Dave's Picks #\36 - 1987-03-26 [Hartford Civic Center, Hartford, CT]\106 When Push Comes To Shove.flac</t>
  </si>
  <si>
    <t>When Push Comes To Shove</t>
  </si>
  <si>
    <t>Z:\Grateful Dead\# Dave's Picks #\36 - 1987-03-26 [Hartford Civic Center, Hartford, CT]\107 Desolation Row.flac</t>
  </si>
  <si>
    <t>Desolation Row</t>
  </si>
  <si>
    <t>Z:\Grateful Dead\# Dave's Picks #\36 - 1987-03-26 [Hartford Civic Center, Hartford, CT]\108 Bird Song.flac</t>
  </si>
  <si>
    <t>Z:\Grateful Dead\# Dave's Picks #\36 - 1987-03-26 [Hartford Civic Center, Hartford, CT]\109 Promised Land.flac</t>
  </si>
  <si>
    <t>Z:\Grateful Dead\# Dave's Picks #\36 - 1987-03-26 [Hartford Civic Center, Hartford, CT]\201 China Cat Sunflower.flac</t>
  </si>
  <si>
    <t>Z:\Grateful Dead\# Dave's Picks #\36 - 1987-03-26 [Hartford Civic Center, Hartford, CT]\202 I Know You Rider.flac</t>
  </si>
  <si>
    <t>Z:\Grateful Dead\# Dave's Picks #\36 - 1987-03-26 [Hartford Civic Center, Hartford, CT]\203 Looks Like Rain.flac</t>
  </si>
  <si>
    <t>Z:\Grateful Dead\# Dave's Picks #\36 - 1987-03-26 [Hartford Civic Center, Hartford, CT]\204 He's Gone.flac</t>
  </si>
  <si>
    <t>Z:\Grateful Dead\# Dave's Picks #\36 - 1987-03-26 [Hartford Civic Center, Hartford, CT]\205 Drums.flac</t>
  </si>
  <si>
    <t>Z:\Grateful Dead\# Dave's Picks #\36 - 1987-03-26 [Hartford Civic Center, Hartford, CT]\206 Space.flac</t>
  </si>
  <si>
    <t>Z:\Grateful Dead\# Dave's Picks #\36 - 1987-03-26 [Hartford Civic Center, Hartford, CT]\207 I Need A Miracle.flac</t>
  </si>
  <si>
    <t>I Need A Miracle</t>
  </si>
  <si>
    <t>Z:\Grateful Dead\# Dave's Picks #\36 - 1987-03-26 [Hartford Civic Center, Hartford, CT]\208 Black Peter.flac</t>
  </si>
  <si>
    <t>Z:\Grateful Dead\# Dave's Picks #\36 - 1987-03-26 [Hartford Civic Center, Hartford, CT]\209 Around And Around.flac</t>
  </si>
  <si>
    <t>Z:\Grateful Dead\# Dave's Picks #\36 - 1987-03-26 [Hartford Civic Center, Hartford, CT]\210 Good Lovin'.flac</t>
  </si>
  <si>
    <t>Z:\Grateful Dead\# Dave's Picks #\36 - 1987-03-26 [Hartford Civic Center, Hartford, CT]\211 The Mighty Quinn (Quinn The Eskimo).flac</t>
  </si>
  <si>
    <t>The Mighty Quinn (Quinn The Eskimo)</t>
  </si>
  <si>
    <t>Z:\Grateful Dead\# Dave's Picks #\36 - 1987-03-27 [Hartford Civic Center, Hartford, CT]\101 Alabama Getaway.flac</t>
  </si>
  <si>
    <t>Z:\Grateful Dead\# Dave's Picks #\36 - 1987-03-27 [Hartford Civic Center, Hartford, CT]\102 Greatest Story Ever Told.flac</t>
  </si>
  <si>
    <t>Z:\Grateful Dead\# Dave's Picks #\36 - 1987-03-27 [Hartford Civic Center, Hartford, CT]\103 West LA Fadeaway.flac</t>
  </si>
  <si>
    <t>West La Fadeaway</t>
  </si>
  <si>
    <t>Z:\Grateful Dead\# Dave's Picks #\36 - 1987-03-27 [Hartford Civic Center, Hartford, CT]\104 Little Red Rooster.flac</t>
  </si>
  <si>
    <t>Z:\Grateful Dead\# Dave's Picks #\36 - 1987-03-27 [Hartford Civic Center, Hartford, CT]\105 Brown-Eyed Women.flac</t>
  </si>
  <si>
    <t>Z:\Grateful Dead\# Dave's Picks #\36 - 1987-03-27 [Hartford Civic Center, Hartford, CT]\106 Beat It On Down The Line.flac</t>
  </si>
  <si>
    <t>Z:\Grateful Dead\# Dave's Picks #\36 - 1987-03-27 [Hartford Civic Center, Hartford, CT]\107 Tennessee Jed.flac</t>
  </si>
  <si>
    <t>Z:\Grateful Dead\# Dave's Picks #\36 - 1987-03-27 [Hartford Civic Center, Hartford, CT]\108 The Music Never Stopped.flac</t>
  </si>
  <si>
    <t>Z:\Grateful Dead\# Dave's Picks #\36 - 1987-03-27 [Hartford Civic Center, Hartford, CT]\201 Touch Of Grey.flac</t>
  </si>
  <si>
    <t>Touch Of Grey</t>
  </si>
  <si>
    <t>Z:\Grateful Dead\# Dave's Picks #\36 - 1987-03-27 [Hartford Civic Center, Hartford, CT]\202 Samson And Delilah.flac</t>
  </si>
  <si>
    <t>Z:\Grateful Dead\# Dave's Picks #\36 - 1987-03-27 [Hartford Civic Center, Hartford, CT]\203 Cumberland Blues.flac</t>
  </si>
  <si>
    <t>Z:\Grateful Dead\# Dave's Picks #\36 - 1987-03-27 [Hartford Civic Center, Hartford, CT]\204 Estimated Prophet.flac</t>
  </si>
  <si>
    <t>Z:\Grateful Dead\# Dave's Picks #\36 - 1987-03-27 [Hartford Civic Center, Hartford, CT]\205 Eyes Of The World.flac</t>
  </si>
  <si>
    <t>Z:\Grateful Dead\# Dave's Picks #\36 - 1987-03-27 [Hartford Civic Center, Hartford, CT]\206 Drums.flac</t>
  </si>
  <si>
    <t>Z:\Grateful Dead\# Dave's Picks #\36 - 1987-03-27 [Hartford Civic Center, Hartford, CT]\207 Space.flac</t>
  </si>
  <si>
    <t>Z:\Grateful Dead\# Dave's Picks #\36 - 1987-03-27 [Hartford Civic Center, Hartford, CT]\208 Uncle John's Band.flac</t>
  </si>
  <si>
    <t>Z:\Grateful Dead\# Dave's Picks #\36 - 1987-03-27 [Hartford Civic Center, Hartford, CT]\209 Morning Dew.flac</t>
  </si>
  <si>
    <t>Z:\Grateful Dead\# Dave's Picks #\36 - 1987-03-27 [Hartford Civic Center, Hartford, CT]\210 Johnny B Goode.flac</t>
  </si>
  <si>
    <t>Z:\Grateful Dead\# Dave's Picks #\37 - 1978-04-15 [William &amp; Mary Hall, Williamsburg, VA] (Betty)\101 Mississippi Half-Step Uptown Toodeloo.flac</t>
  </si>
  <si>
    <t>Z:\Grateful Dead\# Dave's Picks #\37 - 1978-04-15 [William &amp; Mary Hall, Williamsburg, VA] (Betty)\102 Passenger.flac</t>
  </si>
  <si>
    <t>Z:\Grateful Dead\# Dave's Picks #\37 - 1978-04-15 [William &amp; Mary Hall, Williamsburg, VA] (Betty)\103 Friend of the Devil.flac</t>
  </si>
  <si>
    <t>Z:\Grateful Dead\# Dave's Picks #\37 - 1978-04-15 [William &amp; Mary Hall, Williamsburg, VA] (Betty)\104 El Paso.flac</t>
  </si>
  <si>
    <t>Z:\Grateful Dead\# Dave's Picks #\37 - 1978-04-15 [William &amp; Mary Hall, Williamsburg, VA] (Betty)\105 Brown-Eyed Women.flac</t>
  </si>
  <si>
    <t>Z:\Grateful Dead\# Dave's Picks #\37 - 1978-04-15 [William &amp; Mary Hall, Williamsburg, VA] (Betty)\106 Let It Grow.flac</t>
  </si>
  <si>
    <t>Z:\Grateful Dead\# Dave's Picks #\37 - 1978-04-15 [William &amp; Mary Hall, Williamsburg, VA] (Betty)\107 Deal.flac</t>
  </si>
  <si>
    <t>Z:\Grateful Dead\# Dave's Picks #\37 - 1978-04-15 [William &amp; Mary Hall, Williamsburg, VA] (Betty)\201 Bertha.flac</t>
  </si>
  <si>
    <t>Bertha&gt;</t>
  </si>
  <si>
    <t>Z:\Grateful Dead\# Dave's Picks #\37 - 1978-04-15 [William &amp; Mary Hall, Williamsburg, VA] (Betty)\202 Good Lovin'.flac</t>
  </si>
  <si>
    <t>Z:\Grateful Dead\# Dave's Picks #\37 - 1978-04-15 [William &amp; Mary Hall, Williamsburg, VA] (Betty)\203 Candyman.flac</t>
  </si>
  <si>
    <t>Z:\Grateful Dead\# Dave's Picks #\37 - 1978-04-15 [William &amp; Mary Hall, Williamsburg, VA] (Betty)\204 Sunrise.flac</t>
  </si>
  <si>
    <t>Sunrise &gt;</t>
  </si>
  <si>
    <t>Z:\Grateful Dead\# Dave's Picks #\37 - 1978-04-15 [William &amp; Mary Hall, Williamsburg, VA] (Betty)\205 Playing in the Band.flac</t>
  </si>
  <si>
    <t>Z:\Grateful Dead\# Dave's Picks #\37 - 1978-04-15 [William &amp; Mary Hall, Williamsburg, VA] (Betty)\206 Rhythm Devils.flac</t>
  </si>
  <si>
    <t>Rhythm Devils &gt;</t>
  </si>
  <si>
    <t>Z:\Grateful Dead\# Dave's Picks #\37 - 1978-04-15 [William &amp; Mary Hall, Williamsburg, VA] (Betty)\207 Not Fade Away.flac</t>
  </si>
  <si>
    <t>Z:\Grateful Dead\# Dave's Picks #\37 - 1978-04-15 [William &amp; Mary Hall, Williamsburg, VA] (Betty)\208 Morning Dew.flac</t>
  </si>
  <si>
    <t>Z:\Grateful Dead\# Dave's Picks #\37 - 1978-04-15 [William &amp; Mary Hall, Williamsburg, VA] (Betty)\209 Around and Around.flac</t>
  </si>
  <si>
    <t>Z:\Grateful Dead\# Dave's Picks #\37 - 1978-04-15 [William &amp; Mary Hall, Williamsburg, VA] (Betty)\210 One More Saturday Night.flac</t>
  </si>
  <si>
    <t>Z:\Grateful Dead\# Dave's Picks #\37 - 1978-04-18 [Civic Arena, Pittsburgh, PA] %\102 Sugaree.flac</t>
  </si>
  <si>
    <t>Sugaree *</t>
  </si>
  <si>
    <t>Z:\Grateful Dead\# Dave's Picks #\37 - 1978-04-18 [Civic Arena, Pittsburgh, PA] %\109 Tennessee Jed.flac</t>
  </si>
  <si>
    <t>Tennessee Jed *</t>
  </si>
  <si>
    <t>Z:\Grateful Dead\# Dave's Picks #\37 - 1978-04-18 [Civic Arena, Pittsburgh, PA] %\110 Lazy Lightning.flac</t>
  </si>
  <si>
    <t>Lazy Lightning * &gt;</t>
  </si>
  <si>
    <t>Z:\Grateful Dead\# Dave's Picks #\37 - 1978-04-18 [Civic Arena, Pittsburgh, PA] %\111 Supplication.flac</t>
  </si>
  <si>
    <t>Supplication *</t>
  </si>
  <si>
    <t>Z:\Grateful Dead\# Dave's Picks #\37 - 1978-04-18 [Civic Arena, Pittsburgh, PA] %\201 Scarlet Begonias.flac</t>
  </si>
  <si>
    <t>Scarlet Begonias * &gt;</t>
  </si>
  <si>
    <t>Z:\Grateful Dead\# Dave's Picks #\37 - 1978-04-18 [Civic Arena, Pittsburgh, PA] %\202 Dancing in the Street.flac</t>
  </si>
  <si>
    <t>Dancing in the Street * &gt;</t>
  </si>
  <si>
    <t>Z:\Grateful Dead\# Dave's Picks #\37 - 1978-04-18 [Civic Arena, Pittsburgh, PA] %\203 Rhythm Devils.flac</t>
  </si>
  <si>
    <t>Rhythm Devils * &gt;</t>
  </si>
  <si>
    <t>Z:\Grateful Dead\# Dave's Picks #\37 - 1978-04-18 [Civic Arena, Pittsburgh, PA] %\204 Samson and Delilah.flac</t>
  </si>
  <si>
    <t>Samson and Delilah *</t>
  </si>
  <si>
    <t>Z:\Grateful Dead\# Dave's Picks #\37 - 1978-04-18 [Civic Arena, Pittsburgh, PA] %\205 Terrapin Station.flac</t>
  </si>
  <si>
    <t>Terrapin Station * &gt;</t>
  </si>
  <si>
    <t>Z:\Grateful Dead\# Dave's Picks #\37 - 1978-04-18 [Civic Arena, Pittsburgh, PA] %\206 Around and Around.flac</t>
  </si>
  <si>
    <t>Around and Around *</t>
  </si>
  <si>
    <t>Z:\Grateful Dead\# Dave's Picks #\38 - 1973-09-07 [Nassau Memorial Coliseum, Uniondale, NY] %I %II (Dave's Picks Bonus disc 2021)\01 - Bird Song (1st Set).flac</t>
  </si>
  <si>
    <t>Bird Song (1st Set)</t>
  </si>
  <si>
    <t>Z:\Grateful Dead\# Dave's Picks #\38 - 1973-09-07 [Nassau Memorial Coliseum, Uniondale, NY] %I %II (Dave's Picks Bonus disc 2021)\02 - Playing in the Band (1st Set).flac</t>
  </si>
  <si>
    <t>Playing in the Band (1st Set)</t>
  </si>
  <si>
    <t>Z:\Grateful Dead\# Dave's Picks #\38 - 1973-09-07 [Nassau Memorial Coliseum, Uniondale, NY] %I %II (Dave's Picks Bonus disc 2021)\03 - Here Comes Sunshine.flac</t>
  </si>
  <si>
    <t>Z:\Grateful Dead\# Dave's Picks #\38 - 1973-09-07 [Nassau Memorial Coliseum, Uniondale, NY] %I %II (Dave's Picks Bonus disc 2021)\04 - Let It Grow.flac</t>
  </si>
  <si>
    <t>Z:\Grateful Dead\# Dave's Picks #\38 - 1973-09-07 [Nassau Memorial Coliseum, Uniondale, NY] %I %II (Dave's Picks Bonus disc 2021)\05 - Stella Blue.flac</t>
  </si>
  <si>
    <t>Z:\Grateful Dead\# Dave's Picks #\38 - 1973-09-07 [Nassau Memorial Coliseum, Uniondale, NY] %I %II (Dave's Picks Bonus disc 2021)\06 - Truckin'.flac</t>
  </si>
  <si>
    <t>Z:\Grateful Dead\# Dave's Picks #\38 - 1973-09-07 [Nassau Memorial Coliseum, Uniondale, NY] %I %II (Dave's Picks Bonus disc 2021)\07 - Drums.flac</t>
  </si>
  <si>
    <t>Z:\Grateful Dead\# Dave's Picks #\38 - 1973-09-07 [Nassau Memorial Coliseum, Uniondale, NY] %I %II (Dave's Picks Bonus disc 2021)\08 - The Other One Jam.flac</t>
  </si>
  <si>
    <t>The Other One Jam &gt;</t>
  </si>
  <si>
    <t>Z:\Grateful Dead\# Dave's Picks #\38 - 1973-09-07 [Nassau Memorial Coliseum, Uniondale, NY] %I %II (Dave's Picks Bonus disc 2021)\09 - Eyes of the World.flac</t>
  </si>
  <si>
    <t>Z:\Grateful Dead\# Dave's Picks #\38 - 1973-09-07 [Nassau Memorial Coliseum, Uniondale, NY] %I %II (Dave's Picks Bonus disc 2021)\10 - Sugar Magnolia.flac</t>
  </si>
  <si>
    <t>Z:\Grateful Dead\# Dave's Picks #\38 - 1973-09-08 [Nassau Memorial Coliseum, Uniondale NY]\101 - Bertha.flac</t>
  </si>
  <si>
    <t>Z:\Grateful Dead\# Dave's Picks #\38 - 1973-09-08 [Nassau Memorial Coliseum, Uniondale NY]\102 - Me &amp; My Uncle.flac</t>
  </si>
  <si>
    <t>Z:\Grateful Dead\# Dave's Picks #\38 - 1973-09-08 [Nassau Memorial Coliseum, Uniondale NY]\103 - Sugaree.flac</t>
  </si>
  <si>
    <t>Z:\Grateful Dead\# Dave's Picks #\38 - 1973-09-08 [Nassau Memorial Coliseum, Uniondale NY]\104 - Beat It On Down the Line.flac</t>
  </si>
  <si>
    <t>Z:\Grateful Dead\# Dave's Picks #\38 - 1973-09-08 [Nassau Memorial Coliseum, Uniondale NY]\105 - Tennessee Jed.flac</t>
  </si>
  <si>
    <t>Z:\Grateful Dead\# Dave's Picks #\38 - 1973-09-08 [Nassau Memorial Coliseum, Uniondale NY]\106 - Looks Like Rain.flac</t>
  </si>
  <si>
    <t>Z:\Grateful Dead\# Dave's Picks #\38 - 1973-09-08 [Nassau Memorial Coliseum, Uniondale NY]\107 - Brown-Eyed Women.flac</t>
  </si>
  <si>
    <t>Z:\Grateful Dead\# Dave's Picks #\38 - 1973-09-08 [Nassau Memorial Coliseum, Uniondale NY]\108 - Jack Straw.flac</t>
  </si>
  <si>
    <t>Z:\Grateful Dead\# Dave's Picks #\38 - 1973-09-08 [Nassau Memorial Coliseum, Uniondale NY]\109 - Row Jimmy.flac</t>
  </si>
  <si>
    <t>Z:\Grateful Dead\# Dave's Picks #\38 - 1973-09-08 [Nassau Memorial Coliseum, Uniondale NY]\110 - Weather Report Suite.flac</t>
  </si>
  <si>
    <t>Z:\Grateful Dead\# Dave's Picks #\38 - 1973-09-08 [Nassau Memorial Coliseum, Uniondale NY]\201 - Eyes of the World.flac</t>
  </si>
  <si>
    <t>Eyes of the World&gt;</t>
  </si>
  <si>
    <t>Z:\Grateful Dead\# Dave's Picks #\38 - 1973-09-08 [Nassau Memorial Coliseum, Uniondale NY]\202 - China Doll.flac</t>
  </si>
  <si>
    <t>Z:\Grateful Dead\# Dave's Picks #\38 - 1973-09-08 [Nassau Memorial Coliseum, Uniondale NY]\203 - Greatest Story Ever Told.flac</t>
  </si>
  <si>
    <t>Z:\Grateful Dead\# Dave's Picks #\38 - 1973-09-08 [Nassau Memorial Coliseum, Uniondale NY]\204 - Ramble On Rose.flac</t>
  </si>
  <si>
    <t>Z:\Grateful Dead\# Dave's Picks #\38 - 1973-09-08 [Nassau Memorial Coliseum, Uniondale NY]\205 - Big River.flac</t>
  </si>
  <si>
    <t>Z:\Grateful Dead\# Dave's Picks #\38 - 1973-09-08 [Nassau Memorial Coliseum, Uniondale NY]\206 - Let Me Sing Your Blues Away.flac</t>
  </si>
  <si>
    <t>Let Me Sing Your Blues Away</t>
  </si>
  <si>
    <t>Z:\Grateful Dead\# Dave's Picks #\38 - 1973-09-08 [Nassau Memorial Coliseum, Uniondale NY]\207 - China Cat Sunflower.flac</t>
  </si>
  <si>
    <t>China Cat Sunflower&gt;</t>
  </si>
  <si>
    <t>Z:\Grateful Dead\# Dave's Picks #\38 - 1973-09-08 [Nassau Memorial Coliseum, Uniondale NY]\208 - I Know You Rider.flac</t>
  </si>
  <si>
    <t>Z:\Grateful Dead\# Dave's Picks #\38 - 1973-09-08 [Nassau Memorial Coliseum, Uniondale NY]\209 - El Paso.flac</t>
  </si>
  <si>
    <t>Z:\Grateful Dead\# Dave's Picks #\38 - 1973-09-08 [Nassau Memorial Coliseum, Uniondale NY]\301 - He's Gone.flac</t>
  </si>
  <si>
    <t>Z:\Grateful Dead\# Dave's Picks #\38 - 1973-09-08 [Nassau Memorial Coliseum, Uniondale NY]\302 - Truckin'.flac</t>
  </si>
  <si>
    <t>Z:\Grateful Dead\# Dave's Picks #\38 - 1973-09-08 [Nassau Memorial Coliseum, Uniondale NY]\303 - Not Fade Away.flac</t>
  </si>
  <si>
    <t>Z:\Grateful Dead\# Dave's Picks #\38 - 1973-09-08 [Nassau Memorial Coliseum, Uniondale NY]\304 - Goin' Down the Road Feeling Bad.flac</t>
  </si>
  <si>
    <t>Goin' Down the Road Feeling Bad &gt;</t>
  </si>
  <si>
    <t>Z:\Grateful Dead\# Dave's Picks #\38 - 1973-09-08 [Nassau Memorial Coliseum, Uniondale NY]\305 - Not Fade Away.flac</t>
  </si>
  <si>
    <t>Z:\Grateful Dead\# Dave's Picks #\38 - 1973-09-08 [Nassau Memorial Coliseum, Uniondale NY]\306 - Stella Blue.flac</t>
  </si>
  <si>
    <t>Stella Blue &gt;</t>
  </si>
  <si>
    <t>Z:\Grateful Dead\# Dave's Picks #\38 - 1973-09-08 [Nassau Memorial Coliseum, Uniondale NY]\307 - One More Saturday Night.flac</t>
  </si>
  <si>
    <t>Z:\Grateful Dead\# Dave's Picks #\39 - 1983-04-26 [The Spectrum, Philadelphia, PA]\101 Shakedown Street.flac</t>
  </si>
  <si>
    <t>Z:\Grateful Dead\# Dave's Picks #\39 - 1983-04-26 [The Spectrum, Philadelphia, PA]\102 New Minglewood Blues.flac</t>
  </si>
  <si>
    <t>Z:\Grateful Dead\# Dave's Picks #\39 - 1983-04-26 [The Spectrum, Philadelphia, PA]\103 They Love Each Other.flac</t>
  </si>
  <si>
    <t>Z:\Grateful Dead\# Dave's Picks #\39 - 1983-04-26 [The Spectrum, Philadelphia, PA]\104 Me And My Uncle.flac</t>
  </si>
  <si>
    <t>Z:\Grateful Dead\# Dave's Picks #\39 - 1983-04-26 [The Spectrum, Philadelphia, PA]\105 Mexicali Blues.flac</t>
  </si>
  <si>
    <t>Z:\Grateful Dead\# Dave's Picks #\39 - 1983-04-26 [The Spectrum, Philadelphia, PA]\106 Maybe You Know.flac</t>
  </si>
  <si>
    <t>Maybe You Know</t>
  </si>
  <si>
    <t>Z:\Grateful Dead\# Dave's Picks #\39 - 1983-04-26 [The Spectrum, Philadelphia, PA]\107 West L.A. Fadeaway.flac</t>
  </si>
  <si>
    <t>West L.A. Fadeaway</t>
  </si>
  <si>
    <t>Z:\Grateful Dead\# Dave's Picks #\39 - 1983-04-26 [The Spectrum, Philadelphia, PA]\108 My Brother Esau.flac</t>
  </si>
  <si>
    <t>Z:\Grateful Dead\# Dave's Picks #\39 - 1983-04-26 [The Spectrum, Philadelphia, PA]\109 It Must Have Been The Roses.flac</t>
  </si>
  <si>
    <t>Z:\Grateful Dead\# Dave's Picks #\39 - 1983-04-26 [The Spectrum, Philadelphia, PA]\110 Let It Grow.flac</t>
  </si>
  <si>
    <t>Z:\Grateful Dead\# Dave's Picks #\39 - 1983-04-26 [The Spectrum, Philadelphia, PA]\201 Help On The Way.flac</t>
  </si>
  <si>
    <t>Help On the Way &gt;</t>
  </si>
  <si>
    <t>Z:\Grateful Dead\# Dave's Picks #\39 - 1983-04-26 [The Spectrum, Philadelphia, PA]\202 Slipknot!.flac</t>
  </si>
  <si>
    <t>Z:\Grateful Dead\# Dave's Picks #\39 - 1983-04-26 [The Spectrum, Philadelphia, PA]\203 Franklin's Tower.flac</t>
  </si>
  <si>
    <t>Z:\Grateful Dead\# Dave's Picks #\39 - 1983-04-26 [The Spectrum, Philadelphia, PA]\204 Man Smart, Woman Smarter.flac</t>
  </si>
  <si>
    <t>Z:\Grateful Dead\# Dave's Picks #\39 - 1983-04-26 [The Spectrum, Philadelphia, PA]\205 Drums.flac</t>
  </si>
  <si>
    <t>Z:\Grateful Dead\# Dave's Picks #\39 - 1983-04-26 [The Spectrum, Philadelphia, PA]\206 Space.flac</t>
  </si>
  <si>
    <t>Z:\Grateful Dead\# Dave's Picks #\39 - 1983-04-26 [The Spectrum, Philadelphia, PA]\207 Truckin'.flac</t>
  </si>
  <si>
    <t>Z:\Grateful Dead\# Dave's Picks #\39 - 1983-04-26 [The Spectrum, Philadelphia, PA]\208 Morning Dew.flac</t>
  </si>
  <si>
    <t>Z:\Grateful Dead\# Dave's Picks #\39 - 1983-04-26 [The Spectrum, Philadelphia, PA]\209 Throwing Stones.flac</t>
  </si>
  <si>
    <t>Z:\Grateful Dead\# Dave's Picks #\39 - 1983-04-26 [The Spectrum, Philadelphia, PA]\210 Not Fade Away.flac</t>
  </si>
  <si>
    <t>Z:\Grateful Dead\# Dave's Picks #\39 - 1983-04-26 [The Spectrum, Philadelphia, PA]\211 U.S. Blues.flac</t>
  </si>
  <si>
    <t>Z:\Grateful Dead\# Dave's Picks #\39 - 1983-04-26 [The Spectrum, Philadelphia, PA]\212 Space.flac</t>
  </si>
  <si>
    <t>Z:\Grateful Dead\# Dave's Picks #\39 - 1983-04-26 [The Spectrum, Philadelphia, PA]\213 The Wheel.flac</t>
  </si>
  <si>
    <t>Z:\Grateful Dead\# Dave's Picks #\39 - 1983-04-26 [The Spectrum, Philadelphia, PA]\214 Playing In The Band.flac</t>
  </si>
  <si>
    <t>Z:\Grateful Dead\# Dave's Picks #\39 - 1983-04-26 [The Spectrum, Philadelphia, PA]\215 Goin' Down The Road Feelin' Bad.flac</t>
  </si>
  <si>
    <t>Goin' Down The Road Feelin' Bad</t>
  </si>
  <si>
    <t>Z:\Grateful Dead\# Dave's Picks #\39 - 1983-04-26 [The Spectrum, Philadelphia, PA]\216 Sugar Magnolia.flac</t>
  </si>
  <si>
    <t>Z:\Grateful Dead\# Dave's Picks #\39 - 1983-04-26 [The Spectrum, Philadelphia, PA]\217 (I Can't Get No) Satisfaction.flac</t>
  </si>
  <si>
    <t>Z:\Grateful Dead\# Dave's Picks #\39 - 1983-04-26 [The Spectrum, Philadelphia, PA]\218 He's Gone.flac</t>
  </si>
  <si>
    <t>Z:\Grateful Dead\# Dave's Picks #\39 - 1983-04-26 [The Spectrum, Philadelphia, PA]\219 Little Star.flac</t>
  </si>
  <si>
    <t>Little Star</t>
  </si>
  <si>
    <t>Z:\Grateful Dead\# Dave's Picks #\40 - 1990-07-18 [Deer Creek Music Center, Noblesville, IN]\01 Help On The Way.flac</t>
  </si>
  <si>
    <t>Z:\Grateful Dead\# Dave's Picks #\40 - 1990-07-18 [Deer Creek Music Center, Noblesville, IN]\02 Slipknot!.flac</t>
  </si>
  <si>
    <t>Z:\Grateful Dead\# Dave's Picks #\40 - 1990-07-18 [Deer Creek Music Center, Noblesville, IN]\03 Franklin's Tower.flac</t>
  </si>
  <si>
    <t>Z:\Grateful Dead\# Dave's Picks #\40 - 1990-07-18 [Deer Creek Music Center, Noblesville, IN]\04 New Minglewood Blues.flac</t>
  </si>
  <si>
    <t>Z:\Grateful Dead\# Dave's Picks #\40 - 1990-07-18 [Deer Creek Music Center, Noblesville, IN]\05 Easy To Love You.flac</t>
  </si>
  <si>
    <t>Easy To Love You</t>
  </si>
  <si>
    <t>Z:\Grateful Dead\# Dave's Picks #\40 - 1990-07-18 [Deer Creek Music Center, Noblesville, IN]\06 Peggy-O.flac</t>
  </si>
  <si>
    <t>Z:\Grateful Dead\# Dave's Picks #\40 - 1990-07-18 [Deer Creek Music Center, Noblesville, IN]\07 When I Paint My Masterpiece.flac</t>
  </si>
  <si>
    <t>When I Paint My Masterpiece</t>
  </si>
  <si>
    <t>Z:\Grateful Dead\# Dave's Picks #\40 - 1990-07-18 [Deer Creek Music Center, Noblesville, IN]\08 Brown-Eyed Women.flac</t>
  </si>
  <si>
    <t>Z:\Grateful Dead\# Dave's Picks #\40 - 1990-07-18 [Deer Creek Music Center, Noblesville, IN]\09 Cassidy.flac</t>
  </si>
  <si>
    <t>Z:\Grateful Dead\# Dave's Picks #\40 - 1990-07-18 [Deer Creek Music Center, Noblesville, IN]\10 Deal.flac</t>
  </si>
  <si>
    <t>Z:\Grateful Dead\# Dave's Picks #\40 - 1990-07-18 [Deer Creek Music Center, Noblesville, IN]\11 China Cat Sunflower.flac</t>
  </si>
  <si>
    <t>Z:\Grateful Dead\# Dave's Picks #\40 - 1990-07-18 [Deer Creek Music Center, Noblesville, IN]\12 I Know You Rider.flac</t>
  </si>
  <si>
    <t>Z:\Grateful Dead\# Dave's Picks #\40 - 1990-07-18 [Deer Creek Music Center, Noblesville, IN]\13 Looks Like Rain.flac</t>
  </si>
  <si>
    <t>Z:\Grateful Dead\# Dave's Picks #\40 - 1990-07-18 [Deer Creek Music Center, Noblesville, IN]\14 Terrapin Station.flac</t>
  </si>
  <si>
    <t>Z:\Grateful Dead\# Dave's Picks #\40 - 1990-07-18 [Deer Creek Music Center, Noblesville, IN]\15 Jam.flac</t>
  </si>
  <si>
    <t>Z:\Grateful Dead\# Dave's Picks #\40 - 1990-07-18 [Deer Creek Music Center, Noblesville, IN]\16 Drums.flac</t>
  </si>
  <si>
    <t>Z:\Grateful Dead\# Dave's Picks #\40 - 1990-07-18 [Deer Creek Music Center, Noblesville, IN]\17 Space.flac</t>
  </si>
  <si>
    <t>Z:\Grateful Dead\# Dave's Picks #\40 - 1990-07-18 [Deer Creek Music Center, Noblesville, IN]\18 The Other One.flac</t>
  </si>
  <si>
    <t>Z:\Grateful Dead\# Dave's Picks #\40 - 1990-07-18 [Deer Creek Music Center, Noblesville, IN]\19 Morning Dew.flac</t>
  </si>
  <si>
    <t>Z:\Grateful Dead\# Dave's Picks #\40 - 1990-07-18 [Deer Creek Music Center, Noblesville, IN]\20 The Weight.flac</t>
  </si>
  <si>
    <t>The Weight</t>
  </si>
  <si>
    <t>Z:\Grateful Dead\# Dave's Picks #\40 - 1990-07-19 [Deer Creek Music Center, Noblesville, IN]\01 Jack Straw.flac</t>
  </si>
  <si>
    <t>Z:\Grateful Dead\# Dave's Picks #\40 - 1990-07-19 [Deer Creek Music Center, Noblesville, IN]\02 They Love Each Other.flac</t>
  </si>
  <si>
    <t>Z:\Grateful Dead\# Dave's Picks #\40 - 1990-07-19 [Deer Creek Music Center, Noblesville, IN]\03 Desolation Row.flac</t>
  </si>
  <si>
    <t>Z:\Grateful Dead\# Dave's Picks #\40 - 1990-07-19 [Deer Creek Music Center, Noblesville, IN]\04 Row Jimmy.flac</t>
  </si>
  <si>
    <t>Z:\Grateful Dead\# Dave's Picks #\40 - 1990-07-19 [Deer Creek Music Center, Noblesville, IN]\05 Picasso Moon.flac</t>
  </si>
  <si>
    <t>Picasso Moon</t>
  </si>
  <si>
    <t>Z:\Grateful Dead\# Dave's Picks #\40 - 1990-07-19 [Deer Creek Music Center, Noblesville, IN]\06 Althea.flac</t>
  </si>
  <si>
    <t>Z:\Grateful Dead\# Dave's Picks #\40 - 1990-07-19 [Deer Creek Music Center, Noblesville, IN]\07 Promised Land.flac</t>
  </si>
  <si>
    <t>Z:\Grateful Dead\# Dave's Picks #\40 - 1990-07-19 [Deer Creek Music Center, Noblesville, IN]\08 Victim Or The Crime.flac</t>
  </si>
  <si>
    <t>Z:\Grateful Dead\# Dave's Picks #\40 - 1990-07-19 [Deer Creek Music Center, Noblesville, IN]\09 Foolish Heart.flac</t>
  </si>
  <si>
    <t>Foolish Heart</t>
  </si>
  <si>
    <t>Z:\Grateful Dead\# Dave's Picks #\40 - 1990-07-19 [Deer Creek Music Center, Noblesville, IN]\10 Playing In The Band.flac</t>
  </si>
  <si>
    <t>Z:\Grateful Dead\# Dave's Picks #\40 - 1990-07-19 [Deer Creek Music Center, Noblesville, IN]\11 China Doll.flac</t>
  </si>
  <si>
    <t>Z:\Grateful Dead\# Dave's Picks #\40 - 1990-07-19 [Deer Creek Music Center, Noblesville, IN]\12 Uncle John's Band.flac</t>
  </si>
  <si>
    <t>Z:\Grateful Dead\# Dave's Picks #\40 - 1990-07-19 [Deer Creek Music Center, Noblesville, IN]\13 Drums.flac</t>
  </si>
  <si>
    <t>Z:\Grateful Dead\# Dave's Picks #\40 - 1990-07-19 [Deer Creek Music Center, Noblesville, IN]\14 Space.flac</t>
  </si>
  <si>
    <t>Z:\Grateful Dead\# Dave's Picks #\40 - 1990-07-19 [Deer Creek Music Center, Noblesville, IN]\15 All Along The Watchtower.flac</t>
  </si>
  <si>
    <t>Z:\Grateful Dead\# Dave's Picks #\40 - 1990-07-19 [Deer Creek Music Center, Noblesville, IN]\16 Black Peter.flac</t>
  </si>
  <si>
    <t>Z:\Grateful Dead\# Dave's Picks #\40 - 1990-07-19 [Deer Creek Music Center, Noblesville, IN]\17 Not Fade Away.flac</t>
  </si>
  <si>
    <t>Z:\Grateful Dead\# Dave's Picks #\40 - 1990-07-19 [Deer Creek Music Center, Noblesville, IN]\18 U.S. Blues.flac</t>
  </si>
  <si>
    <t>Z:\Grateful Dead\# Dave's Picks #\09 - 1974-05-14 [Adams Field House - Univ. of Montana, Missoula, MT]\101 Bertha.flac</t>
  </si>
  <si>
    <t>Z:\Grateful Dead\# Dave's Picks #\09 - 1974-05-14 [Adams Field House - Univ. of Montana, Missoula, MT]\102 Me And My Uncle.flac</t>
  </si>
  <si>
    <t>Z:\Grateful Dead\# Dave's Picks #\09 - 1974-05-14 [Adams Field House - Univ. of Montana, Missoula, MT]\103 Loser.flac</t>
  </si>
  <si>
    <t>Z:\Grateful Dead\# Dave's Picks #\09 - 1974-05-14 [Adams Field House - Univ. of Montana, Missoula, MT]\104 Black-Throated Wind.flac</t>
  </si>
  <si>
    <t>Z:\Grateful Dead\# Dave's Picks #\09 - 1974-05-14 [Adams Field House - Univ. of Montana, Missoula, MT]\105 Scarlet Begonias.flac</t>
  </si>
  <si>
    <t>Z:\Grateful Dead\# Dave's Picks #\09 - 1974-05-14 [Adams Field House - Univ. of Montana, Missoula, MT]\106 It Must Have Been The Roses.flac</t>
  </si>
  <si>
    <t>Z:\Grateful Dead\# Dave's Picks #\09 - 1974-05-14 [Adams Field House - Univ. of Montana, Missoula, MT]\107 Jack Straw.flac</t>
  </si>
  <si>
    <t>Z:\Grateful Dead\# Dave's Picks #\09 - 1974-05-14 [Adams Field House - Univ. of Montana, Missoula, MT]\108 Tennessee Jed.flac</t>
  </si>
  <si>
    <t>Z:\Grateful Dead\# Dave's Picks #\09 - 1974-05-14 [Adams Field House - Univ. of Montana, Missoula, MT]\109 Mexicali Blues.flac</t>
  </si>
  <si>
    <t>Z:\Grateful Dead\# Dave's Picks #\09 - 1974-05-14 [Adams Field House - Univ. of Montana, Missoula, MT]\110 Deal.flac</t>
  </si>
  <si>
    <t>Z:\Grateful Dead\# Dave's Picks #\09 - 1974-05-14 [Adams Field House - Univ. of Montana, Missoula, MT]\111 Big River.flac</t>
  </si>
  <si>
    <t>Z:\Grateful Dead\# Dave's Picks #\09 - 1974-05-14 [Adams Field House - Univ. of Montana, Missoula, MT]\112 Brown-Eyed Women.flac</t>
  </si>
  <si>
    <t>Z:\Grateful Dead\# Dave's Picks #\09 - 1974-05-14 [Adams Field House - Univ. of Montana, Missoula, MT]\113 Playing In The Band.flac</t>
  </si>
  <si>
    <t>Z:\Grateful Dead\# Dave's Picks #\09 - 1974-05-14 [Adams Field House - Univ. of Montana, Missoula, MT]\201 U.S. Blues.flac</t>
  </si>
  <si>
    <t>Z:\Grateful Dead\# Dave's Picks #\09 - 1974-05-14 [Adams Field House - Univ. of Montana, Missoula, MT]\202 El Paso.flac</t>
  </si>
  <si>
    <t>Z:\Grateful Dead\# Dave's Picks #\09 - 1974-05-14 [Adams Field House - Univ. of Montana, Missoula, MT]\203 Row Jimmy.flac</t>
  </si>
  <si>
    <t>Z:\Grateful Dead\# Dave's Picks #\09 - 1974-05-14 [Adams Field House - Univ. of Montana, Missoula, MT]\204 Weather Report Suite.flac</t>
  </si>
  <si>
    <t>Z:\Grateful Dead\# Dave's Picks #\09 - 1974-05-14 [Adams Field House - Univ. of Montana, Missoula, MT]\205 Dark Star.flac</t>
  </si>
  <si>
    <t>Z:\Grateful Dead\# Dave's Picks #\09 - 1974-05-14 [Adams Field House - Univ. of Montana, Missoula, MT]\206 China Doll.flac</t>
  </si>
  <si>
    <t>Z:\Grateful Dead\# Dave's Picks #\09 - 1974-05-14 [Adams Field House - Univ. of Montana, Missoula, MT]\207 Promised Land.flac</t>
  </si>
  <si>
    <t>Z:\Grateful Dead\# Dave's Picks #\09 - 1974-05-14 [Adams Field House - Univ. of Montana, Missoula, MT]\208 Not Fade Away.flac</t>
  </si>
  <si>
    <t>Z:\Grateful Dead\# Dave's Picks #\09 - 1974-05-14 [Adams Field House - Univ. of Montana, Missoula, MT]\209 Goin' Down The Road Feeling Bad.flac</t>
  </si>
  <si>
    <t>Z:\Grateful Dead\# Dave's Picks #\09 - 1974-05-14 [Adams Field House - Univ. of Montana, Missoula, MT]\210 One More Saturday Night.flac</t>
  </si>
  <si>
    <t>Z:\Grateful Dead\# Dave's Picks #\18 - 1976-07-16 [Orpheum Theatre, San Francisco, CA]  II (2016 Bonus Disc)\201 Playing In The Band.flac</t>
  </si>
  <si>
    <t>Z:\Grateful Dead\# Dave's Picks #\18 - 1976-07-16 [Orpheum Theatre, San Francisco, CA]  II (2016 Bonus Disc)\202 Cosmic Charlie.flac</t>
  </si>
  <si>
    <t>Z:\Grateful Dead\# Dave's Picks #\18 - 1976-07-16 [Orpheum Theatre, San Francisco, CA]  II (2016 Bonus Disc)\203 Spanish Jam.flac</t>
  </si>
  <si>
    <t>Z:\Grateful Dead\# Dave's Picks #\18 - 1976-07-16 [Orpheum Theatre, San Francisco, CA]  II (2016 Bonus Disc)\204 Drums.flac</t>
  </si>
  <si>
    <t>Z:\Grateful Dead\# Dave's Picks #\18 - 1976-07-16 [Orpheum Theatre, San Francisco, CA]  II (2016 Bonus Disc)\205 The Wheel.flac</t>
  </si>
  <si>
    <t>Z:\Grateful Dead\# Dave's Picks #\18 - 1976-07-16 [Orpheum Theatre, San Francisco, CA]  II (2016 Bonus Disc)\206 Playing In The Band.flac</t>
  </si>
  <si>
    <t>Z:\Grateful Dead\# Dave's Picks #\18 - 1976-07-16 [Orpheum Theatre, San Francisco, CA]  II (2016 Bonus Disc)\207 High Time.flac</t>
  </si>
  <si>
    <t>Z:\Grateful Dead\# Dave's Picks #\18 - 1976-07-16 [Orpheum Theatre, San Francisco, CA]  II (2016 Bonus Disc)\208 Sugar Magnolia.flac</t>
  </si>
  <si>
    <t>Z:\Grateful Dead\# Dave's Picks #\27 - 1983-09-02 [Boise Pavilion - Boise State University, Boise, ID]\01 - Wang Dang Doodle -».flac</t>
  </si>
  <si>
    <t>Wang Dang Doodle -&gt;</t>
  </si>
  <si>
    <t>Z:\Grateful Dead\# Dave's Picks #\27 - 1983-09-02 [Boise Pavilion - Boise State University, Boise, ID]\02 - Jack Straw.flac</t>
  </si>
  <si>
    <t>Z:\Grateful Dead\# Dave's Picks #\27 - 1983-09-02 [Boise Pavilion - Boise State University, Boise, ID]\03 - They Love Each Other.flac</t>
  </si>
  <si>
    <t>Z:\Grateful Dead\# Dave's Picks #\27 - 1983-09-02 [Boise Pavilion - Boise State University, Boise, ID]\04 - Mama Tried -».flac</t>
  </si>
  <si>
    <t>Mama Tried -&gt;</t>
  </si>
  <si>
    <t>Z:\Grateful Dead\# Dave's Picks #\27 - 1983-09-02 [Boise Pavilion - Boise State University, Boise, ID]\05 - Big River.flac</t>
  </si>
  <si>
    <t>Z:\Grateful Dead\# Dave's Picks #\27 - 1983-09-02 [Boise Pavilion - Boise State University, Boise, ID]\06 - Brown-Eyed Women.flac</t>
  </si>
  <si>
    <t>Z:\Grateful Dead\# Dave's Picks #\27 - 1983-09-02 [Boise Pavilion - Boise State University, Boise, ID]\07 - New Minglewood Blues.flac</t>
  </si>
  <si>
    <t>Z:\Grateful Dead\# Dave's Picks #\27 - 1983-09-02 [Boise Pavilion - Boise State University, Boise, ID]\08 - Big Railroad Blues.flac</t>
  </si>
  <si>
    <t>Z:\Grateful Dead\# Dave's Picks #\27 - 1983-09-02 [Boise Pavilion - Boise State University, Boise, ID]\09 - Looks Like Rain -».flac</t>
  </si>
  <si>
    <t>Looks Like Rain -&gt;</t>
  </si>
  <si>
    <t>Z:\Grateful Dead\# Dave's Picks #\27 - 1983-09-02 [Boise Pavilion - Boise State University, Boise, ID]\10 - Deal .flac</t>
  </si>
  <si>
    <t>Z:\Grateful Dead\# Dave's Picks #\27 - 1983-09-02 [Boise Pavilion - Boise State University, Boise, ID]\10 - Deal.flac</t>
  </si>
  <si>
    <t>Z:\Grateful Dead\# Dave's Picks #\27 - 1983-09-02 [Boise Pavilion - Boise State University, Boise, ID]\11 - Help On The Way -».flac</t>
  </si>
  <si>
    <t>Help On The Way -&gt;</t>
  </si>
  <si>
    <t>Z:\Grateful Dead\# Dave's Picks #\27 - 1983-09-02 [Boise Pavilion - Boise State University, Boise, ID]\12 - Slipknot! -».flac</t>
  </si>
  <si>
    <t>Slipknot! -&gt;</t>
  </si>
  <si>
    <t>Z:\Grateful Dead\# Dave's Picks #\27 - 1983-09-02 [Boise Pavilion - Boise State University, Boise, ID]\13 - Franklin's Tower.flac</t>
  </si>
  <si>
    <t>Z:\Grateful Dead\# Dave's Picks #\27 - 1983-09-02 [Boise Pavilion - Boise State University, Boise, ID]\14 - Estimated Prophet -».flac</t>
  </si>
  <si>
    <t>Estimated Prophet -&gt;</t>
  </si>
  <si>
    <t>Z:\Grateful Dead\# Dave's Picks #\27 - 1983-09-02 [Boise Pavilion - Boise State University, Boise, ID]\15 - Eyes Of The World -».flac</t>
  </si>
  <si>
    <t>Eyes Of The World -&gt;</t>
  </si>
  <si>
    <t>Z:\Grateful Dead\# Dave's Picks #\27 - 1983-09-02 [Boise Pavilion - Boise State University, Boise, ID]\16 - Jam -».flac</t>
  </si>
  <si>
    <t>Jam -&gt;</t>
  </si>
  <si>
    <t>Z:\Grateful Dead\# Dave's Picks #\27 - 1983-09-02 [Boise Pavilion - Boise State University, Boise, ID]\17 - Drums -».flac</t>
  </si>
  <si>
    <t>Drums -&gt;</t>
  </si>
  <si>
    <t>Z:\Grateful Dead\# Dave's Picks #\27 - 1983-09-02 [Boise Pavilion - Boise State University, Boise, ID]\18 - Space -».flac</t>
  </si>
  <si>
    <t>Space -&gt;</t>
  </si>
  <si>
    <t>Z:\Grateful Dead\# Dave's Picks #\27 - 1983-09-02 [Boise Pavilion - Boise State University, Boise, ID]\19 - Throwing Stones -».flac</t>
  </si>
  <si>
    <t>Throwing Stones -&gt;</t>
  </si>
  <si>
    <t>Z:\Grateful Dead\# Dave's Picks #\27 - 1983-09-02 [Boise Pavilion - Boise State University, Boise, ID]\20 - Goin' Down The Road Feeling Bad -».flac</t>
  </si>
  <si>
    <t>Goin' Down The Road Feeling Bad -&gt;</t>
  </si>
  <si>
    <t>Z:\Grateful Dead\# Dave's Picks #\27 - 1983-09-02 [Boise Pavilion - Boise State University, Boise, ID]\21 - Black Peter -».flac</t>
  </si>
  <si>
    <t>Black Peter -&gt;</t>
  </si>
  <si>
    <t>Z:\Grateful Dead\# Dave's Picks #\27 - 1983-09-02 [Boise Pavilion - Boise State University, Boise, ID]\22 - Sugar Magnolia.flac</t>
  </si>
  <si>
    <t>Z:\Grateful Dead\# Dave's Picks #\27 - 1983-09-02 [Boise Pavilion - Boise State University, Boise, ID]\23 - It's All Over Now, Baby Blue.flac</t>
  </si>
  <si>
    <t>Z:\Grateful Dead\# Dave's Picks #\35 - 1984-04-19 [Civic Center, Philadelphia, PA] (filler)\201 China Cat Sunflower.flac</t>
  </si>
  <si>
    <t>Z:\Grateful Dead\# Dave's Picks #\35 - 1984-04-19 [Civic Center, Philadelphia, PA] (filler)\202 I Know You Rider.flac</t>
  </si>
  <si>
    <t>Z:\Grateful Dead\# Dave's Picks #\35 - 1984-04-19 [Civic Center, Philadelphia, PA] (filler)\203 Estimated Prophet.flac</t>
  </si>
  <si>
    <t>Z:\Grateful Dead\# Dave's Picks #\35 - 1984-04-19 [Civic Center, Philadelphia, PA] (filler)\204 Terrapin Station.flac</t>
  </si>
  <si>
    <t>Z:\Grateful Dead\# Dave's Picks #\41 - 1977-05-26 [Baltimore Civic Center, Baltimore, MD]\01 The Music Never Stopped.flac</t>
  </si>
  <si>
    <t>Z:\Grateful Dead\# Dave's Picks #\41 - 1977-05-26 [Baltimore Civic Center, Baltimore, MD]\02 Sugaree.flac</t>
  </si>
  <si>
    <t>Z:\Grateful Dead\# Dave's Picks #\41 - 1977-05-26 [Baltimore Civic Center, Baltimore, MD]\04 Sunrise.flac</t>
  </si>
  <si>
    <t>Z:\Grateful Dead\# Dave's Picks #\41 - 1977-05-26 [Baltimore Civic Center, Baltimore, MD]\05 Deal.flac</t>
  </si>
  <si>
    <t>Z:\Grateful Dead\# Dave's Picks #\41 - 1977-05-26 [Baltimore Civic Center, Baltimore, MD]\06 Passenger.flac</t>
  </si>
  <si>
    <t>Z:\Grateful Dead\# Dave's Picks #\41 - 1977-05-26 [Baltimore Civic Center, Baltimore, MD]\07 Brown-Eyed Women.flac</t>
  </si>
  <si>
    <t>Z:\Grateful Dead\# Dave's Picks #\41 - 1977-05-26 [Baltimore Civic Center, Baltimore, MD]\08 Looks Like Rain.flac</t>
  </si>
  <si>
    <t>Z:\Grateful Dead\# Dave's Picks #\41 - 1977-05-26 [Baltimore Civic Center, Baltimore, MD]\09 Jack-A-Roe.flac</t>
  </si>
  <si>
    <t>Z:\Grateful Dead\# Dave's Picks #\41 - 1977-05-26 [Baltimore Civic Center, Baltimore, MD]\10 New Minglewood Blues.flac</t>
  </si>
  <si>
    <t>Z:\Grateful Dead\# Dave's Picks #\41 - 1977-05-26 [Baltimore Civic Center, Baltimore, MD]\11 Bertha.flac</t>
  </si>
  <si>
    <t>Z:\Grateful Dead\# Dave's Picks #\41 - 1977-05-26 [Baltimore Civic Center, Baltimore, MD]\12 Samson And Delilah.flac</t>
  </si>
  <si>
    <t>Z:\Grateful Dead\# Dave's Picks #\41 - 1977-05-26 [Baltimore Civic Center, Baltimore, MD]\13 High Time.flac</t>
  </si>
  <si>
    <t>Z:\Grateful Dead\# Dave's Picks #\41 - 1977-05-26 [Baltimore Civic Center, Baltimore, MD]\14 Big River.flac</t>
  </si>
  <si>
    <t>Z:\Grateful Dead\# Dave's Picks #\41 - 1977-05-26 [Baltimore Civic Center, Baltimore, MD]\15 Terrapin Station.flac</t>
  </si>
  <si>
    <t>Z:\Grateful Dead\# Dave's Picks #\41 - 1977-05-26 [Baltimore Civic Center, Baltimore, MD]\16 Estimated Prophet.flac</t>
  </si>
  <si>
    <t>Z:\Grateful Dead\# Dave's Picks #\41 - 1977-05-26 [Baltimore Civic Center, Baltimore, MD]\17 Eyes Of The World.flac</t>
  </si>
  <si>
    <t>Z:\Grateful Dead\# Dave's Picks #\41 - 1977-05-26 [Baltimore Civic Center, Baltimore, MD]\18 Not Fade Away.flac</t>
  </si>
  <si>
    <t>Z:\Grateful Dead\# Dave's Picks #\41 - 1977-05-26 [Baltimore Civic Center, Baltimore, MD]\19 Goin' Down The Road Feeling Bad.flac</t>
  </si>
  <si>
    <t>Z:\Grateful Dead\# Dave's Picks #\41 - 1977-05-26 [Baltimore Civic Center, Baltimore, MD]\20 Around And Around.flac</t>
  </si>
  <si>
    <t>Z:\Grateful Dead\# Dave's Picks #\41 - 1977-05-26 [Baltimore Civic Center, Baltimore, MD]\21 Uncle John's Band.flac</t>
  </si>
  <si>
    <t>Z:\Grateful Dead\# Dave's Picks #\47 - 1979-12-04 [Uptown Theatre, Chicago, IL] %II\209 Space.flac</t>
  </si>
  <si>
    <t>Z:\Grateful Dead\# Dave's Picks #\47 - 1979-12-04 [Uptown Theatre, Chicago, IL] %II\210 Not Fade Away.flac</t>
  </si>
  <si>
    <t>Z:\Grateful Dead\# Dave's Picks #\47 - 1979-12-04 [Uptown Theatre, Chicago, IL] %II\211 Stella Blue.flac</t>
  </si>
  <si>
    <t>Z:\Grateful Dead\# Dave's Picks #\47 - 1979-12-04 [Uptown Theatre, Chicago, IL] %II\212 Sugar Magnolia.flac</t>
  </si>
  <si>
    <t>Z:\Grateful Dead\# Dave's Picks #\47 - 1979-12-04 [Uptown Theatre, Chicago, IL] %II\213 U.S. Blues.flac</t>
  </si>
  <si>
    <t>Z:\Grateful Dead\# Dave's Picks #\42 - 1974-02-22 [Winterland Arena, San Francisco, CA] % (Dave's Picks Bonus disc 2021)\01 U.S. Blues.flac</t>
  </si>
  <si>
    <t>Z:\Grateful Dead\# Dave's Picks #\42 - 1974-02-22 [Winterland Arena, San Francisco, CA] % (Dave's Picks Bonus disc 2021)\02 Brown-Eyed Women.flac</t>
  </si>
  <si>
    <t>Z:\Grateful Dead\# Dave's Picks #\42 - 1974-02-22 [Winterland Arena, San Francisco, CA] % (Dave's Picks Bonus disc 2021)\03 It Must Have Been the Roses.flac</t>
  </si>
  <si>
    <t>Z:\Grateful Dead\# Dave's Picks #\42 - 1974-02-22 [Winterland Arena, San Francisco, CA] % (Dave's Picks Bonus disc 2021)\04 Black-Throated Wind.flac</t>
  </si>
  <si>
    <t>Z:\Grateful Dead\# Dave's Picks #\42 - 1974-02-22 [Winterland Arena, San Francisco, CA] % (Dave's Picks Bonus disc 2021)\05 Loose Lucy.flac</t>
  </si>
  <si>
    <t>Z:\Grateful Dead\# Dave's Picks #\42 - 1974-02-22 [Winterland Arena, San Francisco, CA] % (Dave's Picks Bonus disc 2021)\06 Playing in the Band.flac</t>
  </si>
  <si>
    <t>Z:\Grateful Dead\# Dave's Picks #\42 - 1974-02-22 [Winterland Arena, San Francisco, CA] % (Dave's Picks Bonus disc 2021)\07 Ship of Fools.flac</t>
  </si>
  <si>
    <t>Z:\Grateful Dead\# Dave's Picks #\42 - 1974-02-22 [Winterland Arena, San Francisco, CA] % (Dave's Picks Bonus disc 2021)\08 China Cat Sunflower.flac</t>
  </si>
  <si>
    <t>Z:\Grateful Dead\# Dave's Picks #\42 - 1974-02-22 [Winterland Arena, San Francisco, CA] % (Dave's Picks Bonus disc 2021)\09 I Know You Rider.flac</t>
  </si>
  <si>
    <t>Z:\Grateful Dead\# Dave's Picks #\42 - 1974-02-22 [Winterland Arena, San Francisco, CA] % (Dave's Picks Bonus disc 2021)\10 Uncle John's Band.flac</t>
  </si>
  <si>
    <t>Z:\Grateful Dead\# Dave's Picks #\42 - 1974-02-23 [Winterland Arena, San Francisco, CA]\101 Around And Around.flac</t>
  </si>
  <si>
    <t>Z:\Grateful Dead\# Dave's Picks #\42 - 1974-02-23 [Winterland Arena, San Francisco, CA]\102 Dire Wolf.flac</t>
  </si>
  <si>
    <t>Z:\Grateful Dead\# Dave's Picks #\42 - 1974-02-23 [Winterland Arena, San Francisco, CA]\103 Me And Bobby McGee.flac</t>
  </si>
  <si>
    <t>Z:\Grateful Dead\# Dave's Picks #\42 - 1974-02-23 [Winterland Arena, San Francisco, CA]\104 Sugaree.flac</t>
  </si>
  <si>
    <t>Z:\Grateful Dead\# Dave's Picks #\42 - 1974-02-23 [Winterland Arena, San Francisco, CA]\105 Mexicali Blues.flac</t>
  </si>
  <si>
    <t>Z:\Grateful Dead\# Dave's Picks #\42 - 1974-02-23 [Winterland Arena, San Francisco, CA]\106 Here Comes Sunshine.flac</t>
  </si>
  <si>
    <t>Z:\Grateful Dead\# Dave's Picks #\42 - 1974-02-23 [Winterland Arena, San Francisco, CA]\107 Beat It On Down The Line.flac</t>
  </si>
  <si>
    <t>Z:\Grateful Dead\# Dave's Picks #\42 - 1974-02-23 [Winterland Arena, San Francisco, CA]\108 Ship Of Fools.flac</t>
  </si>
  <si>
    <t>Z:\Grateful Dead\# Dave's Picks #\42 - 1974-02-23 [Winterland Arena, San Francisco, CA]\109 Jack Straw.flac</t>
  </si>
  <si>
    <t>Z:\Grateful Dead\# Dave's Picks #\42 - 1974-02-23 [Winterland Arena, San Francisco, CA]\110 Deal.flac</t>
  </si>
  <si>
    <t>Z:\Grateful Dead\# Dave's Picks #\42 - 1974-02-23 [Winterland Arena, San Francisco, CA]\111 Promised Land.flac</t>
  </si>
  <si>
    <t>Z:\Grateful Dead\# Dave's Picks #\42 - 1974-02-23 [Winterland Arena, San Francisco, CA]\112 Bertha.flac</t>
  </si>
  <si>
    <t>Z:\Grateful Dead\# Dave's Picks #\42 - 1974-02-23 [Winterland Arena, San Francisco, CA]\113 Greatest Story Ever Told.flac</t>
  </si>
  <si>
    <t>Z:\Grateful Dead\# Dave's Picks #\42 - 1974-02-23 [Winterland Arena, San Francisco, CA]\201 Row Jimmy.flac</t>
  </si>
  <si>
    <t>Z:\Grateful Dead\# Dave's Picks #\42 - 1974-02-23 [Winterland Arena, San Francisco, CA]\202 Weather Report Suite.flac</t>
  </si>
  <si>
    <t>Z:\Grateful Dead\# Dave's Picks #\42 - 1974-02-23 [Winterland Arena, San Francisco, CA]\203 Stella Blue.flac</t>
  </si>
  <si>
    <t>Z:\Grateful Dead\# Dave's Picks #\42 - 1974-02-23 [Winterland Arena, San Francisco, CA]\204 Big River.flac</t>
  </si>
  <si>
    <t>Z:\Grateful Dead\# Dave's Picks #\42 - 1974-02-23 [Winterland Arena, San Francisco, CA]\205 Ramble On Rose.flac</t>
  </si>
  <si>
    <t>Z:\Grateful Dead\# Dave's Picks #\42 - 1974-02-23 [Winterland Arena, San Francisco, CA]\206 Me And My Uncle.flac</t>
  </si>
  <si>
    <t>Z:\Grateful Dead\# Dave's Picks #\42 - 1974-02-23 [Winterland Arena, San Francisco, CA]\207 Johnny B. Goode.flac</t>
  </si>
  <si>
    <t>Z:\Grateful Dead\# Dave's Picks #\42 - 1974-02-23 [Winterland Arena, San Francisco, CA]\208 And We Bid You Goodnight.flac</t>
  </si>
  <si>
    <t>Z:\Grateful Dead\# Dave's Picks #\42 - 1974-02-23 [Winterland Arena, San Francisco, CA]\301 He's Gone.flac</t>
  </si>
  <si>
    <t>Z:\Grateful Dead\# Dave's Picks #\42 - 1974-02-23 [Winterland Arena, San Francisco, CA]\302 Truckin'.flac</t>
  </si>
  <si>
    <t>Z:\Grateful Dead\# Dave's Picks #\42 - 1974-02-23 [Winterland Arena, San Francisco, CA]\303 Drums.flac</t>
  </si>
  <si>
    <t>Z:\Grateful Dead\# Dave's Picks #\42 - 1974-02-23 [Winterland Arena, San Francisco, CA]\304 The Other One.flac</t>
  </si>
  <si>
    <t>Z:\Grateful Dead\# Dave's Picks #\42 - 1974-02-23 [Winterland Arena, San Francisco, CA]\305 Eyes Of The World.flac</t>
  </si>
  <si>
    <t>Z:\Grateful Dead\# Dave's Picks #\42 - 1974-02-23 [Winterland Arena, San Francisco, CA]\306 One More Saturday Night.flac</t>
  </si>
  <si>
    <t>Z:\Grateful Dead\# Dave's Picks #\42 - 1974-02-23 [Winterland Arena, San Francisco, CA]\307 Casey Jones.flac</t>
  </si>
  <si>
    <t>Z:\Grateful Dead\# Dave's Picks #\43 - 1969-11-02 [Family Dog  at the Great Highway  San Francisco, CA]\01 Cold Rain And Snow.flac</t>
  </si>
  <si>
    <t>Z:\Grateful Dead\# Dave's Picks #\43 - 1969-11-02 [Family Dog  at the Great Highway  San Francisco, CA]\02 In The Midnight Hour (San Francisco, 11,2,69).flac</t>
  </si>
  <si>
    <t>In The Midnight Hour (San Francisco, 11/2/69)</t>
  </si>
  <si>
    <t>Z:\Grateful Dead\# Dave's Picks #\43 - 1969-11-02 [Family Dog  at the Great Highway  San Francisco, CA]\03 Seasons Of My Heart.flac</t>
  </si>
  <si>
    <t>Seasons Of My Heart (San Francisco, 11/2/69)</t>
  </si>
  <si>
    <t>Z:\Grateful Dead\# Dave's Picks #\43 - 1969-11-02 [Family Dog  at the Great Highway  San Francisco, CA]\04 Mama Tried.flac</t>
  </si>
  <si>
    <t>Z:\Grateful Dead\# Dave's Picks #\43 - 1969-11-02 [Family Dog  at the Great Highway  San Francisco, CA]\05 Next Time You See Me.flac</t>
  </si>
  <si>
    <t>Next Time You See Me (San Francisco, 11/2/69)</t>
  </si>
  <si>
    <t>Z:\Grateful Dead\# Dave's Picks #\43 - 1969-11-02 [Family Dog  at the Great Highway  San Francisco, CA]\06 Good Lovin'.flac</t>
  </si>
  <si>
    <t>Good Lovin' (San Francisco, 11/2/69)</t>
  </si>
  <si>
    <t>Z:\Grateful Dead\# Dave's Picks #\43 - 1969-11-02 [Family Dog  at the Great Highway  San Francisco, CA]\07 Big Boss Man.flac</t>
  </si>
  <si>
    <t>Big Boss Man (San Francisco, 11/2/69)</t>
  </si>
  <si>
    <t>Z:\Grateful Dead\# Dave's Picks #\43 - 1969-11-02 [Family Dog  at the Great Highway  San Francisco, CA]\08 Casey Jones.flac</t>
  </si>
  <si>
    <t>Casey Jones (San Francisco, 11/2/69)</t>
  </si>
  <si>
    <t>Z:\Grateful Dead\# Dave's Picks #\43 - 1969-11-02 [Family Dog  at the Great Highway  San Francisco, CA]\09 Dancing In The Street.flac</t>
  </si>
  <si>
    <t>Dancing In The Street (San Francisco, 11/2/69)</t>
  </si>
  <si>
    <t>Z:\Grateful Dead\# Dave's Picks #\43 - 1969-11-02 [Family Dog  at the Great Highway  San Francisco, CA]\10 Dark Star.flac</t>
  </si>
  <si>
    <t>Dark Star&gt; (San Francisco, 11/2/69)</t>
  </si>
  <si>
    <t>Z:\Grateful Dead\# Dave's Picks #\43 - 1969-11-02 [Family Dog  at the Great Highway  San Francisco, CA]\11 St. Stephen.flac</t>
  </si>
  <si>
    <t>St. Stephen&gt; (San Francisco, 11/2/69)</t>
  </si>
  <si>
    <t>Z:\Grateful Dead\# Dave's Picks #\43 - 1969-11-02 [Family Dog  at the Great Highway  San Francisco, CA]\12 The Eleven.flac</t>
  </si>
  <si>
    <t>The Eleven&gt; (San Francisco, 11/2/69)</t>
  </si>
  <si>
    <t>Z:\Grateful Dead\# Dave's Picks #\43 - 1969-11-02 [Family Dog  at the Great Highway  San Francisco, CA]\13 Death Don't Have No Mercy.flac</t>
  </si>
  <si>
    <t>Death Don't Have No Mercy (San Francisco, 11/2/69)</t>
  </si>
  <si>
    <t>Z:\Grateful Dead\# Dave's Picks #\43 - 1969-12-26 [McFarlin Auditorium - SMU, Dallas, TX]\01 The Monkey And The Engineer.flac</t>
  </si>
  <si>
    <t>The Monkey And The Engineer</t>
  </si>
  <si>
    <t>Z:\Grateful Dead\# Dave's Picks #\43 - 1969-12-26 [McFarlin Auditorium - SMU, Dallas, TX]\02 Little Sadie.flac</t>
  </si>
  <si>
    <t>Little Sadie</t>
  </si>
  <si>
    <t>Z:\Grateful Dead\# Dave's Picks #\43 - 1969-12-26 [McFarlin Auditorium - SMU, Dallas, TX]\03 Long Black Limousine.flac</t>
  </si>
  <si>
    <t>Long Black Limousine</t>
  </si>
  <si>
    <t>Z:\Grateful Dead\# Dave's Picks #\43 - 1969-12-26 [McFarlin Auditorium - SMU, Dallas, TX]\04 I've Been All Around This World.flac</t>
  </si>
  <si>
    <t>I've Been All Around This World</t>
  </si>
  <si>
    <t>Z:\Grateful Dead\# Dave's Picks #\43 - 1969-12-26 [McFarlin Auditorium - SMU, Dallas, TX]\05 Gathering Flowers For The Master's Bouquet.flac</t>
  </si>
  <si>
    <t>Gathering Flowers For The Master's Bouquet</t>
  </si>
  <si>
    <t>Z:\Grateful Dead\# Dave's Picks #\43 - 1969-12-26 [McFarlin Auditorium - SMU, Dallas, TX]\06 Casey Jones.flac</t>
  </si>
  <si>
    <t>Z:\Grateful Dead\# Dave's Picks #\43 - 1969-12-26 [McFarlin Auditorium - SMU, Dallas, TX]\07 Hard To Handle.flac</t>
  </si>
  <si>
    <t>Z:\Grateful Dead\# Dave's Picks #\43 - 1969-12-26 [McFarlin Auditorium - SMU, Dallas, TX]\08 Cold Rain And Snow.flac</t>
  </si>
  <si>
    <t>Z:\Grateful Dead\# Dave's Picks #\43 - 1969-12-26 [McFarlin Auditorium - SMU, Dallas, TX]\09 China Cat Sunflower.flac</t>
  </si>
  <si>
    <t>Z:\Grateful Dead\# Dave's Picks #\43 - 1969-12-26 [McFarlin Auditorium - SMU, Dallas, TX]\10 I Know You Rider.flac</t>
  </si>
  <si>
    <t>Z:\Grateful Dead\# Dave's Picks #\43 - 1969-12-26 [McFarlin Auditorium - SMU, Dallas, TX]\11 Black Peter.flac</t>
  </si>
  <si>
    <t>Z:\Grateful Dead\# Dave's Picks #\43 - 1969-12-26 [McFarlin Auditorium - SMU, Dallas, TX]\12 High Time.flac</t>
  </si>
  <si>
    <t>Z:\Grateful Dead\# Dave's Picks #\43 - 1969-12-26 [McFarlin Auditorium - SMU, Dallas, TX]\13 Me And My Uncle.flac</t>
  </si>
  <si>
    <t>Z:\Grateful Dead\# Dave's Picks #\43 - 1969-12-26 [McFarlin Auditorium - SMU, Dallas, TX]\14 Uncle John's Band.flac</t>
  </si>
  <si>
    <t>Z:\Grateful Dead\# Dave's Picks #\43 - 1969-12-26 [McFarlin Auditorium - SMU, Dallas, TX]\15 Dark Star.flac</t>
  </si>
  <si>
    <t>Z:\Grateful Dead\# Dave's Picks #\43 - 1969-12-26 [McFarlin Auditorium - SMU, Dallas, TX]\16 New Speedway Boogie.flac</t>
  </si>
  <si>
    <t>Z:\Grateful Dead\# Dave's Picks #\43 - 1969-12-26 [McFarlin Auditorium - SMU, Dallas, TX]\17 Turn On Your Lovelight.flac</t>
  </si>
  <si>
    <t>Z:\Grateful Dead\# Dave's Picks #\44 - 1990-06-23 [Autzen Stadium, Eugene, OR]\01 Grateful Dead - Feel Like A Stranger.flac</t>
  </si>
  <si>
    <t>Z:\Grateful Dead\# Dave's Picks #\44 - 1990-06-23 [Autzen Stadium, Eugene, OR]\02 Grateful Dead - West L.A. Fadeaway.flac</t>
  </si>
  <si>
    <t>Z:\Grateful Dead\# Dave's Picks #\44 - 1990-06-23 [Autzen Stadium, Eugene, OR]\03 Grateful Dead - Me And My Uncle.flac</t>
  </si>
  <si>
    <t>Z:\Grateful Dead\# Dave's Picks #\44 - 1990-06-23 [Autzen Stadium, Eugene, OR]\04 Grateful Dead - Cumberland Blues.flac</t>
  </si>
  <si>
    <t>Z:\Grateful Dead\# Dave's Picks #\44 - 1990-06-23 [Autzen Stadium, Eugene, OR]\05 Grateful Dead - Far From Me.flac</t>
  </si>
  <si>
    <t>Far From Me</t>
  </si>
  <si>
    <t>Z:\Grateful Dead\# Dave's Picks #\44 - 1990-06-23 [Autzen Stadium, Eugene, OR]\06 Grateful Dead - They Love Each Other.flac</t>
  </si>
  <si>
    <t>Z:\Grateful Dead\# Dave's Picks #\44 - 1990-06-23 [Autzen Stadium, Eugene, OR]\07 Grateful Dead - Cassidy.flac</t>
  </si>
  <si>
    <t>Z:\Grateful Dead\# Dave's Picks #\44 - 1990-06-23 [Autzen Stadium, Eugene, OR]\08 Grateful Dead - Tennessee Jed.flac</t>
  </si>
  <si>
    <t>Z:\Grateful Dead\# Dave's Picks #\44 - 1990-06-23 [Autzen Stadium, Eugene, OR]\09 Grateful Dead - Promised Land.flac</t>
  </si>
  <si>
    <t>Z:\Grateful Dead\# Dave's Picks #\44 - 1990-06-23 [Autzen Stadium, Eugene, OR]\10 Grateful Dead - Eyes Of The World .flac</t>
  </si>
  <si>
    <t>Z:\Grateful Dead\# Dave's Picks #\44 - 1990-06-23 [Autzen Stadium, Eugene, OR]\11 Grateful Dead - Looks Like Rain .flac</t>
  </si>
  <si>
    <t>Looks Like Rain &gt;</t>
  </si>
  <si>
    <t>Z:\Grateful Dead\# Dave's Picks #\44 - 1990-06-23 [Autzen Stadium, Eugene, OR]\12 Grateful Dead - Crazy Fingers.flac</t>
  </si>
  <si>
    <t>Crazy Fingers&gt;</t>
  </si>
  <si>
    <t>Z:\Grateful Dead\# Dave's Picks #\44 - 1990-06-23 [Autzen Stadium, Eugene, OR]\13 Grateful Dead - Playing In The Band .flac</t>
  </si>
  <si>
    <t>Z:\Grateful Dead\# Dave's Picks #\44 - 1990-06-23 [Autzen Stadium, Eugene, OR]\14 Grateful Dead - Uncle John's Band .flac</t>
  </si>
  <si>
    <t>Z:\Grateful Dead\# Dave's Picks #\44 - 1990-06-23 [Autzen Stadium, Eugene, OR]\15 Grateful Dead - Playing In The Band .flac</t>
  </si>
  <si>
    <t>Z:\Grateful Dead\# Dave's Picks #\44 - 1990-06-23 [Autzen Stadium, Eugene, OR]\16 Grateful Dead - Drums.flac</t>
  </si>
  <si>
    <t>Z:\Grateful Dead\# Dave's Picks #\44 - 1990-06-23 [Autzen Stadium, Eugene, OR]\17 Grateful Dead - Space.flac</t>
  </si>
  <si>
    <t>Z:\Grateful Dead\# Dave's Picks #\44 - 1990-06-23 [Autzen Stadium, Eugene, OR]\18 Grateful Dead - The Wheel.flac</t>
  </si>
  <si>
    <t>Z:\Grateful Dead\# Dave's Picks #\44 - 1990-06-23 [Autzen Stadium, Eugene, OR]\19 Grateful Dead - I Need A Miracle.flac</t>
  </si>
  <si>
    <t>Z:\Grateful Dead\# Dave's Picks #\44 - 1990-06-23 [Autzen Stadium, Eugene, OR]\20 Grateful Dead - Morning Dew.flac</t>
  </si>
  <si>
    <t>Z:\Grateful Dead\# Dave's Picks #\44 - 1990-06-23 [Autzen Stadium, Eugene, OR]\21 Grateful Dead - One More Saturday Night.flac</t>
  </si>
  <si>
    <t>Z:\Grateful Dead\# Dave's Picks #\45 - 1977-10-01 [Paramount Theater, Portland, OR]\101 Promised Land.flac</t>
  </si>
  <si>
    <t>Z:\Grateful Dead\# Dave's Picks #\45 - 1977-10-01 [Paramount Theater, Portland, OR]\102 They Love Each Other.flac</t>
  </si>
  <si>
    <t>Z:\Grateful Dead\# Dave's Picks #\45 - 1977-10-01 [Paramount Theater, Portland, OR]\103 Mexicali Blues.flac</t>
  </si>
  <si>
    <t>Z:\Grateful Dead\# Dave's Picks #\45 - 1977-10-01 [Paramount Theater, Portland, OR]\104 Dire Wolf.flac</t>
  </si>
  <si>
    <t>Z:\Grateful Dead\# Dave's Picks #\45 - 1977-10-01 [Paramount Theater, Portland, OR]\105 Cassidy.flac</t>
  </si>
  <si>
    <t>Z:\Grateful Dead\# Dave's Picks #\45 - 1977-10-01 [Paramount Theater, Portland, OR]\106 Deal.flac</t>
  </si>
  <si>
    <t>Z:\Grateful Dead\# Dave's Picks #\45 - 1977-10-01 [Paramount Theater, Portland, OR]\107 Passenger.flac</t>
  </si>
  <si>
    <t>Z:\Grateful Dead\# Dave's Picks #\45 - 1977-10-01 [Paramount Theater, Portland, OR]\108 Tennessee Jed.flac</t>
  </si>
  <si>
    <t>Z:\Grateful Dead\# Dave's Picks #\45 - 1977-10-01 [Paramount Theater, Portland, OR]\109 New Minglewood Blues.flac</t>
  </si>
  <si>
    <t>Z:\Grateful Dead\# Dave's Picks #\45 - 1977-10-01 [Paramount Theater, Portland, OR]\110 Peggy-O.flac</t>
  </si>
  <si>
    <t>Z:\Grateful Dead\# Dave's Picks #\45 - 1977-10-01 [Paramount Theater, Portland, OR]\111 The Music Never Stopped.flac</t>
  </si>
  <si>
    <t>Z:\Grateful Dead\# Dave's Picks #\45 - 1977-10-01 [Paramount Theater, Portland, OR]\201 Bertha.flac</t>
  </si>
  <si>
    <t>Z:\Grateful Dead\# Dave's Picks #\45 - 1977-10-01 [Paramount Theater, Portland, OR]\202 Good Lovin'.flac</t>
  </si>
  <si>
    <t>Z:\Grateful Dead\# Dave's Picks #\45 - 1977-10-01 [Paramount Theater, Portland, OR]\203 It Must Have Been The Roses.flac</t>
  </si>
  <si>
    <t>Z:\Grateful Dead\# Dave's Picks #\45 - 1977-10-01 [Paramount Theater, Portland, OR]\204 Estimated Prophet.flac</t>
  </si>
  <si>
    <t>Z:\Grateful Dead\# Dave's Picks #\45 - 1977-10-01 [Paramount Theater, Portland, OR]\205 Eyes Of The World.flac</t>
  </si>
  <si>
    <t>Z:\Grateful Dead\# Dave's Picks #\45 - 1977-10-01 [Paramount Theater, Portland, OR]\206 Dancing In The Street.flac</t>
  </si>
  <si>
    <t>Z:\Grateful Dead\# Dave's Picks #\45 - 1977-10-01 [Paramount Theater, Portland, OR]\207 Drums.flac</t>
  </si>
  <si>
    <t>Z:\Grateful Dead\# Dave's Picks #\45 - 1977-10-01 [Paramount Theater, Portland, OR]\208 Not Fade Away.flac</t>
  </si>
  <si>
    <t>Z:\Grateful Dead\# Dave's Picks #\45 - 1977-10-01 [Paramount Theater, Portland, OR]\209 Black Peter.flac</t>
  </si>
  <si>
    <t>Z:\Grateful Dead\# Dave's Picks #\45 - 1977-10-01 [Paramount Theater, Portland, OR]\210 Around And Around.flac</t>
  </si>
  <si>
    <t>Z:\Grateful Dead\# Dave's Picks #\45 - 1977-10-02 [Paramount Theater, Portland, OR]\101 Casey Jones.flac</t>
  </si>
  <si>
    <t>Z:\Grateful Dead\# Dave's Picks #\45 - 1977-10-02 [Paramount Theater, Portland, OR]\102 Jack Straw.flac</t>
  </si>
  <si>
    <t>Z:\Grateful Dead\# Dave's Picks #\45 - 1977-10-02 [Paramount Theater, Portland, OR]\103 Sunrise.flac</t>
  </si>
  <si>
    <t>Z:\Grateful Dead\# Dave's Picks #\45 - 1977-10-02 [Paramount Theater, Portland, OR]\104 Brown Eyed Women.flac</t>
  </si>
  <si>
    <t>Z:\Grateful Dead\# Dave's Picks #\45 - 1977-10-02 [Paramount Theater, Portland, OR]\105 El Paso.flac</t>
  </si>
  <si>
    <t>Z:\Grateful Dead\# Dave's Picks #\45 - 1977-10-02 [Paramount Theater, Portland, OR]\106 Dupree's Diamond Blues.flac</t>
  </si>
  <si>
    <t>Z:\Grateful Dead\# Dave's Picks #\45 - 1977-10-02 [Paramount Theater, Portland, OR]\107 Let It Grow.flac</t>
  </si>
  <si>
    <t>Z:\Grateful Dead\# Dave's Picks #\45 - 1977-10-02 [Paramount Theater, Portland, OR]\108 Deal.flac</t>
  </si>
  <si>
    <t>Z:\Grateful Dead\# Dave's Picks #\45 - 1977-10-02 [Paramount Theater, Portland, OR]\201 Samson and Delilah.flac</t>
  </si>
  <si>
    <t>Z:\Grateful Dead\# Dave's Picks #\45 - 1977-10-02 [Paramount Theater, Portland, OR]\202 Johnny B. Goode.flac</t>
  </si>
  <si>
    <t>Z:\Grateful Dead\# Dave's Picks #\45 - 1977-10-02 [Paramount Theater, Portland, OR]\203 Scarlet Begonias.flac</t>
  </si>
  <si>
    <t>Z:\Grateful Dead\# Dave's Picks #\45 - 1977-10-02 [Paramount Theater, Portland, OR]\204 Fire On The Mountain.flac</t>
  </si>
  <si>
    <t>Z:\Grateful Dead\# Dave's Picks #\45 - 1977-10-02 [Paramount Theater, Portland, OR]\205 Playing In The Band.flac</t>
  </si>
  <si>
    <t>Z:\Grateful Dead\# Dave's Picks #\45 - 1977-10-02 [Paramount Theater, Portland, OR]\206 Drums.flac</t>
  </si>
  <si>
    <t>Z:\Grateful Dead\# Dave's Picks #\45 - 1977-10-02 [Paramount Theater, Portland, OR]\207 The Wheel.flac</t>
  </si>
  <si>
    <t>Z:\Grateful Dead\# Dave's Picks #\45 - 1977-10-02 [Paramount Theater, Portland, OR]\208 Truckin'.flac</t>
  </si>
  <si>
    <t>Z:\Grateful Dead\# Dave's Picks #\45 - 1977-10-02 [Paramount Theater, Portland, OR]\209 The Other One.flac</t>
  </si>
  <si>
    <t>Z:\Grateful Dead\# Dave's Picks #\45 - 1977-10-02 [Paramount Theater, Portland, OR]\210 Wharf Rat.flac</t>
  </si>
  <si>
    <t>Z:\Grateful Dead\# Dave's Picks #\45 - 1977-10-02 [Paramount Theater, Portland, OR]\211 Sugar Magnolia.flac</t>
  </si>
  <si>
    <t>Z:\Grateful Dead\# Dave's Picks #\46 - 1972-09-03 [Folsom Field,  Boulder,  CO] % Bonus Disc\203 Brown-Eyed Women.flac</t>
  </si>
  <si>
    <t>Z:\Grateful Dead\# Dave's Picks #\46 - 1972-09-03 [Folsom Field,  Boulder,  CO] % Bonus Disc\205 China Cat Sunflower.flac</t>
  </si>
  <si>
    <t>Z:\Grateful Dead\# Dave's Picks #\46 - 1972-09-03 [Folsom Field,  Boulder,  CO] % Bonus Disc\206 I Know You Rider.flac</t>
  </si>
  <si>
    <t>Z:\Grateful Dead\# Dave's Picks #\46 - 1972-09-03 [Folsom Field,  Boulder,  CO] % Bonus Disc\207 Truckin'.flac</t>
  </si>
  <si>
    <t>Z:\Grateful Dead\# Dave's Picks #\46 - 1972-09-03 [Folsom Field,  Boulder,  CO] % Bonus Disc\301 Cold Rain And Snow.flac</t>
  </si>
  <si>
    <t>Z:\Grateful Dead\# Dave's Picks #\46 - 1972-09-03 [Folsom Field,  Boulder,  CO] % Bonus Disc\305 Ramble On Rose.flac</t>
  </si>
  <si>
    <t>Z:\Grateful Dead\# Dave's Picks #\46 - 1972-09-09 [Hollywood Palladium, Los Angeles, CA]\101 Promised Land.flac</t>
  </si>
  <si>
    <t>Z:\Grateful Dead\# Dave's Picks #\46 - 1972-09-09 [Hollywood Palladium, Los Angeles, CA]\102 Sugaree.flac</t>
  </si>
  <si>
    <t>Z:\Grateful Dead\# Dave's Picks #\46 - 1972-09-09 [Hollywood Palladium, Los Angeles, CA]\103 Me And My Uncle.flac</t>
  </si>
  <si>
    <t>Z:\Grateful Dead\# Dave's Picks #\46 - 1972-09-09 [Hollywood Palladium, Los Angeles, CA]\104 Bird Song.flac</t>
  </si>
  <si>
    <t>Z:\Grateful Dead\# Dave's Picks #\46 - 1972-09-09 [Hollywood Palladium, Los Angeles, CA]\105 Black-Throated Wind.flac</t>
  </si>
  <si>
    <t>Z:\Grateful Dead\# Dave's Picks #\46 - 1972-09-09 [Hollywood Palladium, Los Angeles, CA]\106 Tennessee Jed.flac</t>
  </si>
  <si>
    <t>Z:\Grateful Dead\# Dave's Picks #\46 - 1972-09-09 [Hollywood Palladium, Los Angeles, CA]\107 Mexicali Blues.flac</t>
  </si>
  <si>
    <t>Z:\Grateful Dead\# Dave's Picks #\46 - 1972-09-09 [Hollywood Palladium, Los Angeles, CA]\108 Deal.flac</t>
  </si>
  <si>
    <t>Z:\Grateful Dead\# Dave's Picks #\46 - 1972-09-09 [Hollywood Palladium, Los Angeles, CA]\109 Playing In The Band.flac</t>
  </si>
  <si>
    <t>Z:\Grateful Dead\# Dave's Picks #\46 - 1972-09-09 [Hollywood Palladium, Los Angeles, CA]\110 Loser.flac</t>
  </si>
  <si>
    <t>Z:\Grateful Dead\# Dave's Picks #\46 - 1972-09-09 [Hollywood Palladium, Los Angeles, CA]\111 Johnny B. Goode.flac</t>
  </si>
  <si>
    <t>Z:\Grateful Dead\# Dave's Picks #\46 - 1972-09-09 [Hollywood Palladium, Los Angeles, CA]\201 China Cat Sunflower.flac</t>
  </si>
  <si>
    <t>Z:\Grateful Dead\# Dave's Picks #\46 - 1972-09-09 [Hollywood Palladium, Los Angeles, CA]\202 I Know You Rider.flac</t>
  </si>
  <si>
    <t>Z:\Grateful Dead\# Dave's Picks #\46 - 1972-09-09 [Hollywood Palladium, Los Angeles, CA]\203 Friend Of The Devil.flac</t>
  </si>
  <si>
    <t>Z:\Grateful Dead\# Dave's Picks #\46 - 1972-09-09 [Hollywood Palladium, Los Angeles, CA]\204 Jack Straw.flac</t>
  </si>
  <si>
    <t>Z:\Grateful Dead\# Dave's Picks #\46 - 1972-09-09 [Hollywood Palladium, Los Angeles, CA]\205 Casey Jones.flac</t>
  </si>
  <si>
    <t>Z:\Grateful Dead\# Dave's Picks #\46 - 1972-09-09 [Hollywood Palladium, Los Angeles, CA]\206 Sugar Magnolia.flac</t>
  </si>
  <si>
    <t>Z:\Grateful Dead\# Dave's Picks #\46 - 1972-09-09 [Hollywood Palladium, Los Angeles, CA]\207 One More Saturday Night.flac</t>
  </si>
  <si>
    <t>Z:\Grateful Dead\# Dave's Picks #\46 - 1972-09-09 [Hollywood Palladium, Los Angeles, CA]\208 He's Gone.flac</t>
  </si>
  <si>
    <t>Z:\Grateful Dead\# Dave's Picks #\46 - 1972-09-09 [Hollywood Palladium, Los Angeles, CA]\209 Truckin'.flac</t>
  </si>
  <si>
    <t>Z:\Grateful Dead\# Dave's Picks #\46 - 1972-09-09 [Hollywood Palladium, Los Angeles, CA]\210 Drums.flac</t>
  </si>
  <si>
    <t>Z:\Grateful Dead\# Dave's Picks #\46 - 1972-09-09 [Hollywood Palladium, Los Angeles, CA]\211 The Other One.flac</t>
  </si>
  <si>
    <t>Z:\Grateful Dead\# Dave's Picks #\46 - 1972-09-09 [Hollywood Palladium, Los Angeles, CA]\212 Stella Blue.flac</t>
  </si>
  <si>
    <t>Z:\Grateful Dead\# Dave's Picks #\46 - 1972-09-09 [Hollywood Palladium, Los Angeles, CA]\213 El Paso.flac</t>
  </si>
  <si>
    <t>Z:\Grateful Dead\# Dave's Picks #\46 - 1972-09-19 [Roosevelt Stadium,  Jersey City,  NJ] % Bonus Disc\101 Bertha.flac</t>
  </si>
  <si>
    <t>Z:\Grateful Dead\# Dave's Picks #\46 - 1972-09-19 [Roosevelt Stadium,  Jersey City,  NJ] % Bonus Disc\102 Greatest Story Ever Told.flac</t>
  </si>
  <si>
    <t>Z:\Grateful Dead\# Dave's Picks #\46 - 1972-09-19 [Roosevelt Stadium,  Jersey City,  NJ] % Bonus Disc\103 Bird Song.flac</t>
  </si>
  <si>
    <t>Z:\Grateful Dead\# Dave's Picks #\46 - 1972-09-19 [Roosevelt Stadium,  Jersey City,  NJ] % Bonus Disc\201 Mississippi Half-Step Uptown Toodeloo.flac</t>
  </si>
  <si>
    <t>Z:\Grateful Dead\# Dave's Picks #\46 - 1972-09-19 [Roosevelt Stadium,  Jersey City,  NJ] % Bonus Disc\203 Brokedown Palace.flac</t>
  </si>
  <si>
    <t>Z:\Grateful Dead\# Dave's Picks #\47 - 1979-12-09 [Kiel Auditorium, St. Louis, MO]\101 Alabama Getaway.flac</t>
  </si>
  <si>
    <t>Z:\Grateful Dead\# Dave's Picks #\47 - 1979-12-09 [Kiel Auditorium, St. Louis, MO]\102 Promised Land.flac</t>
  </si>
  <si>
    <t>Z:\Grateful Dead\# Dave's Picks #\47 - 1979-12-09 [Kiel Auditorium, St. Louis, MO]\103 Brown-Eyed Women.flac</t>
  </si>
  <si>
    <t>Z:\Grateful Dead\# Dave's Picks #\47 - 1979-12-09 [Kiel Auditorium, St. Louis, MO]\104 Cassidy.flac</t>
  </si>
  <si>
    <t>Z:\Grateful Dead\# Dave's Picks #\47 - 1979-12-09 [Kiel Auditorium, St. Louis, MO]\105 Row Jimmy.flac</t>
  </si>
  <si>
    <t>Z:\Grateful Dead\# Dave's Picks #\47 - 1979-12-09 [Kiel Auditorium, St. Louis, MO]\106 New Minglewood Blues.flac</t>
  </si>
  <si>
    <t>Z:\Grateful Dead\# Dave's Picks #\47 - 1979-12-09 [Kiel Auditorium, St. Louis, MO]\107 Candyman.flac</t>
  </si>
  <si>
    <t>Z:\Grateful Dead\# Dave's Picks #\47 - 1979-12-09 [Kiel Auditorium, St. Louis, MO]\108 Lazy Lightning.flac</t>
  </si>
  <si>
    <t>Z:\Grateful Dead\# Dave's Picks #\47 - 1979-12-09 [Kiel Auditorium, St. Louis, MO]\109 Supplication.flac</t>
  </si>
  <si>
    <t>Z:\Grateful Dead\# Dave's Picks #\47 - 1979-12-09 [Kiel Auditorium, St. Louis, MO]\110 Deal.flac</t>
  </si>
  <si>
    <t>Z:\Grateful Dead\# Dave's Picks #\47 - 1979-12-09 [Kiel Auditorium, St. Louis, MO]\201 Shakedown Street.flac</t>
  </si>
  <si>
    <t>Z:\Grateful Dead\# Dave's Picks #\47 - 1979-12-09 [Kiel Auditorium, St. Louis, MO]\202 Samson And Delilah.flac</t>
  </si>
  <si>
    <t>Z:\Grateful Dead\# Dave's Picks #\47 - 1979-12-09 [Kiel Auditorium, St. Louis, MO]\203 High Time.flac</t>
  </si>
  <si>
    <t>Z:\Grateful Dead\# Dave's Picks #\47 - 1979-12-09 [Kiel Auditorium, St. Louis, MO]\204 Easy To Love You.flac</t>
  </si>
  <si>
    <t>Z:\Grateful Dead\# Dave's Picks #\47 - 1979-12-09 [Kiel Auditorium, St. Louis, MO]\205 Terrapin Station.flac</t>
  </si>
  <si>
    <t>Z:\Grateful Dead\# Dave's Picks #\47 - 1979-12-09 [Kiel Auditorium, St. Louis, MO]\206 Lost Sailor.flac</t>
  </si>
  <si>
    <t>Z:\Grateful Dead\# Dave's Picks #\47 - 1979-12-09 [Kiel Auditorium, St. Louis, MO]\207 Saint Of Circmstance.flac</t>
  </si>
  <si>
    <t>Saint Of Circmstance</t>
  </si>
  <si>
    <t>Z:\Grateful Dead\# Dave's Picks #\47 - 1979-12-09 [Kiel Auditorium, St. Louis, MO]\208 Jam.flac</t>
  </si>
  <si>
    <t>Z:\Grateful Dead\# Dave's Picks #\47 - 1979-12-09 [Kiel Auditorium, St. Louis, MO]\209 Drums.flac</t>
  </si>
  <si>
    <t>Z:\Grateful Dead\# Dave's Picks #\47 - 1979-12-09 [Kiel Auditorium, St. Louis, MO]\210 Space.flac</t>
  </si>
  <si>
    <t>Z:\Grateful Dead\# Dave's Picks #\47 - 1979-12-09 [Kiel Auditorium, St. Louis, MO]\211 Black Peter.flac</t>
  </si>
  <si>
    <t>Z:\Grateful Dead\# Dave's Picks #\47 - 1979-12-09 [Kiel Auditorium, St. Louis, MO]\212 I Need A Miracle.flac</t>
  </si>
  <si>
    <t>Z:\Grateful Dead\# Dave's Picks #\47 - 1979-12-09 [Kiel Auditorium, St. Louis, MO]\213 Bertha.flac</t>
  </si>
  <si>
    <t>Z:\Grateful Dead\# Dave's Picks #\47 - 1979-12-09 [Kiel Auditorium, St. Louis, MO]\214 Good Lovin'.flac</t>
  </si>
  <si>
    <t>Z:\Grateful Dead\# Dave's Picks #\47 - 1979-12-09 [Kiel Auditorium, St. Louis, MO]\215 Don't Ease Me In.flac</t>
  </si>
  <si>
    <t>Z:\Grateful Dead\# Dave's Picks #\48 - 1971-11-20 [Pauley Pavilion - UCLA, Los Angeles, CA] HDCD\202 Drums].flac</t>
  </si>
  <si>
    <t>Drums]</t>
  </si>
  <si>
    <t>Z:\Grateful Dead\# Dave's Picks #\48 - 1971-11-20 [Pauley Pavilion - UCLA, Los Angeles, CA] HDCD\101 Bertha.flac</t>
  </si>
  <si>
    <t>Z:\Grateful Dead\# Dave's Picks #\48 - 1971-11-20 [Pauley Pavilion - UCLA, Los Angeles, CA] HDCD\102 Me and My Uncle.flac</t>
  </si>
  <si>
    <t>Z:\Grateful Dead\# Dave's Picks #\48 - 1971-11-20 [Pauley Pavilion - UCLA, Los Angeles, CA] HDCD\103 Sugaree.flac</t>
  </si>
  <si>
    <t>Z:\Grateful Dead\# Dave's Picks #\48 - 1971-11-20 [Pauley Pavilion - UCLA, Los Angeles, CA] HDCD\104 Beat It On Down The Line.flac</t>
  </si>
  <si>
    <t>Z:\Grateful Dead\# Dave's Picks #\48 - 1971-11-20 [Pauley Pavilion - UCLA, Los Angeles, CA] HDCD\105 Tennessee Jed.flac</t>
  </si>
  <si>
    <t>Z:\Grateful Dead\# Dave's Picks #\48 - 1971-11-20 [Pauley Pavilion - UCLA, Los Angeles, CA] HDCD\106 Mexicali Blues.flac</t>
  </si>
  <si>
    <t>Z:\Grateful Dead\# Dave's Picks #\48 - 1971-11-20 [Pauley Pavilion - UCLA, Los Angeles, CA] HDCD\107 Brown-Eyed Women.flac</t>
  </si>
  <si>
    <t>Z:\Grateful Dead\# Dave's Picks #\48 - 1971-11-20 [Pauley Pavilion - UCLA, Los Angeles, CA] HDCD\108 El Paso.flac</t>
  </si>
  <si>
    <t>Z:\Grateful Dead\# Dave's Picks #\48 - 1971-11-20 [Pauley Pavilion - UCLA, Los Angeles, CA] HDCD\109 Big Railroad Blues.flac</t>
  </si>
  <si>
    <t>Z:\Grateful Dead\# Dave's Picks #\48 - 1971-11-20 [Pauley Pavilion - UCLA, Los Angeles, CA] HDCD\110 Jack Straw.flac</t>
  </si>
  <si>
    <t>Z:\Grateful Dead\# Dave's Picks #\48 - 1971-11-20 [Pauley Pavilion - UCLA, Los Angeles, CA] HDCD\111 Cumberland Blues.flac</t>
  </si>
  <si>
    <t>Z:\Grateful Dead\# Dave's Picks #\48 - 1971-11-20 [Pauley Pavilion - UCLA, Los Angeles, CA] HDCD\112 Playing In The Band.flac</t>
  </si>
  <si>
    <t>Z:\Grateful Dead\# Dave's Picks #\48 - 1971-11-20 [Pauley Pavilion - UCLA, Los Angeles, CA] HDCD\113 Casey Jones.flac</t>
  </si>
  <si>
    <t>Z:\Grateful Dead\# Dave's Picks #\48 - 1971-11-20 [Pauley Pavilion - UCLA, Los Angeles, CA] HDCD\114 One More Saturday Night.flac</t>
  </si>
  <si>
    <t>Z:\Grateful Dead\# Dave's Picks #\48 - 1971-11-20 [Pauley Pavilion - UCLA, Los Angeles, CA] HDCD\201 Truckin'].flac</t>
  </si>
  <si>
    <t>Z:\Grateful Dead\# Dave's Picks #\48 - 1971-11-20 [Pauley Pavilion - UCLA, Los Angeles, CA] HDCD\203 The Other One].flac</t>
  </si>
  <si>
    <t>The Other One]</t>
  </si>
  <si>
    <t>Z:\Grateful Dead\# Dave's Picks #\48 - 1971-11-20 [Pauley Pavilion - UCLA, Los Angeles, CA] HDCD\204 Ramble On Rose.flac</t>
  </si>
  <si>
    <t>Z:\Grateful Dead\# Dave's Picks #\48 - 1971-11-20 [Pauley Pavilion - UCLA, Los Angeles, CA] HDCD\205 Sugar Magnolia.flac</t>
  </si>
  <si>
    <t>Z:\Grateful Dead\# Dave's Picks #\48 - 1971-11-20 [Pauley Pavilion - UCLA, Los Angeles, CA] HDCD\206 You Win Again.flac</t>
  </si>
  <si>
    <t>Z:\Grateful Dead\# Dave's Picks #\48 - 1971-11-20 [Pauley Pavilion - UCLA, Los Angeles, CA] HDCD\207 Not Fade Away].flac</t>
  </si>
  <si>
    <t>Not Fade Away]</t>
  </si>
  <si>
    <t>Z:\Grateful Dead\# Dave's Picks #\48 - 1971-11-20 [Pauley Pavilion - UCLA, Los Angeles, CA] HDCD\208 Goin' Down The Road Feeling Bad.flac</t>
  </si>
  <si>
    <t>Z:\Grateful Dead\# Dave's Picks #\48 - 1971-11-20 [Pauley Pavilion - UCLA, Los Angeles, CA] HDCD\209 Not Fade Away.flac</t>
  </si>
  <si>
    <t>Z:\Grateful Dead\# Dave's Picks #\48 - 1971-11-20 [Pauley Pavilion - UCLA, Los Angeles, CA] HDCD\210 Dancing In The Street.flac</t>
  </si>
  <si>
    <t>Z:\Grateful Dead\# Dave's Picks #\48 - 1971-11-20 [Pauley Pavilion - UCLA, Los Angeles, CA] HDCD\211 Hurts Me Too.flac</t>
  </si>
  <si>
    <t>Z:\Grateful Dead\# Dave's Picks #\48 - 1971-11-20 [Pauley Pavilion - UCLA, Los Angeles, CA] HDCD\212  Good Lovin'.flac</t>
  </si>
  <si>
    <t>Z:\Grateful Dead\# Dave's Picks #\48 - 1971-11-20 [Pauley Pavilion - UCLA, Los Angeles, CA] HDCD\213 St. Stephen].flac</t>
  </si>
  <si>
    <t>St. Stephen]</t>
  </si>
  <si>
    <t>Z:\Grateful Dead\# Dave's Picks #\48 - 1971-11-20 [Pauley Pavilion - UCLA, Los Angeles, CA] HDCD\214 Not Fade Away].flac</t>
  </si>
  <si>
    <t>Z:\Grateful Dead\# Dave's Picks #\48 - 1971-11-20 [Pauley Pavilion - UCLA, Los Angeles, CA] HDCD\215 Goin' Down The Road Feeling Bad].flac</t>
  </si>
  <si>
    <t>Goin' Down The Road Feeling Bad]</t>
  </si>
  <si>
    <t>Z:\Grateful Dead\# Dave's Picks #\48 - 1971-11-20 [Pauley Pavilion - UCLA, Los Angeles, CA] HDCD\216 Not Fade Away].flac</t>
  </si>
  <si>
    <t>Z:\Grateful Dead\# Dave's Picks #\48 - 1971-11-20 [Pauley Pavilion - UCLA, Los Angeles, CA] HDCD\217 Turn On Your Lovelight.flac</t>
  </si>
  <si>
    <t>Z:\Grateful Dead\# Dave's Picks #\49 - 1985-04-27 [Frost Amphitheatre Stanford University, Palo Alto, CA] HDCD\101 Dancing in the Street.flac</t>
  </si>
  <si>
    <t>Z:\Grateful Dead\# Dave's Picks #\49 - 1985-04-27 [Frost Amphitheatre Stanford University, Palo Alto, CA] HDCD\102 Bertha.flac</t>
  </si>
  <si>
    <t>Z:\Grateful Dead\# Dave's Picks #\49 - 1985-04-27 [Frost Amphitheatre Stanford University, Palo Alto, CA] HDCD\103 Little Red Rooster.flac</t>
  </si>
  <si>
    <t>Z:\Grateful Dead\# Dave's Picks #\49 - 1985-04-27 [Frost Amphitheatre Stanford University, Palo Alto, CA] HDCD\104 Brown-Eyed Women.flac</t>
  </si>
  <si>
    <t>Z:\Grateful Dead\# Dave's Picks #\49 - 1985-04-27 [Frost Amphitheatre Stanford University, Palo Alto, CA] HDCD\105 My Brother Esau.flac</t>
  </si>
  <si>
    <t>Z:\Grateful Dead\# Dave's Picks #\49 - 1985-04-27 [Frost Amphitheatre Stanford University, Palo Alto, CA] HDCD\106 Ramble On Rose.flac</t>
  </si>
  <si>
    <t>Z:\Grateful Dead\# Dave's Picks #\49 - 1985-04-27 [Frost Amphitheatre Stanford University, Palo Alto, CA] HDCD\107 Just Like Tom Thumb's Blues.flac</t>
  </si>
  <si>
    <t>Just Like Tom Thumb's Blues</t>
  </si>
  <si>
    <t>Z:\Grateful Dead\# Dave's Picks #\49 - 1985-04-27 [Frost Amphitheatre Stanford University, Palo Alto, CA] HDCD\108 Cold Rain and Snow.flac</t>
  </si>
  <si>
    <t>Z:\Grateful Dead\# Dave's Picks #\49 - 1985-04-27 [Frost Amphitheatre Stanford University, Palo Alto, CA] HDCD\109 The Music Never Stopped.flac</t>
  </si>
  <si>
    <t>Z:\Grateful Dead\# Dave's Picks #\49 - 1985-04-27 [Frost Amphitheatre Stanford University, Palo Alto, CA] HDCD\201 Scarlet Begonias.flac</t>
  </si>
  <si>
    <t>Z:\Grateful Dead\# Dave's Picks #\49 - 1985-04-27 [Frost Amphitheatre Stanford University, Palo Alto, CA] HDCD\202 Eyes of the World.flac</t>
  </si>
  <si>
    <t>Z:\Grateful Dead\# Dave's Picks #\49 - 1985-04-27 [Frost Amphitheatre Stanford University, Palo Alto, CA] HDCD\203 Goin' Down the Road Feeling Bad.flac</t>
  </si>
  <si>
    <t>Z:\Grateful Dead\# Dave's Picks #\49 - 1985-04-27 [Frost Amphitheatre Stanford University, Palo Alto, CA] HDCD\204 Man Smart, Woman Smarter.flac</t>
  </si>
  <si>
    <t>Z:\Grateful Dead\# Dave's Picks #\49 - 1985-04-27 [Frost Amphitheatre Stanford University, Palo Alto, CA] HDCD\205 Drums.flac</t>
  </si>
  <si>
    <t>Z:\Grateful Dead\# Dave's Picks #\49 - 1985-04-27 [Frost Amphitheatre Stanford University, Palo Alto, CA] HDCD\206 Space.flac</t>
  </si>
  <si>
    <t>Z:\Grateful Dead\# Dave's Picks #\49 - 1985-04-27 [Frost Amphitheatre Stanford University, Palo Alto, CA] HDCD\207 The Wheel.flac</t>
  </si>
  <si>
    <t>Z:\Grateful Dead\# Dave's Picks #\49 - 1985-04-27 [Frost Amphitheatre Stanford University, Palo Alto, CA] HDCD\208 Truckin'.flac</t>
  </si>
  <si>
    <t>Z:\Grateful Dead\# Dave's Picks #\49 - 1985-04-27 [Frost Amphitheatre Stanford University, Palo Alto, CA] HDCD\209 The Other One.flac</t>
  </si>
  <si>
    <t>Z:\Grateful Dead\# Dave's Picks #\49 - 1985-04-27 [Frost Amphitheatre Stanford University, Palo Alto, CA] HDCD\210 Black Peter.flac</t>
  </si>
  <si>
    <t>Z:\Grateful Dead\# Dave's Picks #\49 - 1985-04-27 [Frost Amphitheatre Stanford University, Palo Alto, CA] HDCD\211 Around and Around.flac</t>
  </si>
  <si>
    <t>Z:\Grateful Dead\# Dave's Picks #\49 - 1985-04-27 [Frost Amphitheatre Stanford University, Palo Alto, CA] HDCD\212 One More Saturday Night.flac</t>
  </si>
  <si>
    <t>Z:\Grateful Dead\# Dave's Picks #\49 - 1985-04-27 [Frost Amphitheatre Stanford University, Palo Alto, CA] HDCD\213 Keep Your Day Job.flac</t>
  </si>
  <si>
    <t>Z:\Grateful Dead\# Dave's Picks #\49 - 1985-04-28 [Frost Amphitheatre Stanford University, Palo Alto, CA] HDCD\101 Gimme Some Lovin.flac</t>
  </si>
  <si>
    <t>Gimme Some Lovin</t>
  </si>
  <si>
    <t>Z:\Grateful Dead\# Dave's Picks #\49 - 1985-04-28 [Frost Amphitheatre Stanford University, Palo Alto, CA] HDCD\102 Mississippi Half-Step Uptown Toodeloo.flac</t>
  </si>
  <si>
    <t>Z:\Grateful Dead\# Dave's Picks #\49 - 1985-04-28 [Frost Amphitheatre Stanford University, Palo Alto, CA] HDCD\103 New Minglewood Blues.flac</t>
  </si>
  <si>
    <t>Z:\Grateful Dead\# Dave's Picks #\49 - 1985-04-28 [Frost Amphitheatre Stanford University, Palo Alto, CA] HDCD\104 Bird Song.flac</t>
  </si>
  <si>
    <t>Z:\Grateful Dead\# Dave's Picks #\49 - 1985-04-28 [Frost Amphitheatre Stanford University, Palo Alto, CA] HDCD\105 Tons of Steel.flac</t>
  </si>
  <si>
    <t>Tons of Steel</t>
  </si>
  <si>
    <t>Z:\Grateful Dead\# Dave's Picks #\49 - 1985-04-28 [Frost Amphitheatre Stanford University, Palo Alto, CA] HDCD\106 China Cat Sunflower.flac</t>
  </si>
  <si>
    <t>Z:\Grateful Dead\# Dave's Picks #\49 - 1985-04-28 [Frost Amphitheatre Stanford University, Palo Alto, CA] HDCD\107 I Know You Rider.flac</t>
  </si>
  <si>
    <t>Z:\Grateful Dead\# Dave's Picks #\49 - 1985-04-28 [Frost Amphitheatre Stanford University, Palo Alto, CA] HDCD\108 U.S. Blues.flac</t>
  </si>
  <si>
    <t>Z:\Grateful Dead\# Dave's Picks #\49 - 1985-04-28 [Frost Amphitheatre Stanford University, Palo Alto, CA] HDCD\109 She Belongs to Me.flac</t>
  </si>
  <si>
    <t>She Belongs to Me</t>
  </si>
  <si>
    <t>Z:\Grateful Dead\# Dave's Picks #\49 - 1985-04-28 [Frost Amphitheatre Stanford University, Palo Alto, CA] HDCD\201 Hell in a Bucket.flac</t>
  </si>
  <si>
    <t>Z:\Grateful Dead\# Dave's Picks #\49 - 1985-04-28 [Frost Amphitheatre Stanford University, Palo Alto, CA] HDCD\202 Crazy Fingers.flac</t>
  </si>
  <si>
    <t>Z:\Grateful Dead\# Dave's Picks #\49 - 1985-04-28 [Frost Amphitheatre Stanford University, Palo Alto, CA] HDCD\203 Playing in the Band.flac</t>
  </si>
  <si>
    <t>Z:\Grateful Dead\# Dave's Picks #\49 - 1985-04-28 [Frost Amphitheatre Stanford University, Palo Alto, CA] HDCD\204 China Doll.flac</t>
  </si>
  <si>
    <t>Z:\Grateful Dead\# Dave's Picks #\49 - 1985-04-28 [Frost Amphitheatre Stanford University, Palo Alto, CA] HDCD\205 Drums.flac</t>
  </si>
  <si>
    <t>Z:\Grateful Dead\# Dave's Picks #\49 - 1985-04-28 [Frost Amphitheatre Stanford University, Palo Alto, CA] HDCD\206 Space.flac</t>
  </si>
  <si>
    <t>Z:\Grateful Dead\# Dave's Picks #\49 - 1985-04-28 [Frost Amphitheatre Stanford University, Palo Alto, CA] HDCD\207 Playing in the Band.flac</t>
  </si>
  <si>
    <t>Z:\Grateful Dead\# Dave's Picks #\49 - 1985-04-28 [Frost Amphitheatre Stanford University, Palo Alto, CA] HDCD\208 Wharf Rat.flac</t>
  </si>
  <si>
    <t>Z:\Grateful Dead\# Dave's Picks #\49 - 1985-04-28 [Frost Amphitheatre Stanford University, Palo Alto, CA] HDCD\209 Throwing Stones.flac</t>
  </si>
  <si>
    <t>Z:\Grateful Dead\# Dave's Picks #\49 - 1985-04-28 [Frost Amphitheatre Stanford University, Palo Alto, CA] HDCD\210 Not Fade Away.flac</t>
  </si>
  <si>
    <t>Z:\Grateful Dead\# Dave's Picks #\50 - 1977-05-03 [The Palladium, New York, NY]\101 Promised Land.flac</t>
  </si>
  <si>
    <t>Z:\Grateful Dead\# Dave's Picks #\50 - 1977-05-03 [The Palladium, New York, NY]\102 Bertha.flac</t>
  </si>
  <si>
    <t>Z:\Grateful Dead\# Dave's Picks #\50 - 1977-05-03 [The Palladium, New York, NY]\103 Me and My Uncle.flac</t>
  </si>
  <si>
    <t>Z:\Grateful Dead\# Dave's Picks #\50 - 1977-05-03 [The Palladium, New York, NY]\104 Peggy-O.flac</t>
  </si>
  <si>
    <t>Z:\Grateful Dead\# Dave's Picks #\50 - 1977-05-03 [The Palladium, New York, NY]\105 Jack Straw.flac</t>
  </si>
  <si>
    <t>Z:\Grateful Dead\# Dave's Picks #\50 - 1977-05-03 [The Palladium, New York, NY]\106 Row Jimmy.flac</t>
  </si>
  <si>
    <t>Z:\Grateful Dead\# Dave's Picks #\50 - 1977-05-03 [The Palladium, New York, NY]\107 Lazy Lightning ].flac</t>
  </si>
  <si>
    <t>Z:\Grateful Dead\# Dave's Picks #\50 - 1977-05-03 [The Palladium, New York, NY]\108 Supplication.flac</t>
  </si>
  <si>
    <t>Z:\Grateful Dead\# Dave's Picks #\50 - 1977-05-03 [The Palladium, New York, NY]\109 Deal.flac</t>
  </si>
  <si>
    <t>Z:\Grateful Dead\# Dave's Picks #\50 - 1977-05-03 [The Palladium, New York, NY]\110 Good Lovin'.flac</t>
  </si>
  <si>
    <t>Z:\Grateful Dead\# Dave's Picks #\50 - 1977-05-03 [The Palladium, New York, NY]\111 Ship of Fools.flac</t>
  </si>
  <si>
    <t>Z:\Grateful Dead\# Dave's Picks #\50 - 1977-05-03 [The Palladium, New York, NY]\112 The Music Never Stopped.flac</t>
  </si>
  <si>
    <t>Z:\Grateful Dead\# Dave's Picks #\50 - 1977-05-03 [The Palladium, New York, NY]\201 Might as Well.flac</t>
  </si>
  <si>
    <t>Might as Well</t>
  </si>
  <si>
    <t>Z:\Grateful Dead\# Dave's Picks #\50 - 1977-05-03 [The Palladium, New York, NY]\202 Estimated Prophet.flac</t>
  </si>
  <si>
    <t>Z:\Grateful Dead\# Dave's Picks #\50 - 1977-05-03 [The Palladium, New York, NY]\203 Sugaree.flac</t>
  </si>
  <si>
    <t>Z:\Grateful Dead\# Dave's Picks #\50 - 1977-05-03 [The Palladium, New York, NY]\204 Samson and Delilah.flac</t>
  </si>
  <si>
    <t>Z:\Grateful Dead\# Dave's Picks #\50 - 1977-05-03 [The Palladium, New York, NY]\205 Friend of the Devil.flac</t>
  </si>
  <si>
    <t>Z:\Grateful Dead\# Dave's Picks #\50 - 1977-05-03 [The Palladium, New York, NY]\206 Eyes of the World ].flac</t>
  </si>
  <si>
    <t>Eyes of the World ]</t>
  </si>
  <si>
    <t>Z:\Grateful Dead\# Dave's Picks #\50 - 1977-05-03 [The Palladium, New York, NY]\207 Space ].flac</t>
  </si>
  <si>
    <t>Space ]</t>
  </si>
  <si>
    <t>Z:\Grateful Dead\# Dave's Picks #\50 - 1977-05-03 [The Palladium, New York, NY]\208 Wharf Rat ].flac</t>
  </si>
  <si>
    <t>Z:\Grateful Dead\# Dave's Picks #\50 - 1977-05-03 [The Palladium, New York, NY]\209 Drums ].flac</t>
  </si>
  <si>
    <t>Z:\Grateful Dead\# Dave's Picks #\50 - 1977-05-03 [The Palladium, New York, NY]\210 Not Fade Away ].flac</t>
  </si>
  <si>
    <t>Not Fade Away ]</t>
  </si>
  <si>
    <t>Z:\Grateful Dead\# Dave's Picks #\50 - 1977-05-03 [The Palladium, New York, NY]\211 Around and Around.flac</t>
  </si>
  <si>
    <t>Z:\Grateful Dead\# Dave's Picks #\50 - 1977-05-03 [The Palladium, New York, NY]\212 Uncle John's Band.flac</t>
  </si>
  <si>
    <t>Z:\Grateful Dead\# Dave's Picks #\50 - 1977-05-04 [The Palladium, New York, NY] %I II (Bonus + added tracks)\101 Big River.flac</t>
  </si>
  <si>
    <t>Z:\Grateful Dead\# Dave's Picks #\50 - 1977-05-04 [The Palladium, New York, NY] %I II (Bonus + added tracks)\102 Mississippi Half-Step Uptown Toodeloo ].flac</t>
  </si>
  <si>
    <t>Mississippi Half-Step Uptown Toodeloo ]</t>
  </si>
  <si>
    <t>Z:\Grateful Dead\# Dave's Picks #\50 - 1977-05-04 [The Palladium, New York, NY] %I II (Bonus + added tracks)\103 They Love Each Other.flac</t>
  </si>
  <si>
    <t>Z:\Grateful Dead\# Dave's Picks #\50 - 1977-05-04 [The Palladium, New York, NY] %I II (Bonus + added tracks)\105 It Must Have Been the Roses.flac</t>
  </si>
  <si>
    <t>Z:\Grateful Dead\# Dave's Picks #\50 - 1977-05-04 [The Palladium, New York, NY] %I II (Bonus + added tracks)\110 Dancing in the Street.flac</t>
  </si>
  <si>
    <t>Z:\Grateful Dead\# Dave's Picks #\50 - 1977-05-04 [The Palladium, New York, NY] %I II (Bonus + added tracks)\201 Estimated Prophet.flac</t>
  </si>
  <si>
    <t>Z:\Grateful Dead\# Dave's Picks #\50 - 1977-05-04 [The Palladium, New York, NY] %I II (Bonus + added tracks)\202 Scarlet Begonias ].flac</t>
  </si>
  <si>
    <t>Z:\Grateful Dead\# Dave's Picks #\50 - 1977-05-04 [The Palladium, New York, NY] %I II (Bonus + added tracks)\203 Fire on the Mountain.flac</t>
  </si>
  <si>
    <t>Z:\Grateful Dead\# Dave's Picks #\50 - 1977-05-04 [The Palladium, New York, NY] %I II (Bonus + added tracks)\204 Terrapin Station ].flac</t>
  </si>
  <si>
    <t>Terrapin Station ]</t>
  </si>
  <si>
    <t>Z:\Grateful Dead\# Dave's Picks #\50 - 1977-05-04 [The Palladium, New York, NY] %I II (Bonus + added tracks)\205 Playing in the Band ].flac</t>
  </si>
  <si>
    <t>Playing in the Band ]</t>
  </si>
  <si>
    <t>Z:\Grateful Dead\# Dave's Picks #\50 - 1977-05-04 [The Palladium, New York, NY] %I II (Bonus + added tracks)\206 Comes a Time ].flac</t>
  </si>
  <si>
    <t>Comes a Time ]</t>
  </si>
  <si>
    <t>Z:\Grateful Dead\# Dave's Picks #\50 - 1977-05-04 [The Palladium, New York, NY] %I II (Bonus + added tracks)\207 Playing in the Band.flac</t>
  </si>
  <si>
    <t>Z:\Grateful Dead\# Dave's Picks #\51 - 1970-10-24 [Kiel Opera House, St. Louis, MO] %II\203 Me And My Uncle.flac</t>
  </si>
  <si>
    <t>Z:\Grateful Dead\# Dave's Picks #\51 - 1970-10-24 [Kiel Opera House, St. Louis, MO] %II\204 Friend Of The Devil.flac</t>
  </si>
  <si>
    <t>Z:\Grateful Dead\# Dave's Picks #\51 - 1970-10-24 [Kiel Opera House, St. Louis, MO] %II\205 Cold Rain And Snow.flac</t>
  </si>
  <si>
    <t>Z:\Grateful Dead\# Dave's Picks #\51 - 1970-10-24 [Kiel Opera House, St. Louis, MO] %II\206 Attics Of My Life.flac</t>
  </si>
  <si>
    <t>Attics Of My Life</t>
  </si>
  <si>
    <t>Z:\Grateful Dead\# Dave's Picks #\51 - 1970-10-24 [Kiel Opera House, St. Louis, MO] %II\208 Casey Jones.flac</t>
  </si>
  <si>
    <t>Z:\Grateful Dead\# Dave's Picks #\51 - 1971-04-12 [Pittsburgh Civic Arena, Pittsburgh, PA] II\201 Truckin_ ».flac</t>
  </si>
  <si>
    <t>Truckin  »</t>
  </si>
  <si>
    <t>Z:\Grateful Dead\# Dave's Picks #\51 - 1971-04-12 [Pittsburgh Civic Arena, Pittsburgh, PA] II\202 Drums ».flac</t>
  </si>
  <si>
    <t>Drums »</t>
  </si>
  <si>
    <t>Z:\Grateful Dead\# Dave's Picks #\51 - 1971-04-12 [Pittsburgh Civic Arena, Pittsburgh, PA] II\203 The Other One ».flac</t>
  </si>
  <si>
    <t>The Other One »</t>
  </si>
  <si>
    <t>Z:\Grateful Dead\# Dave's Picks #\51 - 1971-04-12 [Pittsburgh Civic Arena, Pittsburgh, PA] II\204 Wharf Rat.flac</t>
  </si>
  <si>
    <t>Z:\Grateful Dead\# Dave's Picks #\51 - 1971-04-12 [Pittsburgh Civic Arena, Pittsburgh, PA] II\205 Me And Bobby McGee.flac</t>
  </si>
  <si>
    <t>Me And Bobby Mcgee</t>
  </si>
  <si>
    <t>Z:\Grateful Dead\# Dave's Picks #\51 - 1971-04-12 [Pittsburgh Civic Arena, Pittsburgh, PA] II\206 Casey Jones.flac</t>
  </si>
  <si>
    <t>Z:\Grateful Dead\# Dave's Picks #\51 - 1971-04-12 [Pittsburgh Civic Arena, Pittsburgh, PA] II\207 Sugar Magnolia.flac</t>
  </si>
  <si>
    <t>Z:\Grateful Dead\# Dave's Picks #\51 - 1971-04-12 [Pittsburgh Civic Arena, Pittsburgh, PA] II\208 Deal ».flac</t>
  </si>
  <si>
    <t>Deal »</t>
  </si>
  <si>
    <t>Z:\Grateful Dead\# Dave's Picks #\51 - 1971-04-12 [Pittsburgh Civic Arena, Pittsburgh, PA] II\209 Not Fade Away ».flac</t>
  </si>
  <si>
    <t>Not Fade Away »</t>
  </si>
  <si>
    <t>Z:\Grateful Dead\# Dave's Picks #\51 - 1971-04-12 [Pittsburgh Civic Arena, Pittsburgh, PA] II\210 Goin_ Down The Road Feeling Bad ».flac</t>
  </si>
  <si>
    <t>Goin  Down The Road Feeling Bad »</t>
  </si>
  <si>
    <t>Z:\Grateful Dead\# Dave's Picks #\51 - 1971-04-12 [Pittsburgh Civic Arena, Pittsburgh, PA] II\211 Turn On Your Lovelight.flac</t>
  </si>
  <si>
    <t>Z:\Grateful Dead\# Dave's Picks #\51 - 1971-04-13 [The Catholic Youth Center, Scranton, PA]\101 Casey Jones.flac</t>
  </si>
  <si>
    <t>Z:\Grateful Dead\# Dave's Picks #\51 - 1971-04-13 [The Catholic Youth Center, Scranton, PA]\102 Mama Tried.flac</t>
  </si>
  <si>
    <t>Z:\Grateful Dead\# Dave's Picks #\51 - 1971-04-13 [The Catholic Youth Center, Scranton, PA]\103 Loser.flac</t>
  </si>
  <si>
    <t>Z:\Grateful Dead\# Dave's Picks #\51 - 1971-04-13 [The Catholic Youth Center, Scranton, PA]\104 Big Boss Man.flac</t>
  </si>
  <si>
    <t>Z:\Grateful Dead\# Dave's Picks #\51 - 1971-04-13 [The Catholic Youth Center, Scranton, PA]\105 Me And Bobby McGee.flac</t>
  </si>
  <si>
    <t>Z:\Grateful Dead\# Dave's Picks #\51 - 1971-04-13 [The Catholic Youth Center, Scranton, PA]\106 Bertha.flac</t>
  </si>
  <si>
    <t>Z:\Grateful Dead\# Dave's Picks #\51 - 1971-04-13 [The Catholic Youth Center, Scranton, PA]\107 Cumberland Blues.flac</t>
  </si>
  <si>
    <t>Z:\Grateful Dead\# Dave's Picks #\51 - 1971-04-13 [The Catholic Youth Center, Scranton, PA]\108 Big Railroad Blues.flac</t>
  </si>
  <si>
    <t>Z:\Grateful Dead\# Dave's Picks #\51 - 1971-04-13 [The Catholic Youth Center, Scranton, PA]\109 Playing In The Band.flac</t>
  </si>
  <si>
    <t>Z:\Grateful Dead\# Dave's Picks #\51 - 1971-04-13 [The Catholic Youth Center, Scranton, PA]\110 Hard To Handle.flac</t>
  </si>
  <si>
    <t>Z:\Grateful Dead\# Dave's Picks #\51 - 1971-04-13 [The Catholic Youth Center, Scranton, PA]\111 Sugar Magnolia.flac</t>
  </si>
  <si>
    <t>Z:\Grateful Dead\# Dave's Picks #\51 - 1971-04-13 [The Catholic Youth Center, Scranton, PA]\201 Truckin_ ».flac</t>
  </si>
  <si>
    <t>Z:\Grateful Dead\# Dave's Picks #\51 - 1971-04-13 [The Catholic Youth Center, Scranton, PA]\202 Drums ».flac</t>
  </si>
  <si>
    <t>Z:\Grateful Dead\# Dave's Picks #\51 - 1971-04-13 [The Catholic Youth Center, Scranton, PA]\203 Good Lovin_.flac</t>
  </si>
  <si>
    <t>Good Lovin</t>
  </si>
  <si>
    <t>Z:\Grateful Dead\# Dave's Picks #\51 - 1971-04-13 [The Catholic Youth Center, Scranton, PA]\204 I Second That Emotion.flac</t>
  </si>
  <si>
    <t>I Second That Emotion</t>
  </si>
  <si>
    <t>Z:\Grateful Dead\# Dave's Picks #\51 - 1971-04-13 [The Catholic Youth Center, Scranton, PA]\205 Greatest Story Ever Told ».flac</t>
  </si>
  <si>
    <t>Greatest Story Ever Told »</t>
  </si>
  <si>
    <t>Z:\Grateful Dead\# Dave's Picks #\51 - 1971-04-13 [The Catholic Youth Center, Scranton, PA]\206 Johnny B. Goode.flac</t>
  </si>
  <si>
    <t>Z:\Grateful Dead\# Dave's Picks #\51 - 1971-04-13 [The Catholic Youth Center, Scranton, PA]\207 Uncle John_s Band.flac</t>
  </si>
  <si>
    <t>Uncle John S Band</t>
  </si>
  <si>
    <t>Z:\Grateful Dead\# Dave's Picks #\52 - 1983-09-11 [Downs of Santa Fe, Santa Fe, NM]\101 Alabama Getaway.flac</t>
  </si>
  <si>
    <t>Z:\Grateful Dead\# Dave's Picks #\52 - 1983-09-11 [Downs of Santa Fe, Santa Fe, NM]\102 Greatest Story Ever Told.flac</t>
  </si>
  <si>
    <t>Z:\Grateful Dead\# Dave's Picks #\52 - 1983-09-11 [Downs of Santa Fe, Santa Fe, NM]\103 Dire Wolf.flac</t>
  </si>
  <si>
    <t>Z:\Grateful Dead\# Dave's Picks #\52 - 1983-09-11 [Downs of Santa Fe, Santa Fe, NM]\104 Hell in a Bucket.flac</t>
  </si>
  <si>
    <t>Z:\Grateful Dead\# Dave's Picks #\52 - 1983-09-11 [Downs of Santa Fe, Santa Fe, NM]\105 West L.A. Fadeaway.flac</t>
  </si>
  <si>
    <t>Z:\Grateful Dead\# Dave's Picks #\52 - 1983-09-11 [Downs of Santa Fe, Santa Fe, NM]\106 Me and My Uncle.flac</t>
  </si>
  <si>
    <t>Z:\Grateful Dead\# Dave's Picks #\52 - 1983-09-11 [Downs of Santa Fe, Santa Fe, NM]\107 Mexicali Blues.flac</t>
  </si>
  <si>
    <t>Z:\Grateful Dead\# Dave's Picks #\52 - 1983-09-11 [Downs of Santa Fe, Santa Fe, NM]\108 Althea.flac</t>
  </si>
  <si>
    <t>Z:\Grateful Dead\# Dave's Picks #\52 - 1983-09-11 [Downs of Santa Fe, Santa Fe, NM]\109 C.C. Rider.flac</t>
  </si>
  <si>
    <t>Z:\Grateful Dead\# Dave's Picks #\52 - 1983-09-11 [Downs of Santa Fe, Santa Fe, NM]\110 Might as Well.flac</t>
  </si>
  <si>
    <t>Z:\Grateful Dead\# Dave's Picks #\52 - 1983-09-11 [Downs of Santa Fe, Santa Fe, NM]\201 Help on the Way.flac</t>
  </si>
  <si>
    <t>Z:\Grateful Dead\# Dave's Picks #\52 - 1983-09-11 [Downs of Santa Fe, Santa Fe, NM]\202 Slipknot!.flac</t>
  </si>
  <si>
    <t>Z:\Grateful Dead\# Dave's Picks #\52 - 1983-09-11 [Downs of Santa Fe, Santa Fe, NM]\203 Franklin's Tower.flac</t>
  </si>
  <si>
    <t>Z:\Grateful Dead\# Dave's Picks #\52 - 1983-09-11 [Downs of Santa Fe, Santa Fe, NM]\204 Let It Grow.flac</t>
  </si>
  <si>
    <t>Z:\Grateful Dead\# Dave's Picks #\52 - 1983-09-11 [Downs of Santa Fe, Santa Fe, NM]\205 He's Gone.flac</t>
  </si>
  <si>
    <t>Z:\Grateful Dead\# Dave's Picks #\52 - 1983-09-11 [Downs of Santa Fe, Santa Fe, NM]\206 Drums.flac</t>
  </si>
  <si>
    <t>Z:\Grateful Dead\# Dave's Picks #\52 - 1983-09-11 [Downs of Santa Fe, Santa Fe, NM]\207 Space .flac</t>
  </si>
  <si>
    <t>Z:\Grateful Dead\# Dave's Picks #\52 - 1983-09-11 [Downs of Santa Fe, Santa Fe, NM]\208 Truckin'.flac</t>
  </si>
  <si>
    <t>Z:\Grateful Dead\# Dave's Picks #\52 - 1983-09-11 [Downs of Santa Fe, Santa Fe, NM]\209 Wang Dang Doodle.flac</t>
  </si>
  <si>
    <t>Wang Dang Doodle</t>
  </si>
  <si>
    <t>Z:\Grateful Dead\# Dave's Picks #\52 - 1983-09-11 [Downs of Santa Fe, Santa Fe, NM]\210 Morning Dew.flac</t>
  </si>
  <si>
    <t>Z:\Grateful Dead\# Dave's Picks #\52 - 1983-09-11 [Downs of Santa Fe, Santa Fe, NM]\211 Around and Around.flac</t>
  </si>
  <si>
    <t>Z:\Grateful Dead\# Dave's Picks #\52 - 1983-09-11 [Downs of Santa Fe, Santa Fe, NM]\212 Sugar Magnolia.flac</t>
  </si>
  <si>
    <t>Z:\Grateful Dead\# Dave's Picks #\52 - 1983-09-11 [Downs of Santa Fe, Santa Fe, NM]\213 U.S. Blues.flac</t>
  </si>
  <si>
    <t>Z:\Grateful Dead\# Dave's Picks #\52 - 1983-09-11 [Downs of Santa Fe, Santa Fe, NM]\214 Cumberland Blues.flac</t>
  </si>
  <si>
    <t>Z:\Grateful Dead\# Dave's Picks #\52 - 1983-09-11 [Downs of Santa Fe, Santa Fe, NM]\215 Playing in the Band.flac</t>
  </si>
  <si>
    <t>Z:\Grateful Dead\# Dave's Picks #\52 - 1983-09-11 [Downs of Santa Fe, Santa Fe, NM]\216 China Doll.flac</t>
  </si>
  <si>
    <t>Z:\Grateful Dead\# Dave's Picks #\53 - 1976-10-02 [Riverfront Coliseum, Cincinnati, OH]\101 Promised Land.flac</t>
  </si>
  <si>
    <t>Z:\Grateful Dead\# Dave's Picks #\53 - 1976-10-02 [Riverfront Coliseum, Cincinnati, OH]\102 They Love Each Other.flac</t>
  </si>
  <si>
    <t>Z:\Grateful Dead\# Dave's Picks #\53 - 1976-10-02 [Riverfront Coliseum, Cincinnati, OH]\103 New Minglewood Blues.flac</t>
  </si>
  <si>
    <t>Minglewood Blues</t>
  </si>
  <si>
    <t>Z:\Grateful Dead\# Dave's Picks #\53 - 1976-10-02 [Riverfront Coliseum, Cincinnati, OH]\104 Row Jimmy.flac</t>
  </si>
  <si>
    <t>Z:\Grateful Dead\# Dave's Picks #\53 - 1976-10-02 [Riverfront Coliseum, Cincinnati, OH]\105 El Paso.flac</t>
  </si>
  <si>
    <t>Z:\Grateful Dead\# Dave's Picks #\53 - 1976-10-02 [Riverfront Coliseum, Cincinnati, OH]\106 Tennessee Jed.flac</t>
  </si>
  <si>
    <t>Z:\Grateful Dead\# Dave's Picks #\53 - 1976-10-02 [Riverfront Coliseum, Cincinnati, OH]\107 It's All Over Now.flac</t>
  </si>
  <si>
    <t>Z:\Grateful Dead\# Dave's Picks #\53 - 1976-10-02 [Riverfront Coliseum, Cincinnati, OH]\108 Brown-Eyed Women.flac</t>
  </si>
  <si>
    <t>Z:\Grateful Dead\# Dave's Picks #\53 - 1976-10-02 [Riverfront Coliseum, Cincinnati, OH]\109 Let It Grow.flac</t>
  </si>
  <si>
    <t>Z:\Grateful Dead\# Dave's Picks #\53 - 1976-10-02 [Riverfront Coliseum, Cincinnati, OH]\110 Might As Well.flac</t>
  </si>
  <si>
    <t>Z:\Grateful Dead\# Dave's Picks #\53 - 1976-10-02 [Riverfront Coliseum, Cincinnati, OH]\201 The Music Never Stopped.flac</t>
  </si>
  <si>
    <t>Z:\Grateful Dead\# Dave's Picks #\53 - 1976-10-02 [Riverfront Coliseum, Cincinnati, OH]\202 Candyman.flac</t>
  </si>
  <si>
    <t>Z:\Grateful Dead\# Dave's Picks #\53 - 1976-10-02 [Riverfront Coliseum, Cincinnati, OH]\203 Samson And Delilah.flac</t>
  </si>
  <si>
    <t>Z:\Grateful Dead\# Dave's Picks #\53 - 1976-10-02 [Riverfront Coliseum, Cincinnati, OH]\204 It Must Have Been The Roses.flac</t>
  </si>
  <si>
    <t>Z:\Grateful Dead\# Dave's Picks #\53 - 1976-10-02 [Riverfront Coliseum, Cincinnati, OH]\205 Big River.flac</t>
  </si>
  <si>
    <t>Z:\Grateful Dead\# Dave's Picks #\53 - 1976-10-02 [Riverfront Coliseum, Cincinnati, OH]\206 Friend Of The Devil.flac</t>
  </si>
  <si>
    <t>Z:\Grateful Dead\# Dave's Picks #\53 - 1976-10-02 [Riverfront Coliseum, Cincinnati, OH]\207 Dancing In The Street.flac</t>
  </si>
  <si>
    <t>Z:\Grateful Dead\# Dave's Picks #\53 - 1976-10-02 [Riverfront Coliseum, Cincinnati, OH]\208 Drums.flac</t>
  </si>
  <si>
    <t>Z:\Grateful Dead\# Dave's Picks #\53 - 1976-10-02 [Riverfront Coliseum, Cincinnati, OH]\209 The Other One.flac</t>
  </si>
  <si>
    <t>Z:\Grateful Dead\# Dave's Picks #\53 - 1976-10-02 [Riverfront Coliseum, Cincinnati, OH]\210 Stella Blue.flac</t>
  </si>
  <si>
    <t>Z:\Grateful Dead\# Dave's Picks #\53 - 1976-10-02 [Riverfront Coliseum, Cincinnati, OH]\211 The Other One.flac</t>
  </si>
  <si>
    <t>Z:\Grateful Dead\# Dave's Picks #\53 - 1976-10-02 [Riverfront Coliseum, Cincinnati, OH]\212 Sugar Magnolia.flac</t>
  </si>
  <si>
    <t>Z:\Grateful Dead\# Dave's Picks #\53 - 1977-05-04 [Palladium, New York, NY] % Filler\105 New Minglewood Blues.flac</t>
  </si>
  <si>
    <t>Z:\Grateful Dead\# Dave's Picks #\53 - 1977-05-04 [Palladium, New York, NY] % Filler\107 Cassidy.flac</t>
  </si>
  <si>
    <t>Z:\Grateful Dead\# Dave's Picks #\53 - 1977-05-04 [Palladium, New York, NY] % Filler\108 Deal.flac</t>
  </si>
  <si>
    <t>Z:\Grateful Dead\# Dave's Picks #\53 - 1977-05-04 [Palladium, New York, NY] % Filler\109 Looks Like Rain.flac</t>
  </si>
  <si>
    <t>Z:\Grateful Dead\# Dave's Picks #\53 - 1977-05-04 [Palladium, New York, NY] % Filler\110 Brown-Eyed Women.flac</t>
  </si>
  <si>
    <t>Z:\Grateful Dead\# Dave's Picks #\54 - 1973-03-26 [Civic Center, Baltimore, MD]\101 Promised Land.flac</t>
  </si>
  <si>
    <t>Z:\Grateful Dead\# Dave's Picks #\54 - 1973-03-26 [Civic Center, Baltimore, MD]\102 Mississippi Half-Step Uptown Toodeloo.flac</t>
  </si>
  <si>
    <t>Mississippi Half Step Uptown Toodeloo</t>
  </si>
  <si>
    <t>Z:\Grateful Dead\# Dave's Picks #\54 - 1973-03-26 [Civic Center, Baltimore, MD]\103 The Race Is On.flac</t>
  </si>
  <si>
    <t>Z:\Grateful Dead\# Dave's Picks #\54 - 1973-03-26 [Civic Center, Baltimore, MD]\104 Wave That Flag.flac</t>
  </si>
  <si>
    <t>Z:\Grateful Dead\# Dave's Picks #\54 - 1973-03-26 [Civic Center, Baltimore, MD]\105 Jack Straw.flac</t>
  </si>
  <si>
    <t>Z:\Grateful Dead\# Dave's Picks #\54 - 1973-03-26 [Civic Center, Baltimore, MD]\106 Sugaree.flac</t>
  </si>
  <si>
    <t>Z:\Grateful Dead\# Dave's Picks #\54 - 1973-03-26 [Civic Center, Baltimore, MD]\107 Mexicali Blues.flac</t>
  </si>
  <si>
    <t>Z:\Grateful Dead\# Dave's Picks #\54 - 1973-03-26 [Civic Center, Baltimore, MD]\108 Box of Rain.flac</t>
  </si>
  <si>
    <t>Z:\Grateful Dead\# Dave's Picks #\54 - 1973-03-26 [Civic Center, Baltimore, MD]\109 Row Jimmy.flac</t>
  </si>
  <si>
    <t>Z:\Grateful Dead\# Dave's Picks #\54 - 1973-03-26 [Civic Center, Baltimore, MD]\110 Beat It On Down the Line.flac</t>
  </si>
  <si>
    <t>Z:\Grateful Dead\# Dave's Picks #\54 - 1973-03-26 [Civic Center, Baltimore, MD]\111 Brown-Eyed Women.flac</t>
  </si>
  <si>
    <t>Z:\Grateful Dead\# Dave's Picks #\54 - 1973-03-26 [Civic Center, Baltimore, MD]\112 El Paso.flac</t>
  </si>
  <si>
    <t>Z:\Grateful Dead\# Dave's Picks #\54 - 1973-03-26 [Civic Center, Baltimore, MD]\113 China Cat Sunflower ].flac</t>
  </si>
  <si>
    <t>Z:\Grateful Dead\# Dave's Picks #\54 - 1973-03-26 [Civic Center, Baltimore, MD]\114 I Know You Rider.flac</t>
  </si>
  <si>
    <t>Z:\Grateful Dead\# Dave's Picks #\54 - 1973-03-26 [Civic Center, Baltimore, MD]\115 Looks Like Rain.flac</t>
  </si>
  <si>
    <t>Z:\Grateful Dead\# Dave's Picks #\54 - 1973-03-26 [Civic Center, Baltimore, MD]\116 Don't Ease Me In.flac</t>
  </si>
  <si>
    <t>Z:\Grateful Dead\# Dave's Picks #\54 - 1973-03-26 [Civic Center, Baltimore, MD]\117 Playing in the Band.flac</t>
  </si>
  <si>
    <t>Z:\Grateful Dead\# Dave's Picks #\54 - 1973-03-26 [Civic Center, Baltimore, MD]\201 Wolfman Jack Introduction.flac</t>
  </si>
  <si>
    <t>Wolfman Jack Introduction</t>
  </si>
  <si>
    <t>Z:\Grateful Dead\# Dave's Picks #\54 - 1973-03-26 [Civic Center, Baltimore, MD]\202 Ramble On Rose.flac</t>
  </si>
  <si>
    <t>Z:\Grateful Dead\# Dave's Picks #\54 - 1973-03-26 [Civic Center, Baltimore, MD]\203 Big River.flac</t>
  </si>
  <si>
    <t>Z:\Grateful Dead\# Dave's Picks #\54 - 1973-03-26 [Civic Center, Baltimore, MD]\204 Here Comes Sunshine.flac</t>
  </si>
  <si>
    <t>Z:\Grateful Dead\# Dave's Picks #\54 - 1973-03-26 [Civic Center, Baltimore, MD]\205 Greatest Story Ever Told.flac</t>
  </si>
  <si>
    <t>Z:\Grateful Dead\# Dave's Picks #\54 - 1973-03-26 [Civic Center, Baltimore, MD]\206 Candyman.flac</t>
  </si>
  <si>
    <t>Z:\Grateful Dead\# Dave's Picks #\54 - 1973-03-26 [Civic Center, Baltimore, MD]\207 Me and My Uncle.flac</t>
  </si>
  <si>
    <t>Z:\Grateful Dead\# Dave's Picks #\54 - 1973-03-26 [Civic Center, Baltimore, MD]\208 One More Saturday Night.flac</t>
  </si>
  <si>
    <t>Z:\Grateful Dead\# Dave's Picks #\54 - 1973-03-26 [Civic Center, Baltimore, MD]\209 He's Gone ].flac</t>
  </si>
  <si>
    <t>Z:\Grateful Dead\# Dave's Picks #\54 - 1973-03-26 [Civic Center, Baltimore, MD]\210 Truckin' ].flac</t>
  </si>
  <si>
    <t>Z:\Grateful Dead\# Dave's Picks #\54 - 1973-03-26 [Civic Center, Baltimore, MD]\211 Weather Report Suite- Prelude ].flac</t>
  </si>
  <si>
    <t>Z:\Grateful Dead\# Dave's Picks #\54 - 1973-03-26 [Civic Center, Baltimore, MD]\212 Jam ].flac</t>
  </si>
  <si>
    <t>Z:\Grateful Dead\# Dave's Picks #\54 - 1973-03-26 [Civic Center, Baltimore, MD]\213 Wharf Rat ].flac</t>
  </si>
  <si>
    <t>Z:\Grateful Dead\# Dave's Picks #\54 - 1973-03-26 [Civic Center, Baltimore, MD]\214 Me and Bobby McGee ].flac</t>
  </si>
  <si>
    <t>Z:\Grateful Dead\# Dave's Picks #\54 - 1973-03-26 [Civic Center, Baltimore, MD]\215 Eyes of the World ].flac</t>
  </si>
  <si>
    <t>Z:\Grateful Dead\# Dave's Picks #\54 - 1973-03-26 [Civic Center, Baltimore, MD]\216 Morning Dew.flac</t>
  </si>
  <si>
    <t>Z:\Grateful Dead\# Dave's Picks #\54 - 1973-03-26 [Civic Center, Baltimore, MD]\217 Playing in the Band.flac</t>
  </si>
  <si>
    <t>Z:\Grateful Dead\# Dave's Picks #\54 - 1973-03-26 [Civic Center, Baltimore, MD]\218 He's Gone ].flac</t>
  </si>
  <si>
    <t>Z:\Grateful Dead\# Dave's Picks #\54 - 1973-03-26 [Civic Center, Baltimore, MD]\219 Truckin' ].flac</t>
  </si>
  <si>
    <t>Z:\Grateful Dead\# Dave's Picks #\54 - 1973-03-26 [Civic Center, Baltimore, MD]\220 Drums ].flac</t>
  </si>
  <si>
    <t>Z:\Grateful Dead\# Dave's Picks #\54 - 1973-03-26 [Civic Center, Baltimore, MD]\221 The Other One ].flac</t>
  </si>
  <si>
    <t>Z:\Grateful Dead\# Dave's Picks #\54 - 1973-03-26 [Civic Center, Baltimore, MD]\222 Jam ].flac</t>
  </si>
  <si>
    <t>Z:\Grateful Dead\# Dave's Picks #\54 - 1973-03-26 [Civic Center, Baltimore, MD]\223 I Know You Rider.flac</t>
  </si>
  <si>
    <t>Z:\Grateful Dead\# Dave's Picks #\54 - 1973-03-26 [Civic Center, Baltimore, MD]\224 Sugar Magnolia.flac</t>
  </si>
  <si>
    <t>Z:\Grateful Dead\# Dave's Picks #\55\55 - 1990-10-28 [Le Zenith, Paris, France]\101 Touch Of Grey.flac</t>
  </si>
  <si>
    <t>Touch Of Grey &gt;</t>
  </si>
  <si>
    <t>Z:\Grateful Dead\# Dave's Picks #\55\55 - 1990-10-28 [Le Zenith, Paris, France]\102 Walkin’ Blues.flac</t>
  </si>
  <si>
    <t>Walkin’ Blues</t>
  </si>
  <si>
    <t>Z:\Grateful Dead\# Dave's Picks #\55\55 - 1990-10-28 [Le Zenith, Paris, France]\103 Candyman.flac</t>
  </si>
  <si>
    <t>Z:\Grateful Dead\# Dave's Picks #\55\55 - 1990-10-28 [Le Zenith, Paris, France]\104 Box of Rain.flac</t>
  </si>
  <si>
    <t>Z:\Grateful Dead\# Dave's Picks #\55\55 - 1990-10-28 [Le Zenith, Paris, France]\105 Mexicali Blues.flac</t>
  </si>
  <si>
    <t>Mexicali Blues &gt;</t>
  </si>
  <si>
    <t>Z:\Grateful Dead\# Dave's Picks #\55\55 - 1990-10-28 [Le Zenith, Paris, France]\106 Maggie’s Farm.flac</t>
  </si>
  <si>
    <t>Maggie’s Farm</t>
  </si>
  <si>
    <t>Z:\Grateful Dead\# Dave's Picks #\55\55 - 1990-10-28 [Le Zenith, Paris, France]\107 Althea.flac</t>
  </si>
  <si>
    <t>Z:\Grateful Dead\# Dave's Picks #\55\55 - 1990-10-28 [Le Zenith, Paris, France]\108 Cassidy.flac</t>
  </si>
  <si>
    <t>Z:\Grateful Dead\# Dave's Picks #\55\55 - 1990-10-28 [Le Zenith, Paris, France]\109 Tennessee Jed.flac</t>
  </si>
  <si>
    <t>Z:\Grateful Dead\# Dave's Picks #\55\55 - 1990-10-28 [Le Zenith, Paris, France]\110 Stander on the Mountain.flac</t>
  </si>
  <si>
    <t>Stander on the Mountain</t>
  </si>
  <si>
    <t>Z:\Grateful Dead\# Dave's Picks #\55\55 - 1990-10-28 [Le Zenith, Paris, France]\201 Victim Or The Crime.flac</t>
  </si>
  <si>
    <t>Victim Or The Crime &gt;</t>
  </si>
  <si>
    <t>Z:\Grateful Dead\# Dave's Picks #\55\55 - 1990-10-28 [Le Zenith, Paris, France]\202 Eyes Of The World.flac</t>
  </si>
  <si>
    <t>Z:\Grateful Dead\# Dave's Picks #\55\55 - 1990-10-28 [Le Zenith, Paris, France]\203 Estimated Prophet.flac</t>
  </si>
  <si>
    <t>Z:\Grateful Dead\# Dave's Picks #\55\55 - 1990-10-28 [Le Zenith, Paris, France]\204 Uncle John's Band.flac</t>
  </si>
  <si>
    <t>Z:\Grateful Dead\# Dave's Picks #\55\55 - 1990-10-28 [Le Zenith, Paris, France]\205 Drums.flac</t>
  </si>
  <si>
    <t>Z:\Grateful Dead\# Dave's Picks #\55\55 - 1990-10-28 [Le Zenith, Paris, France]\206 Space.flac</t>
  </si>
  <si>
    <t>Z:\Grateful Dead\# Dave's Picks #\55\55 - 1990-10-28 [Le Zenith, Paris, France]\207 The Other One.flac</t>
  </si>
  <si>
    <t>Z:\Grateful Dead\# Dave's Picks #\55\55 - 1990-10-28 [Le Zenith, Paris, France]\208 Wharf Rat.flac</t>
  </si>
  <si>
    <t>Z:\Grateful Dead\# Dave's Picks #\55\55 - 1990-10-28 [Le Zenith, Paris, France]\209 Sugar Magnolia.flac</t>
  </si>
  <si>
    <t>Z:\Grateful Dead\# Dave's Picks #\55\55 - 1990-10-28 [Le Zenith, Paris, France]\210 Knockin’ on Heaven’s Door.flac</t>
  </si>
  <si>
    <t>Knockin’ on Heaven’s Door</t>
  </si>
  <si>
    <t>Z:\Grateful Dead\# Dave's Picks #\55\55 - 1990-10-30 [Wembley Arena, London, England]\107 Let It Grow _.flac</t>
  </si>
  <si>
    <t>Z:\Grateful Dead\# Dave's Picks #\55\55 - 1990-10-30 [Wembley Arena, London, England]\108 Jam _.flac</t>
  </si>
  <si>
    <t>Jam &gt;</t>
  </si>
  <si>
    <t>Z:\Grateful Dead\# Dave's Picks #\55\55 - 1990-10-30 [Wembley Arena, London, England]\109 Valley Road.flac</t>
  </si>
  <si>
    <t>Valley Road</t>
  </si>
  <si>
    <t>Z:\Grateful Dead\# Dave's Picks #\55\55 - 1990-10-30 [Wembley Arena, London, England]\201 Picasso Moon _.flac</t>
  </si>
  <si>
    <t>Picasso Moon &gt;</t>
  </si>
  <si>
    <t>Z:\Grateful Dead\# Dave's Picks #\55\55 - 1990-10-30 [Wembley Arena, London, England]\202 Foolish Heart _.flac</t>
  </si>
  <si>
    <t>Foolish Heart &gt;</t>
  </si>
  <si>
    <t>Z:\Grateful Dead\# Dave's Picks #\55\55 - 1990-10-30 [Wembley Arena, London, England]\203 Looks Like Rain _.flac</t>
  </si>
  <si>
    <t>Z:\Grateful Dead\# Dave's Picks #\55\55 - 1990-10-30 [Wembley Arena, London, England]\204 Terrapin Station.flac</t>
  </si>
  <si>
    <t>Z:\Grateful Dead\# Dave's Picks #\99 - 1977-05-04 [Palladium, New York, NY] % DP50&amp;53\101 Big River.flac</t>
  </si>
  <si>
    <t>Z:\Grateful Dead\# Dave's Picks #\99 - 1977-05-04 [Palladium, New York, NY] % DP50&amp;53\102 Mississippi Half-Step Uptown Toodeloo ].flac</t>
  </si>
  <si>
    <t>Z:\Grateful Dead\# Dave's Picks #\99 - 1977-05-04 [Palladium, New York, NY] % DP50&amp;53\103 They Love Each Other.flac</t>
  </si>
  <si>
    <t>Z:\Grateful Dead\# Dave's Picks #\99 - 1977-05-04 [Palladium, New York, NY] % DP50&amp;53\105 It Must Have Been the Roses.flac</t>
  </si>
  <si>
    <t>Z:\Grateful Dead\# Dave's Picks #\99 - 1977-05-04 [Palladium, New York, NY] % DP50&amp;53\105 New Minglewood Blues.flac</t>
  </si>
  <si>
    <t>Z:\Grateful Dead\# Dave's Picks #\99 - 1977-05-04 [Palladium, New York, NY] % DP50&amp;53\107 Cassidy.flac</t>
  </si>
  <si>
    <t>Z:\Grateful Dead\# Dave's Picks #\99 - 1977-05-04 [Palladium, New York, NY] % DP50&amp;53\108 Deal.flac</t>
  </si>
  <si>
    <t>Z:\Grateful Dead\# Dave's Picks #\99 - 1977-05-04 [Palladium, New York, NY] % DP50&amp;53\109 Looks Like Rain.flac</t>
  </si>
  <si>
    <t>Z:\Grateful Dead\# Dave's Picks #\99 - 1977-05-04 [Palladium, New York, NY] % DP50&amp;53\110 Brown-Eyed Women.flac</t>
  </si>
  <si>
    <t>Z:\Grateful Dead\# Dave's Picks #\99 - 1977-05-04 [Palladium, New York, NY] % DP50&amp;53\110 Dancing in the Street.flac</t>
  </si>
  <si>
    <t>Z:\Grateful Dead\# Dave's Picks #\99 - 1977-05-04 [Palladium, New York, NY] % DP50&amp;53\201 Estimated Prophet.flac</t>
  </si>
  <si>
    <t>Z:\Grateful Dead\# Dave's Picks #\99 - 1977-05-04 [Palladium, New York, NY] % DP50&amp;53\202 Scarlet Begonias ].flac</t>
  </si>
  <si>
    <t>Z:\Grateful Dead\# Dave's Picks #\99 - 1977-05-04 [Palladium, New York, NY] % DP50&amp;53\203 Fire on the Mountain.flac</t>
  </si>
  <si>
    <t>Z:\Grateful Dead\# Dave's Picks #\99 - 1977-05-04 [Palladium, New York, NY] % DP50&amp;53\204 Terrapin Station ].flac</t>
  </si>
  <si>
    <t>Z:\Grateful Dead\# Dave's Picks #\99 - 1977-05-04 [Palladium, New York, NY] % DP50&amp;53\205 Playing in the Band ].flac</t>
  </si>
  <si>
    <t>Z:\Grateful Dead\# Dave's Picks #\99 - 1977-05-04 [Palladium, New York, NY] % DP50&amp;53\206 Comes a Time ].flac</t>
  </si>
  <si>
    <t>Z:\Grateful Dead\# Dave's Picks #\99 - 1977-05-04 [Palladium, New York, NY] % DP50&amp;53\207 Playing in the Band.flac</t>
  </si>
  <si>
    <t>Z:\Grateful Dead\# Studio Albums #\50th Anniversary Deluxe (24 Bit)\1967 - The Grateful Dead + Show\1966-07-29 [P.N.E. Garden Auditorium, Vancouver, British Columbia]\01 Standing On The Corner.flac</t>
  </si>
  <si>
    <t>Standing On The Corner</t>
  </si>
  <si>
    <t>Z:\Grateful Dead\# Studio Albums #\50th Anniversary Deluxe (24 Bit)\1967 - The Grateful Dead + Show\1966-07-29 [P.N.E. Garden Auditorium, Vancouver, British Columbia]\02 I Know You Rider.flac</t>
  </si>
  <si>
    <t>Z:\Grateful Dead\# Studio Albums #\50th Anniversary Deluxe (24 Bit)\1967 - The Grateful Dead + Show\1966-07-29 [P.N.E. Garden Auditorium, Vancouver, British Columbia]\03 Next Time You See Me.flac</t>
  </si>
  <si>
    <t>Z:\Grateful Dead\# Studio Albums #\50th Anniversary Deluxe (24 Bit)\1967 - The Grateful Dead + Show\1966-07-29 [P.N.E. Garden Auditorium, Vancouver, British Columbia]\04 Sittin' On Top Of The World.flac</t>
  </si>
  <si>
    <t>Sittin' On Top Of The World</t>
  </si>
  <si>
    <t>Z:\Grateful Dead\# Studio Albums #\50th Anniversary Deluxe (24 Bit)\1967 - The Grateful Dead + Show\1966-07-29 [P.N.E. Garden Auditorium, Vancouver, British Columbia]\05 You Don't Have To Ask.flac</t>
  </si>
  <si>
    <t>You Don't Have To Ask</t>
  </si>
  <si>
    <t>Z:\Grateful Dead\# Studio Albums #\50th Anniversary Deluxe (24 Bit)\1967 - The Grateful Dead + Show\1966-07-29 [P.N.E. Garden Auditorium, Vancouver, British Columbia]\06 Big Boss Man.flac</t>
  </si>
  <si>
    <t>Z:\Grateful Dead\# Studio Albums #\50th Anniversary Deluxe (24 Bit)\1967 - The Grateful Dead + Show\1966-07-29 [P.N.E. Garden Auditorium, Vancouver, British Columbia]\07 Stealin'.flac</t>
  </si>
  <si>
    <t>Stealin'</t>
  </si>
  <si>
    <t>Z:\Grateful Dead\# Studio Albums #\50th Anniversary Deluxe (24 Bit)\1967 - The Grateful Dead + Show\1966-07-29 [P.N.E. Garden Auditorium, Vancouver, British Columbia]\08 Cardboard Cowboy.flac</t>
  </si>
  <si>
    <t>Cardboard Cowboy</t>
  </si>
  <si>
    <t>Z:\Grateful Dead\# Studio Albums #\50th Anniversary Deluxe (24 Bit)\1967 - The Grateful Dead + Show\1966-07-29 [P.N.E. Garden Auditorium, Vancouver, British Columbia]\09 It's All Over Now, Baby Blue.flac</t>
  </si>
  <si>
    <t>Z:\Grateful Dead\# Studio Albums #\50th Anniversary Deluxe (24 Bit)\1967 - The Grateful Dead + Show\1966-07-29 [P.N.E. Garden Auditorium, Vancouver, British Columbia]\10 Beat It On Down The Line.flac</t>
  </si>
  <si>
    <t>Z:\Grateful Dead\# Studio Albums #\50th Anniversary Deluxe (24 Bit)\1967 - The Grateful Dead + Show\1966-07-29 [P.N.E. Garden Auditorium, Vancouver, British Columbia]\22-Good Mornin' Little Schoolgirl.flac</t>
  </si>
  <si>
    <t>Good Mornin' Little Schoolgirl</t>
  </si>
  <si>
    <t>Z:\Grateful Dead\# Studio Albums #\50th Anniversary Deluxe (24 Bit)\1967 - The Grateful Dead + Show\1966-07-30 [P.N.E. Garden Auditorium, Vancouver, British Columbia]\01-Cold Rain And Snow.flac</t>
  </si>
  <si>
    <t>Z:\Grateful Dead\# Studio Albums #\50th Anniversary Deluxe (24 Bit)\1967 - The Grateful Dead + Show\1966-07-30 [P.N.E. Garden Auditorium, Vancouver, British Columbia]\02-One Kind Favor.flac</t>
  </si>
  <si>
    <t>One Kind Favor</t>
  </si>
  <si>
    <t>Z:\Grateful Dead\# Studio Albums #\50th Anniversary Deluxe (24 Bit)\1967 - The Grateful Dead + Show\1966-07-30 [P.N.E. Garden Auditorium, Vancouver, British Columbia]\03-Hey Little One.flac</t>
  </si>
  <si>
    <t>Hey Little One</t>
  </si>
  <si>
    <t>Z:\Grateful Dead\# Studio Albums #\50th Anniversary Deluxe (24 Bit)\1967 - The Grateful Dead + Show\1966-07-30 [P.N.E. Garden Auditorium, Vancouver, British Columbia]\04-New, New Minglewood Blues.flac</t>
  </si>
  <si>
    <t>New, New Minglewood Blues</t>
  </si>
  <si>
    <t>Z:\Grateful Dead\# Studio Albums #\50th Anniversary Deluxe (24 Bit)\1967 - The Grateful Dead + Show\1967 - The Grateful Dead (50th Anniversary Deluxe Edition)\01 The Golden Road To Unlimted Devotion.flac</t>
  </si>
  <si>
    <t>The Golden Road To Unlimted Devotion</t>
  </si>
  <si>
    <t>Z:\Grateful Dead\# Studio Albums #\50th Anniversary Deluxe (24 Bit)\1967 - The Grateful Dead + Show\1967 - The Grateful Dead (50th Anniversary Deluxe Edition)\02 Beat It On DownTthe Line.flac</t>
  </si>
  <si>
    <t>Beat It On DownTthe Line</t>
  </si>
  <si>
    <t>Z:\Grateful Dead\# Studio Albums #\50th Anniversary Deluxe (24 Bit)\1967 - The Grateful Dead + Show\1967 - The Grateful Dead (50th Anniversary Deluxe Edition)\03 Good Mornin' Little School Girl.flac</t>
  </si>
  <si>
    <t>Good Mornin' Little School Girl</t>
  </si>
  <si>
    <t>Z:\Grateful Dead\# Studio Albums #\50th Anniversary Deluxe (24 Bit)\1967 - The Grateful Dead + Show\1967 - The Grateful Dead (50th Anniversary Deluxe Edition)\04 Cold Rain and Snow.flac</t>
  </si>
  <si>
    <t>Z:\Grateful Dead\# Studio Albums #\50th Anniversary Deluxe (24 Bit)\1967 - The Grateful Dead + Show\1967 - The Grateful Dead (50th Anniversary Deluxe Edition)\05 Sittin' on Top of the World.flac</t>
  </si>
  <si>
    <t>Sittin' on Top of the World</t>
  </si>
  <si>
    <t>Z:\Grateful Dead\# Studio Albums #\50th Anniversary Deluxe (24 Bit)\1967 - The Grateful Dead + Show\1967 - The Grateful Dead (50th Anniversary Deluxe Edition)\06 Cream Puff War.flac</t>
  </si>
  <si>
    <t>Cream Puff War</t>
  </si>
  <si>
    <t>Z:\Grateful Dead\# Studio Albums #\50th Anniversary Deluxe (24 Bit)\1967 - The Grateful Dead + Show\1967 - The Grateful Dead (50th Anniversary Deluxe Edition)\07  Morning Dew.flac</t>
  </si>
  <si>
    <t>Z:\Grateful Dead\# Studio Albums #\50th Anniversary Deluxe (24 Bit)\1967 - The Grateful Dead + Show\1967 - The Grateful Dead (50th Anniversary Deluxe Edition)\08 New, New Minglewood Blues.flac</t>
  </si>
  <si>
    <t>Z:\Grateful Dead\# Studio Albums #\50th Anniversary Deluxe (24 Bit)\1967 - The Grateful Dead + Show\1967 - The Grateful Dead (50th Anniversary Deluxe Edition)\09 Viola Lee Blues.flac</t>
  </si>
  <si>
    <t>Z:\Grateful Dead\# Studio Albums #\50th Anniversary Deluxe (24 Bit)\1968 - Anthem Of The Sun +Show\1967-10-22 [Marijuana Defense Benefit - Winterland Arena, San Francisco, CA]\01_Morning_Dew.flac</t>
  </si>
  <si>
    <t>Z:\Grateful Dead\# Studio Albums #\50th Anniversary Deluxe (24 Bit)\1968 - Anthem Of The Sun +Show\1967-10-22 [Marijuana Defense Benefit - Winterland Arena, San Francisco, CA]\02_New_Pot.flac</t>
  </si>
  <si>
    <t>Z:\Grateful Dead\# Studio Albums #\50th Anniversary Deluxe (24 Bit)\1968 - Anthem Of The Sun +Show\1967-10-22 [Marijuana Defense Benefit - Winterland Arena, San Francisco, CA]\03_It_Hurts.flac</t>
  </si>
  <si>
    <t>It Hurts Me Too Live</t>
  </si>
  <si>
    <t>Z:\Grateful Dead\# Studio Albums #\50th Anniversary Deluxe (24 Bit)\1968 - Anthem Of The Sun +Show\1967-10-22 [Marijuana Defense Benefit - Winterland Arena, San Francisco, CA]\04_Cold.flac</t>
  </si>
  <si>
    <t>Z:\Grateful Dead\# Studio Albums #\50th Anniversary Deluxe (24 Bit)\1968 - Anthem Of The Sun +Show\1967-10-22 [Marijuana Defense Benefit - Winterland Arena, San Francisco, CA]\05_Turn_On.flac</t>
  </si>
  <si>
    <t>Turn On Your Love Light Live</t>
  </si>
  <si>
    <t>Z:\Grateful Dead\# Studio Albums #\50th Anniversary Deluxe (24 Bit)\1968 - Anthem Of The Sun +Show\1967-10-22 [Marijuana Defense Benefit - Winterland Arena, San Francisco, CA]\06_Beat_It.flac</t>
  </si>
  <si>
    <t>Z:\Grateful Dead\# Studio Albums #\50th Anniversary Deluxe (24 Bit)\1968 - Anthem Of The Sun +Show\1967-10-22 [Marijuana Defense Benefit - Winterland Arena, San Francisco, CA]\07_That's_It.flac</t>
  </si>
  <si>
    <t>That's It For The Other One...</t>
  </si>
  <si>
    <t>Z:\Grateful Dead\# Studio Albums #\50th Anniversary Deluxe (24 Bit)\1968 - Anthem Of The Sun +Show\1968 - Anthem Of The Sun (50th Anniversary Deluxe Edition)\01_That's_It_For_The_Other_One_.flac</t>
  </si>
  <si>
    <t>Z:\Grateful Dead\# Studio Albums #\50th Anniversary Deluxe (24 Bit)\1968 - Anthem Of The Sun +Show\1968 - Anthem Of The Sun (50th Anniversary Deluxe Edition)\02_New_Potato_Caboose.flac</t>
  </si>
  <si>
    <t>Z:\Grateful Dead\# Studio Albums #\50th Anniversary Deluxe (24 Bit)\1968 - Anthem Of The Sun +Show\1968 - Anthem Of The Sun (50th Anniversary Deluxe Edition)\03_Born_Cross-Eyed.flac</t>
  </si>
  <si>
    <t>Born Cross-Eyed</t>
  </si>
  <si>
    <t>Z:\Grateful Dead\# Studio Albums #\50th Anniversary Deluxe (24 Bit)\1968 - Anthem Of The Sun +Show\1968 - Anthem Of The Sun (50th Anniversary Deluxe Edition)\04_Alligator.flac</t>
  </si>
  <si>
    <t>Alligator 1968</t>
  </si>
  <si>
    <t>Z:\Grateful Dead\# Studio Albums #\50th Anniversary Deluxe (24 Bit)\1968 - Anthem Of The Sun +Show\1968 - Anthem Of The Sun (50th Anniversary Deluxe Edition)\05_Caution_Do_Not_Stop_On_Tracks.flac</t>
  </si>
  <si>
    <t>Caution Do Not Stop On Tracks</t>
  </si>
  <si>
    <t>Z:\Grateful Dead\# Studio Albums #\50th Anniversary Deluxe (24 Bit)\1968 - Anthem Of The Sun +Show\1971 - Anthem Of The Sun (50th Anniversary Deluxe Edition)\01_That's_It_For_The_Other_One....flac</t>
  </si>
  <si>
    <t>Z:\Grateful Dead\# Studio Albums #\50th Anniversary Deluxe (24 Bit)\1968 - Anthem Of The Sun +Show\1971 - Anthem Of The Sun (50th Anniversary Deluxe Edition)\02_New_Potato_Caboose.flac</t>
  </si>
  <si>
    <t>Z:\Grateful Dead\# Studio Albums #\50th Anniversary Deluxe (24 Bit)\1968 - Anthem Of The Sun +Show\1971 - Anthem Of The Sun (50th Anniversary Deluxe Edition)\03_Born_Cross-Eyed.flac</t>
  </si>
  <si>
    <t>Z:\Grateful Dead\# Studio Albums #\50th Anniversary Deluxe (24 Bit)\1968 - Anthem Of The Sun +Show\1971 - Anthem Of The Sun (50th Anniversary Deluxe Edition)\04_Alligator.flac</t>
  </si>
  <si>
    <t>Z:\Grateful Dead\# Studio Albums #\50th Anniversary Deluxe (24 Bit)\1968 - Anthem Of The Sun +Show\1971 - Anthem Of The Sun (50th Anniversary Deluxe Edition)\05_Caution.flac</t>
  </si>
  <si>
    <t>Caution Do Not Stop On The Tracks</t>
  </si>
  <si>
    <t>Z:\Grateful Dead\# Studio Albums #\50th Anniversary Deluxe (24 Bit)\1969 - Aoxomoxoa + Show\1969 - Aoxomoxoa (50th Anniversary Deluxe Edition)\01 St. Stephen.flac</t>
  </si>
  <si>
    <t>Z:\Grateful Dead\# Studio Albums #\50th Anniversary Deluxe (24 Bit)\1969 - Aoxomoxoa + Show\1969 - Aoxomoxoa (50th Anniversary Deluxe Edition)\02 Dupree's Diamond Blues.flac</t>
  </si>
  <si>
    <t>Z:\Grateful Dead\# Studio Albums #\50th Anniversary Deluxe (24 Bit)\1969 - Aoxomoxoa + Show\1969 - Aoxomoxoa (50th Anniversary Deluxe Edition)\03 Rosemary.flac</t>
  </si>
  <si>
    <t>Rosemary</t>
  </si>
  <si>
    <t>Z:\Grateful Dead\# Studio Albums #\50th Anniversary Deluxe (24 Bit)\1969 - Aoxomoxoa + Show\1969 - Aoxomoxoa (50th Anniversary Deluxe Edition)\04 Doin' That Rag.flac</t>
  </si>
  <si>
    <t>Z:\Grateful Dead\# Studio Albums #\50th Anniversary Deluxe (24 Bit)\1969 - Aoxomoxoa + Show\1969 - Aoxomoxoa (50th Anniversary Deluxe Edition)\05 Mountains of the Moon.flac</t>
  </si>
  <si>
    <t>Mountains of the Moon</t>
  </si>
  <si>
    <t>Z:\Grateful Dead\# Studio Albums #\50th Anniversary Deluxe (24 Bit)\1969 - Aoxomoxoa + Show\1969 - Aoxomoxoa (50th Anniversary Deluxe Edition)\06 China Cat Sunflower.flac</t>
  </si>
  <si>
    <t>Z:\Grateful Dead\# Studio Albums #\50th Anniversary Deluxe (24 Bit)\1969 - Aoxomoxoa + Show\1969 - Aoxomoxoa (50th Anniversary Deluxe Edition)\07 What's Become of the Baby.flac</t>
  </si>
  <si>
    <t>What's Become of the Baby</t>
  </si>
  <si>
    <t>Z:\Grateful Dead\# Studio Albums #\50th Anniversary Deluxe (24 Bit)\1969 - Aoxomoxoa + Show\1969 - Aoxomoxoa (50th Anniversary Deluxe Edition)\08 Cosmic Charlie.flac</t>
  </si>
  <si>
    <t>Z:\Grateful Dead\# Studio Albums #\50th Anniversary Deluxe (24 Bit)\1969 - Aoxomoxoa + Show\1969-01-2x [Avalon Ballroom, San Francisco, CA] (Aoxomoxoa - 50th Anniversary) 24 Bit (192-2)\01 New Potato Caboose.flac</t>
  </si>
  <si>
    <t>New Potato Caboose (Live at Avalon Ballroom, San Francisco, CA, 1,24,69)</t>
  </si>
  <si>
    <t>Z:\Grateful Dead\# Studio Albums #\50th Anniversary Deluxe (24 Bit)\1969 - Aoxomoxoa + Show\1969-01-2x [Avalon Ballroom, San Francisco, CA] (Aoxomoxoa - 50th Anniversary) 24 Bit (192-2)\02 Caution.flac</t>
  </si>
  <si>
    <t>Caution (Do Not Stop On Tracks) (Live at Avalon Ballroom, San Francisco, CA, 1,25,69)</t>
  </si>
  <si>
    <t>Z:\Grateful Dead\# Studio Albums #\50th Anniversary Deluxe (24 Bit)\1969 - Aoxomoxoa + Show\1969-01-2x [Avalon Ballroom, San Francisco, CA] (Aoxomoxoa - 50th Anniversary) 24 Bit (192-2)\03 And.flac</t>
  </si>
  <si>
    <t>And We Bid You Goodnight (Live at Avalon Ballroom, San Francisco, CA, 1,25,69)</t>
  </si>
  <si>
    <t>Z:\Grateful Dead\# Studio Albums #\50th Anniversary Deluxe (24 Bit)\1969 - Aoxomoxoa + Show\1969-01-2x [Avalon Ballroom, San Francisco, CA] (Aoxomoxoa - 50th Anniversary) 24 Bit (192-2)\03 Doin' That Rag .flac</t>
  </si>
  <si>
    <t>Doin' That Rag (Live at Avalon Ballroom, San Francisco, CA, 1,25,69)</t>
  </si>
  <si>
    <t>Z:\Grateful Dead\# Studio Albums #\50th Anniversary Deluxe (24 Bit)\1969 - Aoxomoxoa + Show\1969-01-2x [Avalon Ballroom, San Francisco, CA] (Aoxomoxoa - 50th Anniversary) 24 Bit (192-2)\04 Alligator.flac</t>
  </si>
  <si>
    <t>Alligator (Live at Avalon Ballroom, San Francisco, CA, 1,25,69)</t>
  </si>
  <si>
    <t>Z:\Grateful Dead\# Studio Albums #\50th Anniversary Deluxe (24 Bit)\1969 - Aoxomoxoa + Show\1969-01-2x [Avalon Ballroom, San Francisco, CA] (Aoxomoxoa - 50th Anniversary) 24 Bit (192-2)\04 Death.flac</t>
  </si>
  <si>
    <t>Death Don't Have No Mercy (Live at Avalon Ballroom, San Francisco, CA, 1,26,69)</t>
  </si>
  <si>
    <t>Z:\Grateful Dead\# Studio Albums #\50th Anniversary Deluxe (24 Bit)\1969 - Aoxomoxoa + Show\1969-01-2x [Avalon Ballroom, San Francisco, CA] (Aoxomoxoa - 50th Anniversary) 24 Bit (192-2)\06 Feedback.flac</t>
  </si>
  <si>
    <t>Feedback (Live at Avalon Ballroom, San Francisco, CA, 1,25,69)</t>
  </si>
  <si>
    <t>Z:\Grateful Dead\# Studio Albums #\50th Anniversary Deluxe (24 Bit)\1969 - Aoxomoxoa + Show\1969-01-2x [Avalon Ballroom, San Francisco, CA] (Aoxomoxoa - 50th Anniversary) 24 Bit (192-2)\08 Clementine.flac</t>
  </si>
  <si>
    <t>Clementine (Live at Avalon Ballroom, San Francisco, CA, 1,26,69)</t>
  </si>
  <si>
    <t>Z:\Grateful Dead\# Studio Albums #\50th Anniversary Deluxe (24 Bit)\1969 - Aoxomoxoa + Show\1971 - Aoxomoxoa (50th Anniversary Deluxe Edition)\01 St. Stephen (1971 Mix).flac</t>
  </si>
  <si>
    <t>St. Stephen (1971 Mix)</t>
  </si>
  <si>
    <t>Z:\Grateful Dead\# Studio Albums #\50th Anniversary Deluxe (24 Bit)\1969 - Aoxomoxoa + Show\1971 - Aoxomoxoa (50th Anniversary Deluxe Edition)\02 Dupree's Diamond Blues (1971 Mix).flac</t>
  </si>
  <si>
    <t>Dupree's Diamond Blues (1971 Mix)</t>
  </si>
  <si>
    <t>Z:\Grateful Dead\# Studio Albums #\50th Anniversary Deluxe (24 Bit)\1969 - Aoxomoxoa + Show\1971 - Aoxomoxoa (50th Anniversary Deluxe Edition)\03 Rosemary (1971 Mix).flac</t>
  </si>
  <si>
    <t>Rosemary (1971 Mix)</t>
  </si>
  <si>
    <t>Z:\Grateful Dead\# Studio Albums #\50th Anniversary Deluxe (24 Bit)\1969 - Aoxomoxoa + Show\1971 - Aoxomoxoa (50th Anniversary Deluxe Edition)\04 Doin' That Rag (1971 Mix).flac</t>
  </si>
  <si>
    <t>Doin' That Rag (1971 Mix)</t>
  </si>
  <si>
    <t>Z:\Grateful Dead\# Studio Albums #\50th Anniversary Deluxe (24 Bit)\1969 - Aoxomoxoa + Show\1971 - Aoxomoxoa (50th Anniversary Deluxe Edition)\05 Mountains of the Moon (1971 Mix).flac</t>
  </si>
  <si>
    <t>Mountains of the Moon (1971 Mix)</t>
  </si>
  <si>
    <t>Z:\Grateful Dead\# Studio Albums #\50th Anniversary Deluxe (24 Bit)\1969 - Aoxomoxoa + Show\1971 - Aoxomoxoa (50th Anniversary Deluxe Edition)\06 China Cat Sunflower (1971 Mix).flac</t>
  </si>
  <si>
    <t>China Cat Sunflower (1971 Mix)</t>
  </si>
  <si>
    <t>Z:\Grateful Dead\# Studio Albums #\50th Anniversary Deluxe (24 Bit)\1969 - Aoxomoxoa + Show\1971 - Aoxomoxoa (50th Anniversary Deluxe Edition)\07 What's Become of the Baby (1971 Mix).flac</t>
  </si>
  <si>
    <t>What's Become of the Baby (1971 Mix)</t>
  </si>
  <si>
    <t>Z:\Grateful Dead\# Studio Albums #\50th Anniversary Deluxe (24 Bit)\1969 - Aoxomoxoa + Show\1971 - Aoxomoxoa (50th Anniversary Deluxe Edition)\08 Cosmic Charlie (1971 Mix).flac</t>
  </si>
  <si>
    <t>Cosmic Charlie (1971 Mix)</t>
  </si>
  <si>
    <t>Z:\Grateful Dead\# Studio Albums #\50th Anniversary Deluxe (24 Bit)\1970 - American Beauty + Show\1970 - American Beauty (50th Anniversary Deluxe Edition)\01 box of rain.flac</t>
  </si>
  <si>
    <t>Z:\Grateful Dead\# Studio Albums #\50th Anniversary Deluxe (24 Bit)\1970 - American Beauty + Show\1970 - American Beauty (50th Anniversary Deluxe Edition)\02 friend of the devil.flac</t>
  </si>
  <si>
    <t>Z:\Grateful Dead\# Studio Albums #\50th Anniversary Deluxe (24 Bit)\1970 - American Beauty + Show\1970 - American Beauty (50th Anniversary Deluxe Edition)\03 sugar magnolia.flac</t>
  </si>
  <si>
    <t>Z:\Grateful Dead\# Studio Albums #\50th Anniversary Deluxe (24 Bit)\1970 - American Beauty + Show\1970 - American Beauty (50th Anniversary Deluxe Edition)\04 operator.flac</t>
  </si>
  <si>
    <t>Operator</t>
  </si>
  <si>
    <t>Z:\Grateful Dead\# Studio Albums #\50th Anniversary Deluxe (24 Bit)\1970 - American Beauty + Show\1970 - American Beauty (50th Anniversary Deluxe Edition)\05 candyman.flac</t>
  </si>
  <si>
    <t>Z:\Grateful Dead\# Studio Albums #\50th Anniversary Deluxe (24 Bit)\1970 - American Beauty + Show\1970 - American Beauty (50th Anniversary Deluxe Edition)\06 ripple.flac</t>
  </si>
  <si>
    <t>Ripple</t>
  </si>
  <si>
    <t>Z:\Grateful Dead\# Studio Albums #\50th Anniversary Deluxe (24 Bit)\1970 - American Beauty + Show\1970 - American Beauty (50th Anniversary Deluxe Edition)\07 brokedown palace.flac</t>
  </si>
  <si>
    <t>Z:\Grateful Dead\# Studio Albums #\50th Anniversary Deluxe (24 Bit)\1970 - American Beauty + Show\1970 - American Beauty (50th Anniversary Deluxe Edition)\08 till the morning comes.flac</t>
  </si>
  <si>
    <t>Till The Morning Comes</t>
  </si>
  <si>
    <t>Z:\Grateful Dead\# Studio Albums #\50th Anniversary Deluxe (24 Bit)\1970 - American Beauty + Show\1970 - American Beauty (50th Anniversary Deluxe Edition)\09 attics of my life.flac</t>
  </si>
  <si>
    <t>Z:\Grateful Dead\# Studio Albums #\50th Anniversary Deluxe (24 Bit)\1970 - American Beauty + Show\1970 - American Beauty (50th Anniversary Deluxe Edition)\10 truckin' (2020 remaster).flac</t>
  </si>
  <si>
    <t>Z:\Grateful Dead\# Studio Albums #\50th Anniversary Deluxe (24 Bit)\1970 - American Beauty + Show\1970 - American Beauty; The Angel's Share (Extended outtakes)\01 - Friend of the Devil (Demo).flac</t>
  </si>
  <si>
    <t>Friend of the Devil (Demo)</t>
  </si>
  <si>
    <t>Z:\Grateful Dead\# Studio Albums #\50th Anniversary Deluxe (24 Bit)\1970 - American Beauty + Show\1970 - American Beauty; The Angel's Share (Extended outtakes)\01-friend-of-the-devil-(demo).flac</t>
  </si>
  <si>
    <t>Z:\Grateful Dead\# Studio Albums #\50th Anniversary Deluxe (24 Bit)\1970 - American Beauty + Show\1970 - American Beauty; The Angel's Share (Extended outtakes)\02 - Sugar Magnolia (Demo).flac</t>
  </si>
  <si>
    <t>Sugar Magnolia (Demo)</t>
  </si>
  <si>
    <t>Z:\Grateful Dead\# Studio Albums #\50th Anniversary Deluxe (24 Bit)\1970 - American Beauty + Show\1970 - American Beauty; The Angel's Share (Extended outtakes)\02-operator-(demo).flac</t>
  </si>
  <si>
    <t>Operator (Demo)</t>
  </si>
  <si>
    <t>Z:\Grateful Dead\# Studio Albums #\50th Anniversary Deluxe (24 Bit)\1970 - American Beauty + Show\1970 - American Beauty; The Angel's Share (Extended outtakes)\03 - Candyman (Demo).flac</t>
  </si>
  <si>
    <t>Candyman (Demo)</t>
  </si>
  <si>
    <t>Z:\Grateful Dead\# Studio Albums #\50th Anniversary Deluxe (24 Bit)\1970 - American Beauty + Show\1970 - American Beauty; The Angel's Share (Extended outtakes)\03-sugar-magnolia-(demo).flac</t>
  </si>
  <si>
    <t>Z:\Grateful Dead\# Studio Albums #\50th Anniversary Deluxe (24 Bit)\1970 - American Beauty + Show\1970 - American Beauty; The Angel's Share (Extended outtakes)\04 - To Lay Me Down (Demo).flac</t>
  </si>
  <si>
    <t>To Lay Me Down (Demo)</t>
  </si>
  <si>
    <t>Z:\Grateful Dead\# Studio Albums #\50th Anniversary Deluxe (24 Bit)\1970 - American Beauty + Show\1970 - American Beauty; The Angel's Share (Extended outtakes)\04-candyman-(demo).flac</t>
  </si>
  <si>
    <t>Z:\Grateful Dead\# Studio Albums #\50th Anniversary Deluxe (24 Bit)\1970 - American Beauty + Show\1970 - American Beauty; The Angel's Share (Extended outtakes)\05 - Truckin' (Demo).flac</t>
  </si>
  <si>
    <t>Truckin' (Demo)</t>
  </si>
  <si>
    <t>Z:\Grateful Dead\# Studio Albums #\50th Anniversary Deluxe (24 Bit)\1970 - American Beauty + Show\1970 - American Beauty; The Angel's Share (Extended outtakes)\05-to-lay-me-down-(demo).flac</t>
  </si>
  <si>
    <t>Z:\Grateful Dead\# Studio Albums #\50th Anniversary Deluxe (24 Bit)\1970 - American Beauty + Show\1970 - American Beauty; The Angel's Share (Extended outtakes)\06 - Hand Me Down (Ripple) (Demo).flac</t>
  </si>
  <si>
    <t>Hand Me Down (Ripple) (Demo)</t>
  </si>
  <si>
    <t>Z:\Grateful Dead\# Studio Albums #\50th Anniversary Deluxe (24 Bit)\1970 - American Beauty + Show\1970 - American Beauty; The Angel's Share (Extended outtakes)\06-truckin-(demo).flac</t>
  </si>
  <si>
    <t>Truckin (Demo)</t>
  </si>
  <si>
    <t>Z:\Grateful Dead\# Studio Albums #\50th Anniversary Deluxe (24 Bit)\1970 - American Beauty + Show\1970 - American Beauty; The Angel's Share (Extended outtakes)\07 - Brokedown Palace (Demo).flac</t>
  </si>
  <si>
    <t>Brokedown Palace (Demo)</t>
  </si>
  <si>
    <t>Z:\Grateful Dead\# Studio Albums #\50th Anniversary Deluxe (24 Bit)\1970 - American Beauty + Show\1970 - American Beauty; The Angel's Share (Extended outtakes)\07-hand-me-down-ripple-(demo).flac</t>
  </si>
  <si>
    <t>Hand Me Down Ripple (Demo)</t>
  </si>
  <si>
    <t>Z:\Grateful Dead\# Studio Albums #\50th Anniversary Deluxe (24 Bit)\1970 - American Beauty + Show\1970 - American Beauty; The Angel's Share (Extended outtakes)\08 - Till the Morning Comes (Demo).flac</t>
  </si>
  <si>
    <t>Till the Morning Comes (Demo)</t>
  </si>
  <si>
    <t>Z:\Grateful Dead\# Studio Albums #\50th Anniversary Deluxe (24 Bit)\1970 - American Beauty + Show\1970 - American Beauty; The Angel's Share (Extended outtakes)\08-brokedown-palace-(demo).flac</t>
  </si>
  <si>
    <t>Z:\Grateful Dead\# Studio Albums #\50th Anniversary Deluxe (24 Bit)\1970 - American Beauty + Show\1970 - American Beauty; The Angel's Share (Extended outtakes)\09 - Attics of My Life (Demo).flac</t>
  </si>
  <si>
    <t>Attics of My Life (Demo)</t>
  </si>
  <si>
    <t>Z:\Grateful Dead\# Studio Albums #\50th Anniversary Deluxe (24 Bit)\1970 - American Beauty + Show\1970 - American Beauty; The Angel's Share (Extended outtakes)\09-till-the-morning-comes-(demo).flac</t>
  </si>
  <si>
    <t>Z:\Grateful Dead\# Studio Albums #\50th Anniversary Deluxe (24 Bit)\1970 - American Beauty + Show\1970 - American Beauty; The Angel's Share (Extended outtakes)\10 - Operator (Demo).flac</t>
  </si>
  <si>
    <t>Z:\Grateful Dead\# Studio Albums #\50th Anniversary Deluxe (24 Bit)\1970 - American Beauty + Show\1970 - American Beauty; The Angel's Share (Extended outtakes)\10-attics-of-my-life-(demo).flac</t>
  </si>
  <si>
    <t>Z:\Grateful Dead\# Studio Albums #\50th Anniversary Deluxe (24 Bit)\1970 - American Beauty + Show\1970 - American Beauty; The Angel's Share (Extended outtakes)\11 - Box of Rain (Acoustic Mix).flac</t>
  </si>
  <si>
    <t>Box of Rain (Acoustic Mix)</t>
  </si>
  <si>
    <t>Z:\Grateful Dead\# Studio Albums #\50th Anniversary Deluxe (24 Bit)\1970 - American Beauty + Show\1970 - American Beauty; The Angel's Share (Extended outtakes)\11-box-of-rain-(acoustic-mix).flac</t>
  </si>
  <si>
    <t>Z:\Grateful Dead\# Studio Albums #\50th Anniversary Deluxe (24 Bit)\1970 - American Beauty + Show\1970 - American Beauty; The Angel's Share (Extended outtakes)\12 - Candyman (Alternate Take).flac</t>
  </si>
  <si>
    <t>Candyman (Alternate Take)</t>
  </si>
  <si>
    <t>Z:\Grateful Dead\# Studio Albums #\50th Anniversary Deluxe (24 Bit)\1970 - American Beauty + Show\1970 - American Beauty; The Angel's Share (Extended outtakes)\12-candyman-(alternate-take).flac</t>
  </si>
  <si>
    <t>Z:\Grateful Dead\# Studio Albums #\50th Anniversary Deluxe (24 Bit)\1970 - American Beauty + Show\1970 - American Beauty; The Angel's Share (Extended outtakes)\13 - Truckin' (Alternate Mix).flac</t>
  </si>
  <si>
    <t>Truckin' (Alternate Mix)</t>
  </si>
  <si>
    <t>Z:\Grateful Dead\# Studio Albums #\50th Anniversary Deluxe (24 Bit)\1970 - American Beauty + Show\1970 - American Beauty; The Angel's Share (Extended outtakes)\13-truckin-(alternate-mix).flac</t>
  </si>
  <si>
    <t>Truckin (Alternate Mix)</t>
  </si>
  <si>
    <t>Z:\Grateful Dead\# Studio Albums #\50th Anniversary Deluxe (24 Bit)\1970 - American Beauty + Show\1970 - American Beauty; The Angel's Share (Extended outtakes)\14 - Operator (Take 1) (Slated).flac</t>
  </si>
  <si>
    <t>Operator (Take 1) (Slated)</t>
  </si>
  <si>
    <t>Z:\Grateful Dead\# Studio Albums #\50th Anniversary Deluxe (24 Bit)\1970 - American Beauty + Show\1970 - American Beauty; The Angel's Share (Extended outtakes)\14-operator-(take-1)-slated.flac</t>
  </si>
  <si>
    <t>Operator (Take 1) [Slated]</t>
  </si>
  <si>
    <t>Z:\Grateful Dead\# Studio Albums #\50th Anniversary Deluxe (24 Bit)\1970 - American Beauty + Show\1970 - American Beauty; The Angel's Share (Extended outtakes)\15 - Operator (Take 2 Breakdown) (Slated).flac</t>
  </si>
  <si>
    <t>Operator (Take 2 Breakdown) (Slated)</t>
  </si>
  <si>
    <t>Z:\Grateful Dead\# Studio Albums #\50th Anniversary Deluxe (24 Bit)\1970 - American Beauty + Show\1970 - American Beauty; The Angel's Share (Extended outtakes)\15-operator-(take-2)-breakdown-slated.flac</t>
  </si>
  <si>
    <t>Operator (Take 2) [Breakdown Slated]</t>
  </si>
  <si>
    <t>Z:\Grateful Dead\# Studio Albums #\50th Anniversary Deluxe (24 Bit)\1970 - American Beauty + Show\1970 - American Beauty; The Angel's Share (Extended outtakes)\16 - Operator (Take 3) (Slated).flac</t>
  </si>
  <si>
    <t>Operator (Take 3) (Slated)</t>
  </si>
  <si>
    <t>Z:\Grateful Dead\# Studio Albums #\50th Anniversary Deluxe (24 Bit)\1970 - American Beauty + Show\1970 - American Beauty; The Angel's Share (Extended outtakes)\16-operator-(take-3)-slated.flac</t>
  </si>
  <si>
    <t>Operator (Take 3) [Slated]</t>
  </si>
  <si>
    <t>Z:\Grateful Dead\# Studio Albums #\50th Anniversary Deluxe (24 Bit)\1970 - American Beauty + Show\1970 - American Beauty; The Angel's Share (Extended outtakes)\17 - Operator (Take 4 Breakdown) (Slated).flac</t>
  </si>
  <si>
    <t>Operator (Take 4 Breakdown) (Slated)</t>
  </si>
  <si>
    <t>Z:\Grateful Dead\# Studio Albums #\50th Anniversary Deluxe (24 Bit)\1970 - American Beauty + Show\1970 - American Beauty; The Angel's Share (Extended outtakes)\17-operator-(take-4)-breakdown-slated.flac</t>
  </si>
  <si>
    <t>Operator (Take 4) [Breakdown Slated]</t>
  </si>
  <si>
    <t>Z:\Grateful Dead\# Studio Albums #\50th Anniversary Deluxe (24 Bit)\1970 - American Beauty + Show\1970 - American Beauty; The Angel's Share (Extended outtakes)\18 - Operator (Take 5, Misnamed as Take 6) (Slated).flac</t>
  </si>
  <si>
    <t>Operator (Take 5, Misnamed as Take 6) (Slated)</t>
  </si>
  <si>
    <t>Z:\Grateful Dead\# Studio Albums #\50th Anniversary Deluxe (24 Bit)\1970 - American Beauty + Show\1970 - American Beauty; The Angel's Share (Extended outtakes)\18-operator-(take-5-misnamed-as-take-6)-slated.flac</t>
  </si>
  <si>
    <t>Operator (Take 5 Misnamed as Take 6) [Slated]</t>
  </si>
  <si>
    <t>Z:\Grateful Dead\# Studio Albums #\50th Anniversary Deluxe (24 Bit)\1970 - American Beauty + Show\1970 - American Beauty; The Angel's Share (Extended outtakes)\19 - Operator (Take 6 Breakdown) (Slated).flac</t>
  </si>
  <si>
    <t>Operator (Take 6 Breakdown) (Slated)</t>
  </si>
  <si>
    <t>Z:\Grateful Dead\# Studio Albums #\50th Anniversary Deluxe (24 Bit)\1970 - American Beauty + Show\1970 - American Beauty; The Angel's Share (Extended outtakes)\19-operator-(take-6)-breakdown-slated.flac</t>
  </si>
  <si>
    <t>Operator (Take 6) [Breakdown Slated]</t>
  </si>
  <si>
    <t>Z:\Grateful Dead\# Studio Albums #\50th Anniversary Deluxe (24 Bit)\1970 - American Beauty + Show\1970 - American Beauty; The Angel's Share (Extended outtakes)\20 - Operator (Take 7 Breakdown) (Slated).flac</t>
  </si>
  <si>
    <t>Operator (Take 7 Breakdown) (Slated)</t>
  </si>
  <si>
    <t>Z:\Grateful Dead\# Studio Albums #\50th Anniversary Deluxe (24 Bit)\1970 - American Beauty + Show\1970 - American Beauty; The Angel's Share (Extended outtakes)\20-operator-(take-7)-breakdown-slated.flac</t>
  </si>
  <si>
    <t>Operator (Take 7) [Breakdown Slated]</t>
  </si>
  <si>
    <t>Z:\Grateful Dead\# Studio Albums #\50th Anniversary Deluxe (24 Bit)\1970 - American Beauty + Show\1970 - American Beauty; The Angel's Share (Extended outtakes)\21 - Operator (Take 8) (Slated).flac</t>
  </si>
  <si>
    <t>Operator (Take 8) (Slated)</t>
  </si>
  <si>
    <t>Z:\Grateful Dead\# Studio Albums #\50th Anniversary Deluxe (24 Bit)\1970 - American Beauty + Show\1970 - American Beauty; The Angel's Share (Extended outtakes)\21-operator-(take-8)-slated.flac</t>
  </si>
  <si>
    <t>Operator (Take 8) [Slated]</t>
  </si>
  <si>
    <t>Z:\Grateful Dead\# Studio Albums #\50th Anniversary Deluxe (24 Bit)\1970 - American Beauty + Show\1970 - American Beauty; The Angel's Share (Extended outtakes)\22 - Friend.flac</t>
  </si>
  <si>
    <t>Friend of the Devil (Take 1 Breakdown) (Slated)</t>
  </si>
  <si>
    <t>Z:\Grateful Dead\# Studio Albums #\50th Anniversary Deluxe (24 Bit)\1970 - American Beauty + Show\1970 - American Beauty; The Angel's Share (Extended outtakes)\22-friend-of-the-devil-(take-1)-breakdown-slated.flac</t>
  </si>
  <si>
    <t>Friend of the Devil (Take 1) [Breakdown Slated]</t>
  </si>
  <si>
    <t>Z:\Grateful Dead\# Studio Albums #\50th Anniversary Deluxe (24 Bit)\1970 - American Beauty + Show\1970 - American Beauty; The Angel's Share (Extended outtakes)\23 - Friend.flac</t>
  </si>
  <si>
    <t>Friend of the Devil (Take 2 Breakdown) (Slated)</t>
  </si>
  <si>
    <t>Z:\Grateful Dead\# Studio Albums #\50th Anniversary Deluxe (24 Bit)\1970 - American Beauty + Show\1970 - American Beauty; The Angel's Share (Extended outtakes)\23-friend-of-the-devil-(take-2)-breakdown-slated.flac</t>
  </si>
  <si>
    <t>Friend of the Devil (Take 2) [Breakdown Slated]</t>
  </si>
  <si>
    <t>Z:\Grateful Dead\# Studio Albums #\50th Anniversary Deluxe (24 Bit)\1970 - American Beauty + Show\1970 - American Beauty; The Angel's Share (Extended outtakes)\24 - Friend.flac</t>
  </si>
  <si>
    <t>Friend of the Devil (Take 3 Breakdown) (Slated)</t>
  </si>
  <si>
    <t>Z:\Grateful Dead\# Studio Albums #\50th Anniversary Deluxe (24 Bit)\1970 - American Beauty + Show\1970 - American Beauty; The Angel's Share (Extended outtakes)\24-friend-of-the-devil-(take-3)-breakdown-slated.flac</t>
  </si>
  <si>
    <t>Friend of the Devil (Take 3) [Breakdown Slated]</t>
  </si>
  <si>
    <t>Z:\Grateful Dead\# Studio Albums #\50th Anniversary Deluxe (24 Bit)\1970 - American Beauty + Show\1970 - American Beauty; The Angel's Share (Extended outtakes)\25 - Friend.flac</t>
  </si>
  <si>
    <t>Friend of the Devil (Take 4 Breakdown) (Slated)</t>
  </si>
  <si>
    <t>Z:\Grateful Dead\# Studio Albums #\50th Anniversary Deluxe (24 Bit)\1970 - American Beauty + Show\1970 - American Beauty; The Angel's Share (Extended outtakes)\25-friend-of-the-devil-(take-4)-breakdown-slated.flac</t>
  </si>
  <si>
    <t>Friend of the Devil (Take 4) [Breakdown Slated]</t>
  </si>
  <si>
    <t>Z:\Grateful Dead\# Studio Albums #\50th Anniversary Deluxe (24 Bit)\1970 - American Beauty + Show\1970 - American Beauty; The Angel's Share (Extended outtakes)\26 - Friend of the Devil (Take 5) (Slated).flac</t>
  </si>
  <si>
    <t>Friend of the Devil (Take 5) (Slated)</t>
  </si>
  <si>
    <t>Z:\Grateful Dead\# Studio Albums #\50th Anniversary Deluxe (24 Bit)\1970 - American Beauty + Show\1970 - American Beauty; The Angel's Share (Extended outtakes)\26-friend-of-the-devil-(take-5)-slated.flac</t>
  </si>
  <si>
    <t>Friend of the Devil (Take 5) [Slated]</t>
  </si>
  <si>
    <t>Z:\Grateful Dead\# Studio Albums #\50th Anniversary Deluxe (24 Bit)\1970 - American Beauty + Show\1970 - American Beauty; The Angel's Share (Extended outtakes)\27 - Friend of the Devil (Take 6) (Slated).flac</t>
  </si>
  <si>
    <t>Friend of the Devil (Take 6) (Slated)</t>
  </si>
  <si>
    <t>Z:\Grateful Dead\# Studio Albums #\50th Anniversary Deluxe (24 Bit)\1970 - American Beauty + Show\1970 - American Beauty; The Angel's Share (Extended outtakes)\27-friend-of-the-devil-(take-6)-slated.flac</t>
  </si>
  <si>
    <t>Friend of the Devil (Take 6) [Slated]</t>
  </si>
  <si>
    <t>Z:\Grateful Dead\# Studio Albums #\50th Anniversary Deluxe (24 Bit)\1970 - American Beauty + Show\1970 - American Beauty; The Angel's Share (Extended outtakes)\28 - Friend of the Devil (Take 7) (Slated).flac</t>
  </si>
  <si>
    <t>Friend of the Devil (Take 7) (Slated)</t>
  </si>
  <si>
    <t>Z:\Grateful Dead\# Studio Albums #\50th Anniversary Deluxe (24 Bit)\1970 - American Beauty + Show\1970 - American Beauty; The Angel's Share (Extended outtakes)\28-friend-of-the-devil-(take-7)-slated.flac</t>
  </si>
  <si>
    <t>Friend of the Devil (Take 7) [Slated]</t>
  </si>
  <si>
    <t>Z:\Grateful Dead\# Studio Albums #\50th Anniversary Deluxe (24 Bit)\1970 - American Beauty + Show\1970 - American Beauty; The Angel's Share (Extended outtakes)\29 - Friend.flac</t>
  </si>
  <si>
    <t>Friend of the Devil (Arranging Take 1) (Not Slated)</t>
  </si>
  <si>
    <t>Z:\Grateful Dead\# Studio Albums #\50th Anniversary Deluxe (24 Bit)\1970 - American Beauty + Show\1970 - American Beauty; The Angel's Share (Extended outtakes)\29-friend.flac</t>
  </si>
  <si>
    <t>Friend of the Devil (Arranging Take 1) [Not Slated]</t>
  </si>
  <si>
    <t>Z:\Grateful Dead\# Studio Albums #\50th Anniversary Deluxe (24 Bit)\1970 - American Beauty + Show\1970 - American Beauty; The Angel's Share (Extended outtakes)\30 - Friend.flac</t>
  </si>
  <si>
    <t>Friend of the Devil (Arranging Take 2) (Not Slated)</t>
  </si>
  <si>
    <t>Z:\Grateful Dead\# Studio Albums #\50th Anniversary Deluxe (24 Bit)\1970 - American Beauty + Show\1970 - American Beauty; The Angel's Share (Extended outtakes)\30-friend.flac</t>
  </si>
  <si>
    <t>Friend of the Devil (Arranging Take 2) [Not Slated]</t>
  </si>
  <si>
    <t>Z:\Grateful Dead\# Studio Albums #\50th Anniversary Deluxe (24 Bit)\1970 - American Beauty + Show\1970 - American Beauty; The Angel's Share (Extended outtakes)\31 - Friend.flac</t>
  </si>
  <si>
    <t>Friend of the Devil (Arranging Take 3) (Not Slated)</t>
  </si>
  <si>
    <t>Z:\Grateful Dead\# Studio Albums #\50th Anniversary Deluxe (24 Bit)\1970 - American Beauty + Show\1970 - American Beauty; The Angel's Share (Extended outtakes)\31-friend.flac</t>
  </si>
  <si>
    <t>Friend of the Devil (Arranging Take 3) [Not Slated]</t>
  </si>
  <si>
    <t>Z:\Grateful Dead\# Studio Albums #\50th Anniversary Deluxe (24 Bit)\1970 - American Beauty + Show\1970 - American Beauty; The Angel's Share (Extended outtakes)\32 - Friend.flac</t>
  </si>
  <si>
    <t>Friend of the Devil (Take 9 Breakdown) (Slated)</t>
  </si>
  <si>
    <t>Z:\Grateful Dead\# Studio Albums #\50th Anniversary Deluxe (24 Bit)\1970 - American Beauty + Show\1970 - American Beauty; The Angel's Share (Extended outtakes)\32-friend-of-the-devil-(take-9)-breakdown-slated.flac</t>
  </si>
  <si>
    <t>Friend of the Devil (Take 9) [Breakdown Slated]</t>
  </si>
  <si>
    <t>Z:\Grateful Dead\# Studio Albums #\50th Anniversary Deluxe (24 Bit)\1970 - American Beauty + Show\1970 - American Beauty; The Angel's Share (Extended outtakes)\33 - Friend.flac</t>
  </si>
  <si>
    <t>Friend of the Devil (Take 10 Breakdown) (Slated)</t>
  </si>
  <si>
    <t>Z:\Grateful Dead\# Studio Albums #\50th Anniversary Deluxe (24 Bit)\1970 - American Beauty + Show\1970 - American Beauty; The Angel's Share (Extended outtakes)\33-friend-of-the-devil-(take-10)-breakdown-slated.flac</t>
  </si>
  <si>
    <t>Friend of the Devil (Take 10) [Breakdown Slated]</t>
  </si>
  <si>
    <t>Z:\Grateful Dead\# Studio Albums #\50th Anniversary Deluxe (24 Bit)\1970 - American Beauty + Show\1970 - American Beauty; The Angel's Share (Extended outtakes)\34 - Friend of the Devil (Take 11) (Slated).flac</t>
  </si>
  <si>
    <t>Friend of the Devil (Take 11) (Slated)</t>
  </si>
  <si>
    <t>Z:\Grateful Dead\# Studio Albums #\50th Anniversary Deluxe (24 Bit)\1970 - American Beauty + Show\1970 - American Beauty; The Angel's Share (Extended outtakes)\34-friend-of-the-devil-(take-11)-slated.flac</t>
  </si>
  <si>
    <t>Friend of the Devil (Take 11) [Slated]</t>
  </si>
  <si>
    <t>Z:\Grateful Dead\# Studio Albums #\50th Anniversary Deluxe (24 Bit)\1970 - American Beauty + Show\1970 - American Beauty; The Angel's Share (Extended outtakes)\35 - Friend.flac</t>
  </si>
  <si>
    <t>Friend of the Devil (Take 12 Breakdown) (Slated)</t>
  </si>
  <si>
    <t>Z:\Grateful Dead\# Studio Albums #\50th Anniversary Deluxe (24 Bit)\1970 - American Beauty + Show\1970 - American Beauty; The Angel's Share (Extended outtakes)\35-friend-of-the-devil-(take-12)-breakdown-slated.flac</t>
  </si>
  <si>
    <t>Friend of the Devil (Take 12) [Breakdown Slated]</t>
  </si>
  <si>
    <t>Z:\Grateful Dead\# Studio Albums #\50th Anniversary Deluxe (24 Bit)\1970 - American Beauty + Show\1970 - American Beauty; The Angel's Share (Extended outtakes)\36 - Friend of the Devil (Take 13) (Not Slated).flac</t>
  </si>
  <si>
    <t>Friend of the Devil (Take 13) (Not Slated)</t>
  </si>
  <si>
    <t>Z:\Grateful Dead\# Studio Albums #\50th Anniversary Deluxe (24 Bit)\1970 - American Beauty + Show\1970 - American Beauty; The Angel's Share (Extended outtakes)\36-friend-of-the-devil-(take-13)-not-slated.flac</t>
  </si>
  <si>
    <t>Friend of the Devil (Take 13) [Not Slated]</t>
  </si>
  <si>
    <t>Z:\Grateful Dead\# Studio Albums #\50th Anniversary Deluxe (24 Bit)\1970 - American Beauty + Show\1970 - American Beauty; The Angel's Share (Extended outtakes)\37 - Friend.flac</t>
  </si>
  <si>
    <t>Friend of the Devil (Take 14 Breakdown) (Slated)</t>
  </si>
  <si>
    <t>Z:\Grateful Dead\# Studio Albums #\50th Anniversary Deluxe (24 Bit)\1970 - American Beauty + Show\1970 - American Beauty; The Angel's Share (Extended outtakes)\37-friend-of-the-devil-(take-14)-breakdown-slated.flac</t>
  </si>
  <si>
    <t>Friend of the Devil (Take 14) [Breakdown Slated]</t>
  </si>
  <si>
    <t>Z:\Grateful Dead\# Studio Albums #\50th Anniversary Deluxe (24 Bit)\1970 - American Beauty + Show\1970 - American Beauty; The Angel's Share (Extended outtakes)\38 - Friend of the Devil (Take 15) (Slated).flac</t>
  </si>
  <si>
    <t>Friend of the Devil (Take 15) (Slated)</t>
  </si>
  <si>
    <t>Z:\Grateful Dead\# Studio Albums #\50th Anniversary Deluxe (24 Bit)\1970 - American Beauty + Show\1970 - American Beauty; The Angel's Share (Extended outtakes)\38-friend-of-the-devil-(take-15)-slated.flac</t>
  </si>
  <si>
    <t>Friend of the Devil (Take 15) [Slated]</t>
  </si>
  <si>
    <t>Z:\Grateful Dead\# Studio Albums #\50th Anniversary Deluxe (24 Bit)\1970 - American Beauty + Show\1970 - American Beauty; The Angel's Share (Extended outtakes)\39 - Friend of the Devil (Take 16) (Slated).flac</t>
  </si>
  <si>
    <t>Friend of the Devil (Take 16) (Slated)</t>
  </si>
  <si>
    <t>Z:\Grateful Dead\# Studio Albums #\50th Anniversary Deluxe (24 Bit)\1970 - American Beauty + Show\1970 - American Beauty; The Angel's Share (Extended outtakes)\39-friend-of-the-devil-(take-16)-slated.flac</t>
  </si>
  <si>
    <t>Friend of the Devil (Take 16) [Slated]</t>
  </si>
  <si>
    <t>Z:\Grateful Dead\# Studio Albums #\50th Anniversary Deluxe (24 Bit)\1970 - American Beauty + Show\1970 - American Beauty; The Angel's Share (Extended outtakes)\40 - Friend of the Devil (Take 17) (Slated).flac</t>
  </si>
  <si>
    <t>Friend of the Devil (Take 17) (Slated)</t>
  </si>
  <si>
    <t>Z:\Grateful Dead\# Studio Albums #\50th Anniversary Deluxe (24 Bit)\1970 - American Beauty + Show\1970 - American Beauty; The Angel's Share (Extended outtakes)\40-friend-of-the-devil-(take-17)-slated.flac</t>
  </si>
  <si>
    <t>Friend of the Devil (Take 17) [Slated]</t>
  </si>
  <si>
    <t>Z:\Grateful Dead\# Studio Albums #\50th Anniversary Deluxe (24 Bit)\1970 - American Beauty + Show\1970 - American Beauty; The Angel's Share (Extended outtakes)\41 - Friend of the Devil (Take 18) (Slated).flac</t>
  </si>
  <si>
    <t>Friend of the Devil (Take 18) (Slated)</t>
  </si>
  <si>
    <t>Z:\Grateful Dead\# Studio Albums #\50th Anniversary Deluxe (24 Bit)\1970 - American Beauty + Show\1970 - American Beauty; The Angel's Share (Extended outtakes)\41-friend-of-the-devil-(take-18)-slated.flac</t>
  </si>
  <si>
    <t>Friend of the Devil (Take 18) [Slated]</t>
  </si>
  <si>
    <t>Z:\Grateful Dead\# Studio Albums #\50th Anniversary Deluxe (24 Bit)\1970 - American Beauty + Show\1970 - American Beauty; The Angel's Share (Extended outtakes)\42 - Friend of the Devil (Take 19) (Not Slated).flac</t>
  </si>
  <si>
    <t>Friend of the Devil (Take 19) (Not Slated)</t>
  </si>
  <si>
    <t>Z:\Grateful Dead\# Studio Albums #\50th Anniversary Deluxe (24 Bit)\1970 - American Beauty + Show\1970 - American Beauty; The Angel's Share (Extended outtakes)\42-friend-of-the-devil-(take-19)-not-slated.flac</t>
  </si>
  <si>
    <t>Friend of the Devil (Take 19) [Not Slated]</t>
  </si>
  <si>
    <t>Z:\Grateful Dead\# Studio Albums #\50th Anniversary Deluxe (24 Bit)\1970 - American Beauty + Show\1970 - American Beauty; The Angel's Share (Extended outtakes)\43 - Friend of the Devil (Take 20) (Slated).flac</t>
  </si>
  <si>
    <t>Friend of the Devil (Take 20) (Slated)</t>
  </si>
  <si>
    <t>Z:\Grateful Dead\# Studio Albums #\50th Anniversary Deluxe (24 Bit)\1970 - American Beauty + Show\1970 - American Beauty; The Angel's Share (Extended outtakes)\43-friend-of-the-devil-(take-20)-slated.flac</t>
  </si>
  <si>
    <t>Friend of the Devil (Take 20) [Slated]</t>
  </si>
  <si>
    <t>Z:\Grateful Dead\# Studio Albums #\50th Anniversary Deluxe (24 Bit)\1970 - American Beauty + Show\1970 - American Beauty; The Angel's Share (Extended outtakes)\44 - Attics of My Life (Take 1) (Slated).flac</t>
  </si>
  <si>
    <t>Attics of My Life (Take 1) (Slated)</t>
  </si>
  <si>
    <t>Z:\Grateful Dead\# Studio Albums #\50th Anniversary Deluxe (24 Bit)\1970 - American Beauty + Show\1970 - American Beauty; The Angel's Share (Extended outtakes)\44-attics-of-my-life-(take-1)-slated.flac</t>
  </si>
  <si>
    <t>Attics of My Life (Take 1) [Slated]</t>
  </si>
  <si>
    <t>Z:\Grateful Dead\# Studio Albums #\50th Anniversary Deluxe (24 Bit)\1970 - American Beauty + Show\1970 - American Beauty; The Angel's Share (Extended outtakes)\45 - Attics of My Life (Take 2 Breakdown) (Slated).flac</t>
  </si>
  <si>
    <t>Attics of My Life (Take 2 Breakdown) (Slated)</t>
  </si>
  <si>
    <t>Z:\Grateful Dead\# Studio Albums #\50th Anniversary Deluxe (24 Bit)\1970 - American Beauty + Show\1970 - American Beauty; The Angel's Share (Extended outtakes)\45-attics-of-my-life-(take-2)-breakdown-slated.flac</t>
  </si>
  <si>
    <t>Attics of My Life (Take 2) [Breakdown Slated]</t>
  </si>
  <si>
    <t>Z:\Grateful Dead\# Studio Albums #\50th Anniversary Deluxe (24 Bit)\1970 - American Beauty + Show\1970 - American Beauty; The Angel's Share (Extended outtakes)\46 - Attics of My Life (Take 3 Breakdown) (Slated).flac</t>
  </si>
  <si>
    <t>Attics of My Life (Take 3 Breakdown) (Slated)</t>
  </si>
  <si>
    <t>Z:\Grateful Dead\# Studio Albums #\50th Anniversary Deluxe (24 Bit)\1970 - American Beauty + Show\1970 - American Beauty; The Angel's Share (Extended outtakes)\46-attics-of-my-life-(take-3)-breakdown-slated.flac</t>
  </si>
  <si>
    <t>Attics of My Life (Take 3) [Breakdown Slated]</t>
  </si>
  <si>
    <t>Z:\Grateful Dead\# Studio Albums #\50th Anniversary Deluxe (24 Bit)\1970 - American Beauty + Show\1970 - American Beauty; The Angel's Share (Extended outtakes)\47 - Attics of My Life (Take 4 Breakdown) (Slated).flac</t>
  </si>
  <si>
    <t>Attics of My Life (Take 4 Breakdown) (Slated)</t>
  </si>
  <si>
    <t>Z:\Grateful Dead\# Studio Albums #\50th Anniversary Deluxe (24 Bit)\1970 - American Beauty + Show\1970 - American Beauty; The Angel's Share (Extended outtakes)\47-attics-of-my-life-(take-4)-breakdown-slated.flac</t>
  </si>
  <si>
    <t>Attics of My Life (Take 4) [Breakdown Slated]</t>
  </si>
  <si>
    <t>Z:\Grateful Dead\# Studio Albums #\50th Anniversary Deluxe (24 Bit)\1970 - American Beauty + Show\1970 - American Beauty; The Angel's Share (Extended outtakes)\48 - Attics of My Life (Take 5) (Slated).flac</t>
  </si>
  <si>
    <t>Attics of My Life (Take 5) (Slated)</t>
  </si>
  <si>
    <t>Z:\Grateful Dead\# Studio Albums #\50th Anniversary Deluxe (24 Bit)\1970 - American Beauty + Show\1970 - American Beauty; The Angel's Share (Extended outtakes)\48-attics-of-my-life-(take-5)-slated.flac</t>
  </si>
  <si>
    <t>Attics of My Life (Take 5) [Slated]</t>
  </si>
  <si>
    <t>Z:\Grateful Dead\# Studio Albums #\50th Anniversary Deluxe (24 Bit)\1970 - American Beauty + Show\1970 - American Beauty; The Angel's Share (Extended outtakes)\49 - Attics of My Life (Solo Version) (Demo).flac</t>
  </si>
  <si>
    <t>Attics of My Life (Solo Version) (Demo)</t>
  </si>
  <si>
    <t>Z:\Grateful Dead\# Studio Albums #\50th Anniversary Deluxe (24 Bit)\1970 - American Beauty + Show\1970 - American Beauty; The Angel's Share (Extended outtakes)\49-attics-of-my-life-(solo-version)-demo.flac</t>
  </si>
  <si>
    <t>Attics of My Life (Solo Version) [Demo]</t>
  </si>
  <si>
    <t>Z:\Grateful Dead\# Studio Albums #\50th Anniversary Deluxe (24 Bit)\1970 - American Beauty + Show\1970 - American Beauty; The Angel's Share (Extended outtakes)\50 - Hand.flac</t>
  </si>
  <si>
    <t>Hand Me Down (Ripple) [Take 1 Breakdown] (Slated)</t>
  </si>
  <si>
    <t>Z:\Grateful Dead\# Studio Albums #\50th Anniversary Deluxe (24 Bit)\1970 - American Beauty + Show\1970 - American Beauty; The Angel's Share (Extended outtakes)\50-hand-me-down-ripple-(take-1)-breakdown-slated.flac</t>
  </si>
  <si>
    <t>Hand Me Down Ripple (Take 1) [Breakdown Slated]</t>
  </si>
  <si>
    <t>Z:\Grateful Dead\# Studio Albums #\50th Anniversary Deluxe (24 Bit)\1970 - American Beauty + Show\1970 - American Beauty; The Angel's Share (Extended outtakes)\51 - Hand.flac</t>
  </si>
  <si>
    <t>Hand Me Down (Ripple) [Take 2 With Vocals] (Slated)</t>
  </si>
  <si>
    <t>Z:\Grateful Dead\# Studio Albums #\50th Anniversary Deluxe (24 Bit)\1970 - American Beauty + Show\1970 - American Beauty; The Angel's Share (Extended outtakes)\51-hand-me-down-ripple-(take-2-with-vocals)-slated.flac</t>
  </si>
  <si>
    <t>Hand Me Down Ripple (Take 2 With Vocals) [Slated]</t>
  </si>
  <si>
    <t>Z:\Grateful Dead\# Studio Albums #\50th Anniversary Deluxe (24 Bit)\1970 - American Beauty + Show\1970 - American Beauty; The Angel's Share (Extended outtakes)\52 - Hand Me Down (Ripple) [Take 3] (Slated).flac</t>
  </si>
  <si>
    <t>Hand Me Down (Ripple) [Take 3] (Slated)</t>
  </si>
  <si>
    <t>Z:\Grateful Dead\# Studio Albums #\50th Anniversary Deluxe (24 Bit)\1970 - American Beauty + Show\1970 - American Beauty; The Angel's Share (Extended outtakes)\52-hand-me-down-ripple-(take-3)-slated.flac</t>
  </si>
  <si>
    <t>Hand Me Down Ripple (Take 3) [Slated]</t>
  </si>
  <si>
    <t>Z:\Grateful Dead\# Studio Albums #\50th Anniversary Deluxe (24 Bit)\1970 - American Beauty + Show\1970 - American Beauty; The Angel's Share (Extended outtakes)\53 - Hand Me Down (Ripple) [Take 4] (Slated).flac</t>
  </si>
  <si>
    <t>Hand Me Down (Ripple) [Take 4] (Slated)</t>
  </si>
  <si>
    <t>Z:\Grateful Dead\# Studio Albums #\50th Anniversary Deluxe (24 Bit)\1970 - American Beauty + Show\1970 - American Beauty; The Angel's Share (Extended outtakes)\53-hand-me-down-ripple-(take-4)-slated.flac</t>
  </si>
  <si>
    <t>Hand Me Down Ripple (Take 4) [Slated]</t>
  </si>
  <si>
    <t>Z:\Grateful Dead\# Studio Albums #\50th Anniversary Deluxe (24 Bit)\1970 - American Beauty + Show\1970 - American Beauty; The Angel's Share (Extended outtakes)\54 - Hand.flac</t>
  </si>
  <si>
    <t>Hand Me Down (Ripple) [Take 5 Breakdown] (Slated)</t>
  </si>
  <si>
    <t>Z:\Grateful Dead\# Studio Albums #\50th Anniversary Deluxe (24 Bit)\1970 - American Beauty + Show\1970 - American Beauty; The Angel's Share (Extended outtakes)\54-hand-me-down-ripple-(take-5)-breakdown-slated.flac</t>
  </si>
  <si>
    <t>Hand Me Down Ripple (Take 5) [Breakdown Slated]</t>
  </si>
  <si>
    <t>Z:\Grateful Dead\# Studio Albums #\50th Anniversary Deluxe (24 Bit)\1970 - American Beauty + Show\1970 - American Beauty; The Angel's Share (Extended outtakes)\55 - Hand.flac</t>
  </si>
  <si>
    <t>Hand Me Down (Ripple) [Take 6 Breakdown] (Slated)</t>
  </si>
  <si>
    <t>Z:\Grateful Dead\# Studio Albums #\50th Anniversary Deluxe (24 Bit)\1970 - American Beauty + Show\1970 - American Beauty; The Angel's Share (Extended outtakes)\55-hand-me-down-ripple-(take-6)-breakdown-slated.flac</t>
  </si>
  <si>
    <t>Hand Me Down Ripple (Take 6) [Breakdown Slated]</t>
  </si>
  <si>
    <t>Z:\Grateful Dead\# Studio Albums #\50th Anniversary Deluxe (24 Bit)\1970 - American Beauty + Show\1970 - American Beauty; The Angel's Share (Extended outtakes)\56 - Hand Me Down (Ripple) [Take 7] (Slated).flac</t>
  </si>
  <si>
    <t>Hand Me Down (Ripple) [Take 7] (Slated)</t>
  </si>
  <si>
    <t>Z:\Grateful Dead\# Studio Albums #\50th Anniversary Deluxe (24 Bit)\1970 - American Beauty + Show\1970 - American Beauty; The Angel's Share (Extended outtakes)\56-hand-me-down-ripple-(take-7)-slated.flac</t>
  </si>
  <si>
    <t>Hand Me Down Ripple (Take 7) [Slated]</t>
  </si>
  <si>
    <t>Z:\Grateful Dead\# Studio Albums #\50th Anniversary Deluxe (24 Bit)\1970 - American Beauty + Show\1971-02-18 [Capitol Theatre, Port Chester, NY]\101 bertha .flac</t>
  </si>
  <si>
    <t>Z:\Grateful Dead\# Studio Albums #\50th Anniversary Deluxe (24 Bit)\1970 - American Beauty + Show\1971-02-18 [Capitol Theatre, Port Chester, NY]\102 truckin' .flac</t>
  </si>
  <si>
    <t>Z:\Grateful Dead\# Studio Albums #\50th Anniversary Deluxe (24 Bit)\1970 - American Beauty + Show\1971-02-18 [Capitol Theatre, Port Chester, NY]\103 hurts me too .flac</t>
  </si>
  <si>
    <t>Z:\Grateful Dead\# Studio Albums #\50th Anniversary Deluxe (24 Bit)\1970 - American Beauty + Show\1971-02-18 [Capitol Theatre, Port Chester, NY]\104 loser .flac</t>
  </si>
  <si>
    <t>Z:\Grateful Dead\# Studio Albums #\50th Anniversary Deluxe (24 Bit)\1970 - American Beauty + Show\1971-02-18 [Capitol Theatre, Port Chester, NY]\105 greatest story ever told .flac</t>
  </si>
  <si>
    <t>Z:\Grateful Dead\# Studio Albums #\50th Anniversary Deluxe (24 Bit)\1970 - American Beauty + Show\1971-02-18 [Capitol Theatre, Port Chester, NY]\106 johnny b goode .flac</t>
  </si>
  <si>
    <t>Z:\Grateful Dead\# Studio Albums #\50th Anniversary Deluxe (24 Bit)\1970 - American Beauty + Show\1971-02-18 [Capitol Theatre, Port Chester, NY]\107 mama tried .flac</t>
  </si>
  <si>
    <t>Z:\Grateful Dead\# Studio Albums #\50th Anniversary Deluxe (24 Bit)\1970 - American Beauty + Show\1971-02-18 [Capitol Theatre, Port Chester, NY]\108 hard to handle .flac</t>
  </si>
  <si>
    <t>Z:\Grateful Dead\# Studio Albums #\50th Anniversary Deluxe (24 Bit)\1970 - American Beauty + Show\1971-02-18 [Capitol Theatre, Port Chester, NY]\109 dark star pt 1 .flac</t>
  </si>
  <si>
    <t>Dark Star Pt 1</t>
  </si>
  <si>
    <t>Z:\Grateful Dead\# Studio Albums #\50th Anniversary Deluxe (24 Bit)\1970 - American Beauty + Show\1971-02-18 [Capitol Theatre, Port Chester, NY]\110 wharf rat.flac</t>
  </si>
  <si>
    <t>Z:\Grateful Dead\# Studio Albums #\50th Anniversary Deluxe (24 Bit)\1970 - American Beauty + Show\1971-02-18 [Capitol Theatre, Port Chester, NY]\111 dark star pt 2 .flac</t>
  </si>
  <si>
    <t>Dark Star Pt 2</t>
  </si>
  <si>
    <t>Z:\Grateful Dead\# Studio Albums #\50th Anniversary Deluxe (24 Bit)\1970 - American Beauty + Show\1971-02-18 [Capitol Theatre, Port Chester, NY]\112 me and my uncle .flac</t>
  </si>
  <si>
    <t>Z:\Grateful Dead\# Studio Albums #\50th Anniversary Deluxe (24 Bit)\1970 - American Beauty + Show\1971-02-18 [Capitol Theatre, Port Chester, NY]\201 casey jones .flac</t>
  </si>
  <si>
    <t>Z:\Grateful Dead\# Studio Albums #\50th Anniversary Deluxe (24 Bit)\1970 - American Beauty + Show\1971-02-18 [Capitol Theatre, Port Chester, NY]\202 playing in the band .flac</t>
  </si>
  <si>
    <t>Z:\Grateful Dead\# Studio Albums #\50th Anniversary Deluxe (24 Bit)\1970 - American Beauty + Show\1971-02-18 [Capitol Theatre, Port Chester, NY]\203 me and bobby mcgee .flac</t>
  </si>
  <si>
    <t>Z:\Grateful Dead\# Studio Albums #\50th Anniversary Deluxe (24 Bit)\1970 - American Beauty + Show\1971-02-18 [Capitol Theatre, Port Chester, NY]\204 candyman.flac</t>
  </si>
  <si>
    <t>Z:\Grateful Dead\# Studio Albums #\50th Anniversary Deluxe (24 Bit)\1970 - American Beauty + Show\1971-02-18 [Capitol Theatre, Port Chester, NY]\205 big boss man.flac</t>
  </si>
  <si>
    <t>Z:\Grateful Dead\# Studio Albums #\50th Anniversary Deluxe (24 Bit)\1970 - American Beauty + Show\1971-02-18 [Capitol Theatre, Port Chester, NY]\206 sugar magnolia .flac</t>
  </si>
  <si>
    <t>Z:\Grateful Dead\# Studio Albums #\50th Anniversary Deluxe (24 Bit)\1970 - American Beauty + Show\1971-02-18 [Capitol Theatre, Port Chester, NY]\207 st. stephen .flac</t>
  </si>
  <si>
    <t>Z:\Grateful Dead\# Studio Albums #\50th Anniversary Deluxe (24 Bit)\1970 - American Beauty + Show\1971-02-18 [Capitol Theatre, Port Chester, NY]\208 not fade away pt 1 .flac</t>
  </si>
  <si>
    <t>Not Fade Away Pt 1</t>
  </si>
  <si>
    <t>Z:\Grateful Dead\# Studio Albums #\50th Anniversary Deluxe (24 Bit)\1970 - American Beauty + Show\1971-02-18 [Capitol Theatre, Port Chester, NY]\209 goin' down the road feeling bad .flac</t>
  </si>
  <si>
    <t>Z:\Grateful Dead\# Studio Albums #\50th Anniversary Deluxe (24 Bit)\1970 - American Beauty + Show\1971-02-18 [Capitol Theatre, Port Chester, NY]\210 not fade away pt 2 .flac</t>
  </si>
  <si>
    <t>Not Fade Away Pt 2</t>
  </si>
  <si>
    <t>Z:\Grateful Dead\# Studio Albums #\50th Anniversary Deluxe (24 Bit)\1970 - American Beauty + Show\1971-02-18 [Capitol Theatre, Port Chester, NY]\211 uncle john's band .flac</t>
  </si>
  <si>
    <t>Z:\Grateful Dead\# Studio Albums #\50th Anniversary Deluxe (24 Bit)\1970 - Workingman's Dead + Show\1970 - Workingman's Dead (50th Anniversary Deluxe Edition)\01_Uncle_John's_Band.flac</t>
  </si>
  <si>
    <t>Z:\Grateful Dead\# Studio Albums #\50th Anniversary Deluxe (24 Bit)\1970 - Workingman's Dead + Show\1970 - Workingman's Dead (50th Anniversary Deluxe Edition)\02_High_Time.flac</t>
  </si>
  <si>
    <t>Z:\Grateful Dead\# Studio Albums #\50th Anniversary Deluxe (24 Bit)\1970 - Workingman's Dead + Show\1970 - Workingman's Dead (50th Anniversary Deluxe Edition)\03_Dire_Wolf.flac</t>
  </si>
  <si>
    <t>Z:\Grateful Dead\# Studio Albums #\50th Anniversary Deluxe (24 Bit)\1970 - Workingman's Dead + Show\1970 - Workingman's Dead (50th Anniversary Deluxe Edition)\04_New_Speedway_Boogie.flac</t>
  </si>
  <si>
    <t>Z:\Grateful Dead\# Studio Albums #\50th Anniversary Deluxe (24 Bit)\1970 - Workingman's Dead + Show\1970 - Workingman's Dead (50th Anniversary Deluxe Edition)\05_Cumberland_Blues.flac</t>
  </si>
  <si>
    <t>Z:\Grateful Dead\# Studio Albums #\50th Anniversary Deluxe (24 Bit)\1970 - Workingman's Dead + Show\1970 - Workingman's Dead (50th Anniversary Deluxe Edition)\06_Black_Peter.flac</t>
  </si>
  <si>
    <t>Z:\Grateful Dead\# Studio Albums #\50th Anniversary Deluxe (24 Bit)\1970 - Workingman's Dead + Show\1970 - Workingman's Dead (50th Anniversary Deluxe Edition)\07_Easy_Wind.flac</t>
  </si>
  <si>
    <t>Z:\Grateful Dead\# Studio Albums #\50th Anniversary Deluxe (24 Bit)\1970 - Workingman's Dead + Show\1970 - Workingman's Dead (50th Anniversary Deluxe Edition)\08_Casey_Jones.flac</t>
  </si>
  <si>
    <t>Z:\Grateful Dead\# Studio Albums #\50th Anniversary Deluxe (24 Bit)\1970 - Workingman's Dead + Show\1970 - Workingman's Dead; The Angel's Share (Extended outtakes)\01 Friend of the Devil  (Demo).flac</t>
  </si>
  <si>
    <t>Friend Of The Devil  (Demo)</t>
  </si>
  <si>
    <t>Z:\Grateful Dead\# Studio Albums #\50th Anniversary Deluxe (24 Bit)\1970 - Workingman's Dead + Show\1970 - Workingman's Dead; The Angel's Share (Extended outtakes)\02 Sugar Magnolia  (Demo).flac</t>
  </si>
  <si>
    <t>Sugar Magnolia  (Demo)</t>
  </si>
  <si>
    <t>Z:\Grateful Dead\# Studio Albums #\50th Anniversary Deluxe (24 Bit)\1970 - Workingman's Dead + Show\1970 - Workingman's Dead; The Angel's Share (Extended outtakes)\03 Candyman  (Demo).flac</t>
  </si>
  <si>
    <t>Candyman  (Demo)</t>
  </si>
  <si>
    <t>Z:\Grateful Dead\# Studio Albums #\50th Anniversary Deluxe (24 Bit)\1970 - Workingman's Dead + Show\1970 - Workingman's Dead; The Angel's Share (Extended outtakes)\04 To Lay Me Down  (Demo).flac</t>
  </si>
  <si>
    <t>To Lay Me Down  (Demo)</t>
  </si>
  <si>
    <t>Z:\Grateful Dead\# Studio Albums #\50th Anniversary Deluxe (24 Bit)\1970 - Workingman's Dead + Show\1970 - Workingman's Dead; The Angel's Share (Extended outtakes)\05 Truckin'  (Demo).flac</t>
  </si>
  <si>
    <t>Truckin'  (Demo)</t>
  </si>
  <si>
    <t>Z:\Grateful Dead\# Studio Albums #\50th Anniversary Deluxe (24 Bit)\1970 - Workingman's Dead + Show\1970 - Workingman's Dead; The Angel's Share (Extended outtakes)\06 Hand Me Down (Ripple)  (Demo).flac</t>
  </si>
  <si>
    <t>Hand Me Down (Ripple)  (Demo)</t>
  </si>
  <si>
    <t>Z:\Grateful Dead\# Studio Albums #\50th Anniversary Deluxe (24 Bit)\1970 - Workingman's Dead + Show\1970 - Workingman's Dead; The Angel's Share (Extended outtakes)\07 Brokedown Palace  (Demo).flac</t>
  </si>
  <si>
    <t>Brokedown Palace  (Demo)</t>
  </si>
  <si>
    <t>Z:\Grateful Dead\# Studio Albums #\50th Anniversary Deluxe (24 Bit)\1970 - Workingman's Dead + Show\1970 - Workingman's Dead; The Angel's Share (Extended outtakes)\08 Till the Morning Comes  (Demo).flac</t>
  </si>
  <si>
    <t>Till The Morning Comes  (Demo)</t>
  </si>
  <si>
    <t>Z:\Grateful Dead\# Studio Albums #\50th Anniversary Deluxe (24 Bit)\1970 - Workingman's Dead + Show\1970 - Workingman's Dead; The Angel's Share (Extended outtakes)\09 Attics of My Life  (Demo).flac</t>
  </si>
  <si>
    <t>Attics Of My Life  (Demo)</t>
  </si>
  <si>
    <t>Z:\Grateful Dead\# Studio Albums #\50th Anniversary Deluxe (24 Bit)\1970 - Workingman's Dead + Show\1970 - Workingman's Dead; The Angel's Share (Extended outtakes)\10 Operator  (Demo).flac</t>
  </si>
  <si>
    <t>Operator  (Demo)</t>
  </si>
  <si>
    <t>Z:\Grateful Dead\# Studio Albums #\50th Anniversary Deluxe (24 Bit)\1970 - Workingman's Dead + Show\1970 - Workingman's Dead; The Angel's Share (Extended outtakes)\11 Box of Rain  (Acoustic Mix).flac</t>
  </si>
  <si>
    <t>Box Of Rain  (Acoustic Mix)</t>
  </si>
  <si>
    <t>Z:\Grateful Dead\# Studio Albums #\50th Anniversary Deluxe (24 Bit)\1970 - Workingman's Dead + Show\1970 - Workingman's Dead; The Angel's Share (Extended outtakes)\12 Candyman  (Alternate Take).flac</t>
  </si>
  <si>
    <t>Candyman  (Alternate Take)</t>
  </si>
  <si>
    <t>Z:\Grateful Dead\# Studio Albums #\50th Anniversary Deluxe (24 Bit)\1970 - Workingman's Dead + Show\1970 - Workingman's Dead; The Angel's Share (Extended outtakes)\13 Truckin'  (Alternate Mix).flac</t>
  </si>
  <si>
    <t>Truckin'  (Alternate Mix)</t>
  </si>
  <si>
    <t>Z:\Grateful Dead\# Studio Albums #\50th Anniversary Deluxe (24 Bit)\1970 - Workingman's Dead + Show\1970 - Workingman's Dead; The Angel's Share (Extended outtakes)\15 Operator (Take 2 Breakdown)  (Slated).flac</t>
  </si>
  <si>
    <t>Operator (Take 2 Breakdown)  (Slated)</t>
  </si>
  <si>
    <t>Z:\Grateful Dead\# Studio Albums #\50th Anniversary Deluxe (24 Bit)\1970 - Workingman's Dead + Show\1970 - Workingman's Dead; The Angel's Share (Extended outtakes)\16 Operator (Take 3)  (Slated).flac</t>
  </si>
  <si>
    <t>Operator (Take 3)  (Slated)</t>
  </si>
  <si>
    <t>Z:\Grateful Dead\# Studio Albums #\50th Anniversary Deluxe (24 Bit)\1970 - Workingman's Dead + Show\1970 - Workingman's Dead; The Angel's Share (Extended outtakes)\17 Operator (Take 4 Breakdown)  (Slated).flac</t>
  </si>
  <si>
    <t>Operator (Take 4 Breakdown)  (Slated)</t>
  </si>
  <si>
    <t>Z:\Grateful Dead\# Studio Albums #\50th Anniversary Deluxe (24 Bit)\1970 - Workingman's Dead + Show\1970 - Workingman's Dead; The Angel's Share (Extended outtakes)\18 Operator.flac</t>
  </si>
  <si>
    <t>Operator (Take 5, Misnamed As Take 6)  (Slated)</t>
  </si>
  <si>
    <t>Z:\Grateful Dead\# Studio Albums #\50th Anniversary Deluxe (24 Bit)\1970 - Workingman's Dead + Show\1970 - Workingman's Dead; The Angel's Share (Extended outtakes)\19 Operator (Take 6 Breakdown)  (Slated).flac</t>
  </si>
  <si>
    <t>Operator (Take 6 Breakdown)  (Slated)</t>
  </si>
  <si>
    <t>Z:\Grateful Dead\# Studio Albums #\50th Anniversary Deluxe (24 Bit)\1970 - Workingman's Dead + Show\1970 - Workingman's Dead; The Angel's Share (Extended outtakes)\20 Operator (Take 7 Breakdown)  (Slated).flac</t>
  </si>
  <si>
    <t>Operator (Take 7 Breakdown)  (Slated)</t>
  </si>
  <si>
    <t>Z:\Grateful Dead\# Studio Albums #\50th Anniversary Deluxe (24 Bit)\1970 - Workingman's Dead + Show\1970 - Workingman's Dead; The Angel's Share (Extended outtakes)\21 Operator (Take 8)  (Slated).flac</t>
  </si>
  <si>
    <t>Operator (Take 8)  (Slated)</t>
  </si>
  <si>
    <t>Z:\Grateful Dead\# Studio Albums #\50th Anniversary Deluxe (24 Bit)\1970 - Workingman's Dead + Show\1970 - Workingman's Dead; The Angel's Share (Extended outtakes)\22 Friend.flac</t>
  </si>
  <si>
    <t>Friend Of The Devil (Take 1 Breakdown)  (Slated)</t>
  </si>
  <si>
    <t>Z:\Grateful Dead\# Studio Albums #\50th Anniversary Deluxe (24 Bit)\1970 - Workingman's Dead + Show\1970 - Workingman's Dead; The Angel's Share (Extended outtakes)\23 Friend .flac</t>
  </si>
  <si>
    <t>Friend Of The Devil (Take 2 Breakdown)  (Slated)</t>
  </si>
  <si>
    <t>Z:\Grateful Dead\# Studio Albums #\50th Anniversary Deluxe (24 Bit)\1970 - Workingman's Dead + Show\1970 - Workingman's Dead; The Angel's Share (Extended outtakes)\24 Friend.flac</t>
  </si>
  <si>
    <t>Friend Of The Devil (Take 3 Breakdown)  (Slated)</t>
  </si>
  <si>
    <t>Z:\Grateful Dead\# Studio Albums #\50th Anniversary Deluxe (24 Bit)\1970 - Workingman's Dead + Show\1970 - Workingman's Dead; The Angel's Share (Extended outtakes)\25 Friend.flac</t>
  </si>
  <si>
    <t>Friend Of The Devil (Take 4 Breakdown)  (Slated)</t>
  </si>
  <si>
    <t>Z:\Grateful Dead\# Studio Albums #\50th Anniversary Deluxe (24 Bit)\1970 - Workingman's Dead + Show\1970 - Workingman's Dead; The Angel's Share (Extended outtakes)\26 Friend of the Devil (Take 5)  (Slated).flac</t>
  </si>
  <si>
    <t>Friend Of The Devil (Take 5)  (Slated)</t>
  </si>
  <si>
    <t>Z:\Grateful Dead\# Studio Albums #\50th Anniversary Deluxe (24 Bit)\1970 - Workingman's Dead + Show\1970 - Workingman's Dead; The Angel's Share (Extended outtakes)\27 Friend of the Devil (Take 6)  (Slated).flac</t>
  </si>
  <si>
    <t>Friend Of The Devil (Take 6)  (Slated)</t>
  </si>
  <si>
    <t>Z:\Grateful Dead\# Studio Albums #\50th Anniversary Deluxe (24 Bit)\1970 - Workingman's Dead + Show\1970 - Workingman's Dead; The Angel's Share (Extended outtakes)\29 Friend.flac</t>
  </si>
  <si>
    <t>Friend Of The Devil (Arranging Take 1)  (Not Slated)</t>
  </si>
  <si>
    <t>Z:\Grateful Dead\# Studio Albums #\50th Anniversary Deluxe (24 Bit)\1970 - Workingman's Dead + Show\1970 - Workingman's Dead; The Angel's Share (Extended outtakes)\30 Friend.flac</t>
  </si>
  <si>
    <t>Friend Of The Devil (Arranging Take 2)  (Not Slated)</t>
  </si>
  <si>
    <t>Z:\Grateful Dead\# Studio Albums #\50th Anniversary Deluxe (24 Bit)\1970 - Workingman's Dead + Show\1970 - Workingman's Dead; The Angel's Share (Extended outtakes)\31 Friend.flac</t>
  </si>
  <si>
    <t>Friend Of The Devil (Arranging Take 3)  (Not Slated)</t>
  </si>
  <si>
    <t>Z:\Grateful Dead\# Studio Albums #\50th Anniversary Deluxe (24 Bit)\1970 - Workingman's Dead + Show\1970 - Workingman's Dead; The Angel's Share (Extended outtakes)\32 Friend.flac</t>
  </si>
  <si>
    <t>Friend Of The Devil (Take 9 Breakdown)  (Slated)</t>
  </si>
  <si>
    <t>Z:\Grateful Dead\# Studio Albums #\50th Anniversary Deluxe (24 Bit)\1970 - Workingman's Dead + Show\1970 - Workingman's Dead; The Angel's Share (Extended outtakes)\33 Friend.flac</t>
  </si>
  <si>
    <t>Friend Of The Devil (Take 10 Breakdown)  (Slated)</t>
  </si>
  <si>
    <t>Z:\Grateful Dead\# Studio Albums #\50th Anniversary Deluxe (24 Bit)\1970 - Workingman's Dead + Show\1970 - Workingman's Dead; The Angel's Share (Extended outtakes)\34 Friend of the Devil (Take 11)  (Slated).flac</t>
  </si>
  <si>
    <t>Friend Of The Devil (Take 11)  (Slated)</t>
  </si>
  <si>
    <t>Z:\Grateful Dead\# Studio Albums #\50th Anniversary Deluxe (24 Bit)\1970 - Workingman's Dead + Show\1970 - Workingman's Dead; The Angel's Share (Extended outtakes)\35 Friend.flac</t>
  </si>
  <si>
    <t>Friend Of The Devil (Take 12 Breakdown)  (Slated)</t>
  </si>
  <si>
    <t>Z:\Grateful Dead\# Studio Albums #\50th Anniversary Deluxe (24 Bit)\1970 - Workingman's Dead + Show\1970 - Workingman's Dead; The Angel's Share (Extended outtakes)\36 Friend of the Devil (Take 13)  (Not Slated).flac</t>
  </si>
  <si>
    <t>Friend Of The Devil (Take 13)  (Not Slated)</t>
  </si>
  <si>
    <t>Z:\Grateful Dead\# Studio Albums #\50th Anniversary Deluxe (24 Bit)\1970 - Workingman's Dead + Show\1970 - Workingman's Dead; The Angel's Share (Extended outtakes)\37 Friend.flac</t>
  </si>
  <si>
    <t>Friend Of The Devil (Take 14 Breakdown)  (Slated)</t>
  </si>
  <si>
    <t>Z:\Grateful Dead\# Studio Albums #\50th Anniversary Deluxe (24 Bit)\1970 - Workingman's Dead + Show\1970 - Workingman's Dead; The Angel's Share (Extended outtakes)\38 Friend of the Devil (Take 15)  (Slated).flac</t>
  </si>
  <si>
    <t>Friend Of The Devil (Take 15)  (Slated)</t>
  </si>
  <si>
    <t>Z:\Grateful Dead\# Studio Albums #\50th Anniversary Deluxe (24 Bit)\1970 - Workingman's Dead + Show\1970 - Workingman's Dead; The Angel's Share (Extended outtakes)\39 Friend of the Devil (Take 16)  (Slated).flac</t>
  </si>
  <si>
    <t>Friend Of The Devil (Take 16)  (Slated)</t>
  </si>
  <si>
    <t>Z:\Grateful Dead\# Studio Albums #\50th Anniversary Deluxe (24 Bit)\1970 - Workingman's Dead + Show\1970 - Workingman's Dead; The Angel's Share (Extended outtakes)\40 Friend of the Devil (Take 17)  (Slated).flac</t>
  </si>
  <si>
    <t>Friend Of The Devil (Take 17)  (Slated)</t>
  </si>
  <si>
    <t>Z:\Grateful Dead\# Studio Albums #\50th Anniversary Deluxe (24 Bit)\1970 - Workingman's Dead + Show\1970 - Workingman's Dead; The Angel's Share (Extended outtakes)\41 Friend of the Devil (Take 18)  (Slated).flac</t>
  </si>
  <si>
    <t>Friend Of The Devil (Take 18)  (Slated)</t>
  </si>
  <si>
    <t>Z:\Grateful Dead\# Studio Albums #\50th Anniversary Deluxe (24 Bit)\1970 - Workingman's Dead + Show\1970 - Workingman's Dead; The Angel's Share (Extended outtakes)\14 Operator (Take 1)  (Slated).flac</t>
  </si>
  <si>
    <t>Operator (Take 1)  (Slated)</t>
  </si>
  <si>
    <t>Z:\Grateful Dead\# Studio Albums #\50th Anniversary Deluxe (24 Bit)\1970 - Workingman's Dead + Show\1970 - Workingman's Dead; The Angel's Share (Extended outtakes)\28 Friend of the Devil (Take 7)  (Slated).flac</t>
  </si>
  <si>
    <t>Friend Of The Devil (Take 7)  (Slated)</t>
  </si>
  <si>
    <t>Z:\Grateful Dead\# Studio Albums #\50th Anniversary Deluxe (24 Bit)\1970 - Workingman's Dead + Show\1970 - Workingman's Dead; The Angel's Share (Extended outtakes)\42 Friend of the Devil (Take 19)  (Not Slated).flac</t>
  </si>
  <si>
    <t>Friend Of The Devil (Take 19)  (Not Slated)</t>
  </si>
  <si>
    <t>Z:\Grateful Dead\# Studio Albums #\50th Anniversary Deluxe (24 Bit)\1970 - Workingman's Dead + Show\1970 - Workingman's Dead; The Angel's Share (Extended outtakes)\43 Friend of the Devil (Take 20)  (Slated).flac</t>
  </si>
  <si>
    <t>Friend Of The Devil (Take 20)  (Slated)</t>
  </si>
  <si>
    <t>Z:\Grateful Dead\# Studio Albums #\50th Anniversary Deluxe (24 Bit)\1970 - Workingman's Dead + Show\1970 - Workingman's Dead; The Angel's Share (Extended outtakes)\44 Attics of My Life (Take 1)  (Slated).flac</t>
  </si>
  <si>
    <t>Attics Of My Life (Take 1)  (Slated)</t>
  </si>
  <si>
    <t>Z:\Grateful Dead\# Studio Albums #\50th Anniversary Deluxe (24 Bit)\1970 - Workingman's Dead + Show\1970 - Workingman's Dead; The Angel's Share (Extended outtakes)\45 Attics.flac</t>
  </si>
  <si>
    <t>Attics Of My Life (Take 2 Breakdown)  (Slated)</t>
  </si>
  <si>
    <t>Z:\Grateful Dead\# Studio Albums #\50th Anniversary Deluxe (24 Bit)\1970 - Workingman's Dead + Show\1970 - Workingman's Dead; The Angel's Share (Extended outtakes)\46 Attics.flac</t>
  </si>
  <si>
    <t>Attics Of My Life (Take 3 Breakdown)  (Slated)</t>
  </si>
  <si>
    <t>Z:\Grateful Dead\# Studio Albums #\50th Anniversary Deluxe (24 Bit)\1970 - Workingman's Dead + Show\1970 - Workingman's Dead; The Angel's Share (Extended outtakes)\47 Attics.flac</t>
  </si>
  <si>
    <t>Attics Of My Life (Take 4 Breakdown)  (Slated)</t>
  </si>
  <si>
    <t>Z:\Grateful Dead\# Studio Albums #\50th Anniversary Deluxe (24 Bit)\1970 - Workingman's Dead + Show\1970 - Workingman's Dead; The Angel's Share (Extended outtakes)\48 Attics of My Life (Take 5)  (Slated).flac</t>
  </si>
  <si>
    <t>Attics Of My Life (Take 5)  (Slated)</t>
  </si>
  <si>
    <t>Z:\Grateful Dead\# Studio Albums #\50th Anniversary Deluxe (24 Bit)\1970 - Workingman's Dead + Show\1970 - Workingman's Dead; The Angel's Share (Extended outtakes)\49 Attics of My Life (Solo Version)  (Demo).flac</t>
  </si>
  <si>
    <t>Attics Of My Life (Solo Version)  (Demo)</t>
  </si>
  <si>
    <t>Z:\Grateful Dead\# Studio Albums #\50th Anniversary Deluxe (24 Bit)\1970 - Workingman's Dead + Show\1970 - Workingman's Dead; The Angel's Share (Extended outtakes)\50 Hand.flac</t>
  </si>
  <si>
    <t>Hand Me Down (Ripple) [Take 1 Breakdown]  (Slated)</t>
  </si>
  <si>
    <t>Z:\Grateful Dead\# Studio Albums #\50th Anniversary Deluxe (24 Bit)\1970 - Workingman's Dead + Show\1970 - Workingman's Dead; The Angel's Share (Extended outtakes)\51 Hand.flac</t>
  </si>
  <si>
    <t>Hand Me Down (Ripple) [Take 2 With Vocals]  (Slated)</t>
  </si>
  <si>
    <t>Z:\Grateful Dead\# Studio Albums #\50th Anniversary Deluxe (24 Bit)\1970 - Workingman's Dead + Show\1970 - Workingman's Dead; The Angel's Share (Extended outtakes)\52 Hand Me Down (Ripple) [Take 3]  (Slated).flac</t>
  </si>
  <si>
    <t>Hand Me Down (Ripple) [Take 3]  (Slated)</t>
  </si>
  <si>
    <t>Z:\Grateful Dead\# Studio Albums #\50th Anniversary Deluxe (24 Bit)\1970 - Workingman's Dead + Show\1970 - Workingman's Dead; The Angel's Share (Extended outtakes)\53 Hand Me Down (Ripple) [Take 4]  (Slated).flac</t>
  </si>
  <si>
    <t>Hand Me Down (Ripple) [Take 4]  (Slated)</t>
  </si>
  <si>
    <t>Z:\Grateful Dead\# Studio Albums #\50th Anniversary Deluxe (24 Bit)\1970 - Workingman's Dead + Show\1970 - Workingman's Dead; The Angel's Share (Extended outtakes)\54 Hand.flac</t>
  </si>
  <si>
    <t>Hand Me Down (Ripple) [Take 5 Breakdown]  (Slated)</t>
  </si>
  <si>
    <t>Z:\Grateful Dead\# Studio Albums #\50th Anniversary Deluxe (24 Bit)\1970 - Workingman's Dead + Show\1970 - Workingman's Dead; The Angel's Share (Extended outtakes)\55 Hand.flac</t>
  </si>
  <si>
    <t>Hand Me Down (Ripple) [Take 6 Breakdown]  (Slated)</t>
  </si>
  <si>
    <t>Z:\Grateful Dead\# Studio Albums #\50th Anniversary Deluxe (24 Bit)\1970 - Workingman's Dead + Show\1970 - Workingman's Dead; The Angel's Share (Extended outtakes)\56 Hand Me Down (Ripple) [Take 7]  (Slated).flac</t>
  </si>
  <si>
    <t>Hand Me Down (Ripple) [Take 7]  (Slated)</t>
  </si>
  <si>
    <t>Z:\Grateful Dead\# Studio Albums #\50th Anniversary Deluxe (24 Bit)\1970 - Workingman's Dead + Show\1971-02-21 [Capitol Theater, Port Chester, NY]\101 Cold Rain And Snow.flac</t>
  </si>
  <si>
    <t>Z:\Grateful Dead\# Studio Albums #\50th Anniversary Deluxe (24 Bit)\1970 - Workingman's Dead + Show\1971-02-21 [Capitol Theater, Port Chester, NY]\102 Me And Bobby McGee.flac</t>
  </si>
  <si>
    <t>Z:\Grateful Dead\# Studio Albums #\50th Anniversary Deluxe (24 Bit)\1970 - Workingman's Dead + Show\1971-02-21 [Capitol Theater, Port Chester, NY]\103 Loser.flac</t>
  </si>
  <si>
    <t>Z:\Grateful Dead\# Studio Albums #\50th Anniversary Deluxe (24 Bit)\1970 - Workingman's Dead + Show\1971-02-21 [Capitol Theater, Port Chester, NY]\104 Easy Wind.flac</t>
  </si>
  <si>
    <t>Z:\Grateful Dead\# Studio Albums #\50th Anniversary Deluxe (24 Bit)\1970 - Workingman's Dead + Show\1971-02-21 [Capitol Theater, Port Chester, NY]\105 Playing In The Band.flac</t>
  </si>
  <si>
    <t>Z:\Grateful Dead\# Studio Albums #\50th Anniversary Deluxe (24 Bit)\1970 - Workingman's Dead + Show\1971-02-21 [Capitol Theater, Port Chester, NY]\106 Bertha.flac</t>
  </si>
  <si>
    <t>Z:\Grateful Dead\# Studio Albums #\50th Anniversary Deluxe (24 Bit)\1970 - Workingman's Dead + Show\1971-02-21 [Capitol Theater, Port Chester, NY]\107 Me And My Uncle.flac</t>
  </si>
  <si>
    <t>Z:\Grateful Dead\# Studio Albums #\50th Anniversary Deluxe (24 Bit)\1970 - Workingman's Dead + Show\1971-02-21 [Capitol Theater, Port Chester, NY]\108 Ripple (False Start).flac</t>
  </si>
  <si>
    <t>Ripple (False Start)</t>
  </si>
  <si>
    <t>Z:\Grateful Dead\# Studio Albums #\50th Anniversary Deluxe (24 Bit)\1970 - Workingman's Dead + Show\1971-02-21 [Capitol Theater, Port Chester, NY]\109 Ripple.flac</t>
  </si>
  <si>
    <t>Z:\Grateful Dead\# Studio Albums #\50th Anniversary Deluxe (24 Bit)\1970 - Workingman's Dead + Show\1971-02-21 [Capitol Theater, Port Chester, NY]\110 Next Time You See Me.flac</t>
  </si>
  <si>
    <t>Z:\Grateful Dead\# Studio Albums #\50th Anniversary Deluxe (24 Bit)\1970 - Workingman's Dead + Show\1971-02-21 [Capitol Theater, Port Chester, NY]\111 Sugar Magnolia.flac</t>
  </si>
  <si>
    <t>Z:\Grateful Dead\# Studio Albums #\50th Anniversary Deluxe (24 Bit)\1970 - Workingman's Dead + Show\1971-02-21 [Capitol Theater, Port Chester, NY]\112 Greatest Story Ever Told.flac</t>
  </si>
  <si>
    <t>Z:\Grateful Dead\# Studio Albums #\50th Anniversary Deluxe (24 Bit)\1970 - Workingman's Dead + Show\1971-02-21 [Capitol Theater, Port Chester, NY]\113 Johnny B. Goode.flac</t>
  </si>
  <si>
    <t>Z:\Grateful Dead\# Studio Albums #\50th Anniversary Deluxe (24 Bit)\1970 - Workingman's Dead + Show\1971-02-21 [Capitol Theater, Port Chester, NY]\201 China Cat Sunflower.flac</t>
  </si>
  <si>
    <t>Z:\Grateful Dead\# Studio Albums #\50th Anniversary Deluxe (24 Bit)\1970 - Workingman's Dead + Show\1971-02-21 [Capitol Theater, Port Chester, NY]\202 I Know You Rider.flac</t>
  </si>
  <si>
    <t>Z:\Grateful Dead\# Studio Albums #\50th Anniversary Deluxe (24 Bit)\1970 - Workingman's Dead + Show\1971-02-21 [Capitol Theater, Port Chester, NY]\203 Bird Song.flac</t>
  </si>
  <si>
    <t>Z:\Grateful Dead\# Studio Albums #\50th Anniversary Deluxe (24 Bit)\1970 - Workingman's Dead + Show\1971-02-21 [Capitol Theater, Port Chester, NY]\204 Cumberland Blues .flac</t>
  </si>
  <si>
    <t>Z:\Grateful Dead\# Studio Albums #\50th Anniversary Deluxe (24 Bit)\1970 - Workingman's Dead + Show\1971-02-21 [Capitol Theater, Port Chester, NY]\205 I'm A King Bee.flac</t>
  </si>
  <si>
    <t>Z:\Grateful Dead\# Studio Albums #\50th Anniversary Deluxe (24 Bit)\1970 - Workingman's Dead + Show\1971-02-21 [Capitol Theater, Port Chester, NY]\206 Beat It On Down The Line .flac</t>
  </si>
  <si>
    <t>Z:\Grateful Dead\# Studio Albums #\50th Anniversary Deluxe (24 Bit)\1970 - Workingman's Dead + Show\1971-02-21 [Capitol Theater, Port Chester, NY]\207 Wharf Rat.flac</t>
  </si>
  <si>
    <t>Z:\Grateful Dead\# Studio Albums #\50th Anniversary Deluxe (24 Bit)\1970 - Workingman's Dead + Show\1971-02-21 [Capitol Theater, Port Chester, NY]\208 Truckin'.flac</t>
  </si>
  <si>
    <t>Z:\Grateful Dead\# Studio Albums #\50th Anniversary Deluxe (24 Bit)\1970 - Workingman's Dead + Show\1971-02-21 [Capitol Theater, Port Chester, NY]\209 Casey Jones.flac</t>
  </si>
  <si>
    <t>Z:\Grateful Dead\# Studio Albums #\50th Anniversary Deluxe (24 Bit)\1970 - Workingman's Dead + Show\1971-02-21 [Capitol Theater, Port Chester, NY]\210 Good Lovin'.flac</t>
  </si>
  <si>
    <t>Z:\Grateful Dead\# Studio Albums #\50th Anniversary Deluxe (24 Bit)\1970 - Workingman's Dead + Show\1971-02-21 [Capitol Theater, Port Chester, NY]\211 Uncle John's Band.flac</t>
  </si>
  <si>
    <t>Z:\Grateful Dead\# Studio Albums #\50th Anniversary Deluxe (24 Bit)\1971 - Skull &amp; Roses + Show\1971 - Skull &amp; Roses (50th Anniversary Expanded Edition)\01 - Bertha .flac</t>
  </si>
  <si>
    <t xml:space="preserve">Bertha (Live at The Fillmore East, New York, NY, April 27, 1971) </t>
  </si>
  <si>
    <t>Z:\Grateful Dead\# Studio Albums #\50th Anniversary Deluxe (24 Bit)\1971 - Skull &amp; Roses + Show\1971 - Skull &amp; Roses (50th Anniversary Expanded Edition)\02 - Mama Tried.flac</t>
  </si>
  <si>
    <t>Mama Tried (Live at The Fillmore East, New York, NY, April 26, 1971)</t>
  </si>
  <si>
    <t>Z:\Grateful Dead\# Studio Albums #\50th Anniversary Deluxe (24 Bit)\1971 - Skull &amp; Roses + Show\1971 - Skull &amp; Roses (50th Anniversary Expanded Edition)\03 - Big Railroad Blues.flac</t>
  </si>
  <si>
    <t>Big Railroad Blues (Live at The Fillmore East, New York, NY, April 5, 1971)</t>
  </si>
  <si>
    <t>Z:\Grateful Dead\# Studio Albums #\50th Anniversary Deluxe (24 Bit)\1971 - Skull &amp; Roses + Show\1971 - Skull &amp; Roses (50th Anniversary Expanded Edition)\04 - Playing In The Band.flac</t>
  </si>
  <si>
    <t>Playing in the Band (Live at The Fillmore East, New York, NY, April 6, 1971)</t>
  </si>
  <si>
    <t>Z:\Grateful Dead\# Studio Albums #\50th Anniversary Deluxe (24 Bit)\1971 - Skull &amp; Roses + Show\1971 - Skull &amp; Roses (50th Anniversary Expanded Edition)\05 - The Other One.flac</t>
  </si>
  <si>
    <t>The Other One (Live at The Fillmore East, New York, NY, April 28, 1971)</t>
  </si>
  <si>
    <t>Z:\Grateful Dead\# Studio Albums #\50th Anniversary Deluxe (24 Bit)\1971 - Skull &amp; Roses + Show\1971 - Skull &amp; Roses (50th Anniversary Expanded Edition)\06 - Me &amp; My Uncle.flac</t>
  </si>
  <si>
    <t>Me &amp; My Uncle (Live at The Fillmore East, New York, NY, April 29, 1971)</t>
  </si>
  <si>
    <t>Z:\Grateful Dead\# Studio Albums #\50th Anniversary Deluxe (24 Bit)\1971 - Skull &amp; Roses + Show\1971 - Skull &amp; Roses (50th Anniversary Expanded Edition)\07 - Big Boss Man.flac</t>
  </si>
  <si>
    <t>Big Boss Man (Live at The Fillmore East, New York, NY, April 26, 1971)</t>
  </si>
  <si>
    <t>Z:\Grateful Dead\# Studio Albums #\50th Anniversary Deluxe (24 Bit)\1971 - Skull &amp; Roses + Show\1971 - Skull &amp; Roses (50th Anniversary Expanded Edition)\08 - Me &amp; Bobby Mcgee.flac</t>
  </si>
  <si>
    <t>Me &amp; Bobby McGee (Live at The Fillmore East, New York, NY, April 27, 1971)</t>
  </si>
  <si>
    <t>Z:\Grateful Dead\# Studio Albums #\50th Anniversary Deluxe (24 Bit)\1971 - Skull &amp; Roses + Show\1971 - Skull &amp; Roses (50th Anniversary Expanded Edition)\09 - Johnny B. Goode.flac</t>
  </si>
  <si>
    <t>Johnny B. Goode (Live at The Fillmore East, New York, NY, March 24, 1971)</t>
  </si>
  <si>
    <t>Z:\Grateful Dead\# Studio Albums #\50th Anniversary Deluxe (24 Bit)\1971 - Skull &amp; Roses + Show\1971 - Skull &amp; Roses (50th Anniversary Expanded Edition)\10 - Wharf Rat.flac</t>
  </si>
  <si>
    <t>Wharf Rat (Live at The Fillmore East, New York, NY, April 26, 1971)</t>
  </si>
  <si>
    <t>Z:\Grateful Dead\# Studio Albums #\50th Anniversary Deluxe (24 Bit)\1971 - Skull &amp; Roses + Show\1971 - Skull &amp; Roses (50th Anniversary Expanded Edition)\11 - Not Fade Away - .flac</t>
  </si>
  <si>
    <t>Not Fade Away &gt; Goin' Down the Road Feeling Bad (Live at The Fillmore East, New York, NY, April 5, 1971)</t>
  </si>
  <si>
    <t>Z:\Grateful Dead\# Studio Albums #\50th Anniversary Deluxe (24 Bit)\1971 - Skull &amp; Roses + Show\1971-07-02 [Fillmore West, San Francisco, CA] % (Skull &amp; Roses - 50th Anniversary)\01 Good Lovin'.flac</t>
  </si>
  <si>
    <t>Good Lovin' (Live at the Fillmore West, San Francisco, CA, July 2, 1971)</t>
  </si>
  <si>
    <t>Z:\Grateful Dead\# Studio Albums #\50th Anniversary Deluxe (24 Bit)\1971 - Skull &amp; Roses + Show\1971-07-02 [Fillmore West, San Francisco, CA] % (Skull &amp; Roses - 50th Anniversary)\02 Sing Me Back Home.flac</t>
  </si>
  <si>
    <t>Sing Me Back Home (Live at the Fillmore West, San Francisco, CA, July 2, 1971)</t>
  </si>
  <si>
    <t>Z:\Grateful Dead\# Studio Albums #\50th Anniversary Deluxe (24 Bit)\1971 - Skull &amp; Roses + Show\1971-07-02 [Fillmore West, San Francisco, CA] % (Skull &amp; Roses - 50th Anniversary)\03 Mama Tried.flac</t>
  </si>
  <si>
    <t>Mama Tried (Live at the Fillmore West, San Francisco, CA, July 2, 1971)</t>
  </si>
  <si>
    <t>Z:\Grateful Dead\# Studio Albums #\50th Anniversary Deluxe (24 Bit)\1971 - Skull &amp; Roses + Show\1971-07-02 [Fillmore West, San Francisco, CA] % (Skull &amp; Roses - 50th Anniversary)\04 Cryptical Envelopment.flac</t>
  </si>
  <si>
    <t>Cryptical Envelopment (Live at the Fillmore West, San Francisco, CA, July 2, 1971)</t>
  </si>
  <si>
    <t>Z:\Grateful Dead\# Studio Albums #\50th Anniversary Deluxe (24 Bit)\1971 - Skull &amp; Roses + Show\1971-07-02 [Fillmore West, San Francisco, CA] % (Skull &amp; Roses - 50th Anniversary)\05 Drums.flac</t>
  </si>
  <si>
    <t>Drums (Live at the Fillmore West, San Francisco, CA, July 2, 1971)</t>
  </si>
  <si>
    <t>Z:\Grateful Dead\# Studio Albums #\50th Anniversary Deluxe (24 Bit)\1971 - Skull &amp; Roses + Show\1971-07-02 [Fillmore West, San Francisco, CA] % (Skull &amp; Roses - 50th Anniversary)\06 The Other One.flac</t>
  </si>
  <si>
    <t>The Other One (Live at the Fillmore West, San Francisco, CA, July 2, 1971)</t>
  </si>
  <si>
    <t>Z:\Grateful Dead\# Studio Albums #\50th Anniversary Deluxe (24 Bit)\1971 - Skull &amp; Roses + Show\1971-07-02 [Fillmore West, San Francisco, CA] % (Skull &amp; Roses - 50th Anniversary)\07 Big Boss Man.flac</t>
  </si>
  <si>
    <t>Big Boss Man (Live at the Fillmore West, San Francisco, CA, July 2, 1971)</t>
  </si>
  <si>
    <t>Z:\Grateful Dead\# Studio Albums #\50th Anniversary Deluxe (24 Bit)\1971 - Skull &amp; Roses + Show\1971-07-02 [Fillmore West, San Francisco, CA] % (Skull &amp; Roses - 50th Anniversary)\08 Not Fade Away, Pt. 1.flac</t>
  </si>
  <si>
    <t>Not Fade Away, Pt. 1 (Live at the Fillmore West, San Francisco, CA, July 2, 1971)</t>
  </si>
  <si>
    <t>Z:\Grateful Dead\# Studio Albums #\50th Anniversary Deluxe (24 Bit)\1971 - Skull &amp; Roses + Show\1971-07-02 [Fillmore West, San Francisco, CA] % (Skull &amp; Roses - 50th Anniversary)\09 Goin'.flac</t>
  </si>
  <si>
    <t>Goin' Down the Road Feeling Bad (Live at the Fillmore West, San Francisco, CA, July 2, 1971)</t>
  </si>
  <si>
    <t>Z:\Grateful Dead\# Studio Albums #\50th Anniversary Deluxe (24 Bit)\1971 - Skull &amp; Roses + Show\1971-07-02 [Fillmore West, San Francisco, CA] % (Skull &amp; Roses - 50th Anniversary)\10 Not Fade Away, Pt. 2.flac</t>
  </si>
  <si>
    <t>Not Fade Away, Pt. 2 (Live at the Fillmore West, San Francisco, CA, July 2, 1971)</t>
  </si>
  <si>
    <t>Z:\Grateful Dead\# Studio Albums #\50th Anniversary Deluxe (24 Bit)\1972 - Ace\Disc 1\01 - Greatest Story Ever Told (2022 Remaster).flac</t>
  </si>
  <si>
    <t>Greatest Story Ever Told (2022 Remaster)</t>
  </si>
  <si>
    <t>Z:\Grateful Dead\# Studio Albums #\50th Anniversary Deluxe (24 Bit)\1972 - Ace\Disc 1\02 - Black-Throated Wind (2022 Remaster).flac</t>
  </si>
  <si>
    <t>Black-Throated Wind (2022 Remaster)</t>
  </si>
  <si>
    <t>Z:\Grateful Dead\# Studio Albums #\50th Anniversary Deluxe (24 Bit)\1972 - Ace\Disc 1\03 - Walk in the Sunshine (2022 Remaster).flac</t>
  </si>
  <si>
    <t>Walk in the Sunshine (2022 Remaster)</t>
  </si>
  <si>
    <t>Z:\Grateful Dead\# Studio Albums #\50th Anniversary Deluxe (24 Bit)\1972 - Ace\Disc 1\04 - Playing in the Band (2022 Remaster).flac</t>
  </si>
  <si>
    <t>Playing in the Band (2022 Remaster)</t>
  </si>
  <si>
    <t>Z:\Grateful Dead\# Studio Albums #\50th Anniversary Deluxe (24 Bit)\1972 - Ace\Disc 1\05 - Looks Like Rain (2022 Remaster).flac</t>
  </si>
  <si>
    <t>Looks Like Rain (2022 Remaster)</t>
  </si>
  <si>
    <t>Z:\Grateful Dead\# Studio Albums #\50th Anniversary Deluxe (24 Bit)\1972 - Ace\Disc 1\06 - Mexicali Blues (2022 Remaster).flac</t>
  </si>
  <si>
    <t>Mexicali Blues (2022 Remaster)</t>
  </si>
  <si>
    <t>Z:\Grateful Dead\# Studio Albums #\50th Anniversary Deluxe (24 Bit)\1972 - Ace\Disc 1\07 - One More Saturday Night (2022 Remaster).flac</t>
  </si>
  <si>
    <t>One More Saturday Night (2022 Remaster)</t>
  </si>
  <si>
    <t>Z:\Grateful Dead\# Studio Albums #\50th Anniversary Deluxe (24 Bit)\1972 - Ace\Disc 1\08 - Cassidy (2022 Remaster).flac</t>
  </si>
  <si>
    <t>Cassidy (2022 Remaster)</t>
  </si>
  <si>
    <t>Z:\Grateful Dead\# Studio Albums #\50th Anniversary Deluxe (24 Bit)\1972 - Ace\Disc 2\01 - Greatest Story Ever Told (feat. Tyler Childers) [Live at Radio City Music Hall, New York, NY 4;3;22].flac</t>
  </si>
  <si>
    <t>Greatest Story Ever Told (feat. Tyler Childers) [Live at Radio City Music Hall, New York, NY 4/3/22]</t>
  </si>
  <si>
    <t>Z:\Grateful Dead\# Studio Albums #\50th Anniversary Deluxe (24 Bit)\1972 - Ace\Disc 2\02 - Black-Throated Wind (Live at Radio City Music Hall, New York, NY 4;3;22).flac</t>
  </si>
  <si>
    <t>Black-Throated Wind (Live at Radio City Music Hall, New York, NY 4/3/22)</t>
  </si>
  <si>
    <t>Z:\Grateful Dead\# Studio Albums #\50th Anniversary Deluxe (24 Bit)\1972 - Ace\Disc 2\03 - Walk in the Sunshine (feat. Brittney Spencer) [Live at Radio City Music Hall, New York, NY 4;3;22].flac</t>
  </si>
  <si>
    <t>Walk in the Sunshine (feat. Brittney Spencer) [Live at Radio City Music Hall, New York, NY 4/3/22]</t>
  </si>
  <si>
    <t>Z:\Grateful Dead\# Studio Albums #\50th Anniversary Deluxe (24 Bit)\1972 - Ace\Disc 2\04 - Playing in the Band (Live at Radio City Music Hall, New York, NY 4;3;22).flac</t>
  </si>
  <si>
    <t>Playing in the Band (Live at Radio City Music Hall, New York, NY 4/3/22)</t>
  </si>
  <si>
    <t>Z:\Grateful Dead\# Studio Albums #\50th Anniversary Deluxe (24 Bit)\1972 - Ace\Disc 2\05 - Looks Like Rain (feat. Brittney Spencer) [Live at Radio City Music Hall, New York, NY 4;3;22].flac</t>
  </si>
  <si>
    <t>Looks Like Rain (feat. Brittney Spencer) [Live at Radio City Music Hall, New York, NY 4/3/22]</t>
  </si>
  <si>
    <t>Z:\Grateful Dead\# Studio Albums #\50th Anniversary Deluxe (24 Bit)\1972 - Ace\Disc 2\06 - Mexicali Blues Intro (Live at Radio City Music Hall, New York, NY 4;3;22).flac</t>
  </si>
  <si>
    <t>Mexicali Blues Intro (Live at Radio City Music Hall, New York, NY 4/3/22)</t>
  </si>
  <si>
    <t>Z:\Grateful Dead\# Studio Albums #\50th Anniversary Deluxe (24 Bit)\1972 - Ace\Disc 2\07 - Mexicali Blues (Live at Radio City Music Hall, New York, NY 4;3;22).flac</t>
  </si>
  <si>
    <t>Mexicali Blues (Live at Radio City Music Hall, New York, NY 4/3/22)</t>
  </si>
  <si>
    <t>Z:\Grateful Dead\# Studio Albums #\50th Anniversary Deluxe (24 Bit)\1972 - Ace\Disc 2\08 - One More Saturday Night (Live at Radio City Music Hall, New York, NY 4;3;22).flac</t>
  </si>
  <si>
    <t>One More Saturday Night (Live at Radio City Music Hall, New York, NY 4/3/22)</t>
  </si>
  <si>
    <t>Z:\Grateful Dead\# Studio Albums #\50th Anniversary Deluxe (24 Bit)\1972 - Ace\Disc 2\09 - Cassidy (Live at Radio City Music Hall, New York, NY 4;3;22).flac</t>
  </si>
  <si>
    <t>Cassidy (Live at Radio City Music Hall, New York, NY 4/3/22)</t>
  </si>
  <si>
    <t>Z:\Grateful Dead\# Studio Albums #\50th Anniversary Deluxe (24 Bit)\1972 - Europe '72\101 Cumberland Blues.flac</t>
  </si>
  <si>
    <t>Z:\Grateful Dead\# Studio Albums #\50th Anniversary Deluxe (24 Bit)\1972 - Europe '72\102 He's Gone.flac</t>
  </si>
  <si>
    <t>Z:\Grateful Dead\# Studio Albums #\50th Anniversary Deluxe (24 Bit)\1972 - Europe '72\103 One More Saturday Night.flac</t>
  </si>
  <si>
    <t>Z:\Grateful Dead\# Studio Albums #\50th Anniversary Deluxe (24 Bit)\1972 - Europe '72\104 Jack Straw.flac</t>
  </si>
  <si>
    <t>Z:\Grateful Dead\# Studio Albums #\50th Anniversary Deluxe (24 Bit)\1972 - Europe '72\105 You Win Again.flac</t>
  </si>
  <si>
    <t>Z:\Grateful Dead\# Studio Albums #\50th Anniversary Deluxe (24 Bit)\1972 - Europe '72\106 China Cat Sunflower.flac</t>
  </si>
  <si>
    <t>Z:\Grateful Dead\# Studio Albums #\50th Anniversary Deluxe (24 Bit)\1972 - Europe '72\107 I Know You Rider.flac</t>
  </si>
  <si>
    <t>Z:\Grateful Dead\# Studio Albums #\50th Anniversary Deluxe (24 Bit)\1972 - Europe '72\201 Brown-Eyed Women.flac</t>
  </si>
  <si>
    <t>Z:\Grateful Dead\# Studio Albums #\50th Anniversary Deluxe (24 Bit)\1972 - Europe '72\202 Hurts Me Too.flac</t>
  </si>
  <si>
    <t>Z:\Grateful Dead\# Studio Albums #\50th Anniversary Deluxe (24 Bit)\1972 - Europe '72\203 Ramble on Rose.flac</t>
  </si>
  <si>
    <t>Z:\Grateful Dead\# Studio Albums #\50th Anniversary Deluxe (24 Bit)\1972 - Europe '72\204 Sugar Magnolia.flac</t>
  </si>
  <si>
    <t>Z:\Grateful Dead\# Studio Albums #\50th Anniversary Deluxe (24 Bit)\1972 - Europe '72\205 Mr. Charlie.flac</t>
  </si>
  <si>
    <t>Z:\Grateful Dead\# Studio Albums #\50th Anniversary Deluxe (24 Bit)\1972 - Europe '72\206 Tennessee Jed .flac</t>
  </si>
  <si>
    <t>Z:\Grateful Dead\# Studio Albums #\50th Anniversary Deluxe (24 Bit)\1972 - Europe '72\301 Truckin'.flac</t>
  </si>
  <si>
    <t>Z:\Grateful Dead\# Studio Albums #\50th Anniversary Deluxe (24 Bit)\1972 - Europe '72\302 Epilogue.flac</t>
  </si>
  <si>
    <t>Epilogue</t>
  </si>
  <si>
    <t>Z:\Grateful Dead\# Studio Albums #\50th Anniversary Deluxe (24 Bit)\1972 - Europe '72\303 Prelude.flac</t>
  </si>
  <si>
    <t>Prelude</t>
  </si>
  <si>
    <t>Z:\Grateful Dead\# Studio Albums #\50th Anniversary Deluxe (24 Bit)\1972 - Europe '72\304 Morning Dew.flac</t>
  </si>
  <si>
    <t>Z:\Grateful Dead\# Studio Albums #\50th Anniversary Deluxe (24 Bit)\1972 - Lyceum Theatre, London, England]\1972-05-23 [Lyceum Theatre, London, England] 24 Bit (96-2) (50th Anniversary remaster)\01_Prom.flac</t>
  </si>
  <si>
    <t>Z:\Grateful Dead\# Studio Albums #\50th Anniversary Deluxe (24 Bit)\1972 - Lyceum Theatre, London, England]\1972-05-23 [Lyceum Theatre, London, England] 24 Bit (96-2) (50th Anniversary remaster)\02_Sugaree.flac</t>
  </si>
  <si>
    <t>Z:\Grateful Dead\# Studio Albums #\50th Anniversary Deluxe (24 Bit)\1972 - Lyceum Theatre, London, England]\1972-05-23 [Lyceum Theatre, London, England] 24 Bit (96-2) (50th Anniversary remaster)\03_Mr_Charlie.flac</t>
  </si>
  <si>
    <t>Mr Charlie</t>
  </si>
  <si>
    <t>Z:\Grateful Dead\# Studio Albums #\50th Anniversary Deluxe (24 Bit)\1972 - Lyceum Theatre, London, England]\1972-05-23 [Lyceum Theatre, London, England] 24 Bit (96-2) (50th Anniversary remaster)\04_BTW.flac</t>
  </si>
  <si>
    <t>Z:\Grateful Dead\# Studio Albums #\50th Anniversary Deluxe (24 Bit)\1972 - Lyceum Theatre, London, England]\1972-05-23 [Lyceum Theatre, London, England] 24 Bit (96-2) (50th Anniversary remaster)\05_TJ.flac</t>
  </si>
  <si>
    <t>Z:\Grateful Dead\# Studio Albums #\50th Anniversary Deluxe (24 Bit)\1972 - Lyceum Theatre, London, England]\1972-05-23 [Lyceum Theatre, London, England] 24 Bit (96-2) (50th Anniversary remaster)\06_NTYSM.flac</t>
  </si>
  <si>
    <t>Z:\Grateful Dead\# Studio Albums #\50th Anniversary Deluxe (24 Bit)\1972 - Lyceum Theatre, London, England]\1972-05-23 [Lyceum Theatre, London, England] 24 Bit (96-2) (50th Anniversary remaster)\07_Jack_Straw.flac</t>
  </si>
  <si>
    <t>Z:\Grateful Dead\# Studio Albums #\50th Anniversary Deluxe (24 Bit)\1972 - Lyceum Theatre, London, England]\1972-05-23 [Lyceum Theatre, London, England] 24 Bit (96-2) (50th Anniversary remaster)\08_CCS.flac</t>
  </si>
  <si>
    <t>Z:\Grateful Dead\# Studio Albums #\50th Anniversary Deluxe (24 Bit)\1972 - Lyceum Theatre, London, England]\1972-05-23 [Lyceum Theatre, London, England] 24 Bit (96-2) (50th Anniversary remaster)\09_IKYR.flac</t>
  </si>
  <si>
    <t>Z:\Grateful Dead\# Studio Albums #\50th Anniversary Deluxe (24 Bit)\1972 - Lyceum Theatre, London, England]\1972-05-23 [Lyceum Theatre, London, England] 24 Bit (96-2) (50th Anniversary remaster)\10_MAMU.flac</t>
  </si>
  <si>
    <t>Z:\Grateful Dead\# Studio Albums #\50th Anniversary Deluxe (24 Bit)\1972 - Lyceum Theatre, London, England]\1972-05-23 [Lyceum Theatre, London, England] 24 Bit (96-2) (50th Anniversary remaster)\11_CtownS.flac</t>
  </si>
  <si>
    <t>Z:\Grateful Dead\# Studio Albums #\50th Anniversary Deluxe (24 Bit)\1972 - Lyceum Theatre, London, England]\1972-05-23 [Lyceum Theatre, London, England] 24 Bit (96-2) (50th Anniversary remaster)\12_BRB.flac</t>
  </si>
  <si>
    <t>Z:\Grateful Dead\# Studio Albums #\50th Anniversary Deluxe (24 Bit)\1972 - Lyceum Theatre, London, England]\1972-05-23 [Lyceum Theatre, London, England] 24 Bit (96-2) (50th Anniversary remaster)\13_2 Souls.flac</t>
  </si>
  <si>
    <t>The Stranger (Two Souls in Communion)</t>
  </si>
  <si>
    <t>Z:\Grateful Dead\# Studio Albums #\50th Anniversary Deluxe (24 Bit)\1972 - Lyceum Theatre, London, England]\1972-05-23 [Lyceum Theatre, London, England] 24 Bit (96-2) (50th Anniversary remaster)\14_PITB.flac</t>
  </si>
  <si>
    <t>Z:\Grateful Dead\# Studio Albums #\50th Anniversary Deluxe (24 Bit)\1972 - Lyceum Theatre, London, England]\1972-05-23 [Lyceum Theatre, London, England] 24 Bit (96-2) (50th Anniversary remaster)\15_SOTOTW.flac</t>
  </si>
  <si>
    <t>Sitting on Top of the World</t>
  </si>
  <si>
    <t>Z:\Grateful Dead\# Studio Albums #\50th Anniversary Deluxe (24 Bit)\1972 - Lyceum Theatre, London, England]\1972-05-23 [Lyceum Theatre, London, England] 24 Bit (96-2) (50th Anniversary remaster)\16_RPBWF.flac</t>
  </si>
  <si>
    <t>Rockin Pneumonia and the Boogie Woogie Flu</t>
  </si>
  <si>
    <t>Z:\Grateful Dead\# Studio Albums #\50th Anniversary Deluxe (24 Bit)\1972 - Lyceum Theatre, London, England]\1972-05-23 [Lyceum Theatre, London, England] 24 Bit (96-2) (50th Anniversary remaster)\17_Mexicali.flac</t>
  </si>
  <si>
    <t>Z:\Grateful Dead\# Studio Albums #\50th Anniversary Deluxe (24 Bit)\1972 - Lyceum Theatre, London, England]\1972-05-23 [Lyceum Theatre, London, England] 24 Bit (96-2) (50th Anniversary remaster)\18_Good_Lovin'.flac</t>
  </si>
  <si>
    <t>Z:\Grateful Dead\# Studio Albums #\50th Anniversary Deluxe (24 Bit)\1972 - Lyceum Theatre, London, England]\1972-05-23 [Lyceum Theatre, London, England] 24 Bit (96-2) (50th Anniversary remaster)\19_Casey_Jones.flac</t>
  </si>
  <si>
    <t>Z:\Grateful Dead\# Studio Albums #\50th Anniversary Deluxe (24 Bit)\1972 - Lyceum Theatre, London, England]\1972-05-23 [Lyceum Theatre, London, England] 24 Bit (96-2) (50th Anniversary remaster)\20_ROR.flac</t>
  </si>
  <si>
    <t>Z:\Grateful Dead\# Studio Albums #\50th Anniversary Deluxe (24 Bit)\1972 - Lyceum Theatre, London, England]\1972-05-23 [Lyceum Theatre, London, England] 24 Bit (96-2) (50th Anniversary remaster)\21_Dark_Star.flac</t>
  </si>
  <si>
    <t>Z:\Grateful Dead\# Studio Albums #\50th Anniversary Deluxe (24 Bit)\1972 - Lyceum Theatre, London, England]\1972-05-23 [Lyceum Theatre, London, England] 24 Bit (96-2) (50th Anniversary remaster)\22_Morning_Dew.flac</t>
  </si>
  <si>
    <t>Z:\Grateful Dead\# Studio Albums #\50th Anniversary Deluxe (24 Bit)\1972 - Lyceum Theatre, London, England]\1972-05-23 [Lyceum Theatre, London, England] 24 Bit (96-2) (50th Anniversary remaster)\23_He's_Gone.flac</t>
  </si>
  <si>
    <t>Z:\Grateful Dead\# Studio Albums #\50th Anniversary Deluxe (24 Bit)\1972 - Lyceum Theatre, London, England]\1972-05-23 [Lyceum Theatre, London, England] 24 Bit (96-2) (50th Anniversary remaster)\24_SMags.flac</t>
  </si>
  <si>
    <t>Z:\Grateful Dead\# Studio Albums #\50th Anniversary Deluxe (24 Bit)\1972 - Lyceum Theatre, London, England]\1972-05-23 [Lyceum Theatre, London, England] 24 Bit (96-2) (50th Anniversary remaster)\25_Comes_a_Time.flac</t>
  </si>
  <si>
    <t>Z:\Grateful Dead\# Studio Albums #\50th Anniversary Deluxe (24 Bit)\1972 - Lyceum Theatre, London, England]\1972-05-23 [Lyceum Theatre, London, England] 24 Bit (96-2) (50th Anniversary remaster)\26_GDTRFB.flac</t>
  </si>
  <si>
    <t>Z:\Grateful Dead\# Studio Albums #\50th Anniversary Deluxe (24 Bit)\1972 - Lyceum Theatre, London, England]\1972-05-23 [Lyceum Theatre, London, England] 24 Bit (96-2) (50th Anniversary remaster)\27_NFA.flac</t>
  </si>
  <si>
    <t>Z:\Grateful Dead\# Studio Albums #\50th Anniversary Deluxe (24 Bit)\1972 - Lyceum Theatre, London, England]\1972-05-23 [Lyceum Theatre, London, England] 24 Bit (96-2) (50th Anniversary remaster)\28_BoD.flac</t>
  </si>
  <si>
    <t>Z:\Grateful Dead\# Studio Albums #\50th Anniversary Deluxe (24 Bit)\1972 - Lyceum Theatre, London, England]\1972-05-23 [Lyceum Theatre, London, England] 24 Bit (96-2) (50th Anniversary remaster)\29_NFA.flac</t>
  </si>
  <si>
    <t>Z:\Grateful Dead\# Studio Albums #\50th Anniversary Deluxe (24 Bit)\1972 - Lyceum Theatre, London, England]\1972-05-23 [Lyceum Theatre, London, England] 24 Bit (96-2) (50th Anniversary remaster)\30_UJB.flac</t>
  </si>
  <si>
    <t>Z:\Grateful Dead\# Studio Albums #\50th Anniversary Deluxe (24 Bit)\1972 - Lyceum Theatre, London, England]\1972-05-24 [Lyceum Theatre, London, England] 24 Bit (96-2) (50th Anniversary remaster)\01_CRS.flac</t>
  </si>
  <si>
    <t>Z:\Grateful Dead\# Studio Albums #\50th Anniversary Deluxe (24 Bit)\1972 - Lyceum Theatre, London, England]\1972-05-24 [Lyceum Theatre, London, England] 24 Bit (96-2) (50th Anniversary remaster)\02_BIODTL.flac</t>
  </si>
  <si>
    <t>Z:\Grateful Dead\# Studio Albums #\50th Anniversary Deluxe (24 Bit)\1972 - Lyceum Theatre, London, England]\1972-05-24 [Lyceum Theatre, London, England] 24 Bit (96-2) (50th Anniversary remaster)\03_Mr_Charlie.flac</t>
  </si>
  <si>
    <t>Z:\Grateful Dead\# Studio Albums #\50th Anniversary Deluxe (24 Bit)\1972 - Lyceum Theatre, London, England]\1972-05-24 [Lyceum Theatre, London, England] 24 Bit (96-2) (50th Anniversary remaster)\04_Deal.flac</t>
  </si>
  <si>
    <t>Z:\Grateful Dead\# Studio Albums #\50th Anniversary Deluxe (24 Bit)\1972 - Lyceum Theatre, London, England]\1972-05-24 [Lyceum Theatre, London, England] 24 Bit (96-2) (50th Anniversary remaster)\05_MAMU.flac</t>
  </si>
  <si>
    <t>Z:\Grateful Dead\# Studio Albums #\50th Anniversary Deluxe (24 Bit)\1972 - Lyceum Theatre, London, England]\1972-05-24 [Lyceum Theatre, London, England] 24 Bit (96-2) (50th Anniversary remaster)\06_Hurts_Me_Too.flac</t>
  </si>
  <si>
    <t>Z:\Grateful Dead\# Studio Albums #\50th Anniversary Deluxe (24 Bit)\1972 - Lyceum Theatre, London, England]\1972-05-24 [Lyceum Theatre, London, England] 24 Bit (96-2) (50th Anniversary remaster)\07_Dire_Wolf.flac</t>
  </si>
  <si>
    <t>Z:\Grateful Dead\# Studio Albums #\50th Anniversary Deluxe (24 Bit)\1972 - Lyceum Theatre, London, England]\1972-05-24 [Lyceum Theatre, London, England] 24 Bit (96-2) (50th Anniversary remaster)\08_BTW.flac</t>
  </si>
  <si>
    <t>Z:\Grateful Dead\# Studio Albums #\50th Anniversary Deluxe (24 Bit)\1972 - Lyceum Theatre, London, England]\1972-05-24 [Lyceum Theatre, London, England] 24 Bit (96-2) (50th Anniversary remaster)\09_China.flac</t>
  </si>
  <si>
    <t>Z:\Grateful Dead\# Studio Albums #\50th Anniversary Deluxe (24 Bit)\1972 - Lyceum Theatre, London, England]\1972-05-24 [Lyceum Theatre, London, England] 24 Bit (96-2) (50th Anniversary remaster)\10_CCS.flac</t>
  </si>
  <si>
    <t>Z:\Grateful Dead\# Studio Albums #\50th Anniversary Deluxe (24 Bit)\1972 - Lyceum Theatre, London, England]\1972-05-24 [Lyceum Theatre, London, England] 24 Bit (96-2) (50th Anniversary remaster)\11_IKYR.flac</t>
  </si>
  <si>
    <t>Z:\Grateful Dead\# Studio Albums #\50th Anniversary Deluxe (24 Bit)\1972 - Lyceum Theatre, London, England]\1972-05-24 [Lyceum Theatre, London, England] 24 Bit (96-2) (50th Anniversary remaster)\12_PITB.flac</t>
  </si>
  <si>
    <t>Z:\Grateful Dead\# Studio Albums #\50th Anniversary Deluxe (24 Bit)\1972 - Lyceum Theatre, London, England]\1972-05-24 [Lyceum Theatre, London, England] 24 Bit (96-2) (50th Anniversary remaster)\13_YWA.flac</t>
  </si>
  <si>
    <t>Z:\Grateful Dead\# Studio Albums #\50th Anniversary Deluxe (24 Bit)\1972 - Lyceum Theatre, London, England]\1972-05-24 [Lyceum Theatre, London, England] 24 Bit (96-2) (50th Anniversary remaster)\14_Jack_Straw.flac</t>
  </si>
  <si>
    <t>Z:\Grateful Dead\# Studio Albums #\50th Anniversary Deluxe (24 Bit)\1972 - Lyceum Theatre, London, England]\1972-05-24 [Lyceum Theatre, London, England] 24 Bit (96-2) (50th Anniversary remaster)\15_Casey_Jones.flac</t>
  </si>
  <si>
    <t>Z:\Grateful Dead\# Studio Albums #\50th Anniversary Deluxe (24 Bit)\1972 - Lyceum Theatre, London, England]\1972-05-24 [Lyceum Theatre, London, England] 24 Bit (96-2) (50th Anniversary remaster)\16_Rockin'.flac</t>
  </si>
  <si>
    <t>Rockin' Pneumonia and the Boogie Woogie Flu</t>
  </si>
  <si>
    <t>Z:\Grateful Dead\# Studio Albums #\50th Anniversary Deluxe (24 Bit)\1972 - Lyceum Theatre, London, England]\1972-05-24 [Lyceum Theatre, London, England] 24 Bit (96-2) (50th Anniversary remaster)\17_Mex.flac</t>
  </si>
  <si>
    <t>Z:\Grateful Dead\# Studio Albums #\50th Anniversary Deluxe (24 Bit)\1972 - Lyceum Theatre, London, England]\1972-05-24 [Lyceum Theatre, London, England] 24 Bit (96-2) (50th Anniversary remaster)\18_Black_Peter.flac</t>
  </si>
  <si>
    <t>Z:\Grateful Dead\# Studio Albums #\50th Anniversary Deluxe (24 Bit)\1972 - Lyceum Theatre, London, England]\1972-05-24 [Lyceum Theatre, London, England] 24 Bit (96-2) (50th Anniversary remaster)\19_Mex2.flac</t>
  </si>
  <si>
    <t>Mexican Hat Dance</t>
  </si>
  <si>
    <t>Z:\Grateful Dead\# Studio Albums #\50th Anniversary Deluxe (24 Bit)\1972 - Lyceum Theatre, London, England]\1972-05-24 [Lyceum Theatre, London, England] 24 Bit (96-2) (50th Anniversary remaster)\20_Truckin'.flac</t>
  </si>
  <si>
    <t>Z:\Grateful Dead\# Studio Albums #\50th Anniversary Deluxe (24 Bit)\1972 - Lyceum Theatre, London, England]\1972-05-24 [Lyceum Theatre, London, England] 24 Bit (96-2) (50th Anniversary remaster)\21_Drums.flac</t>
  </si>
  <si>
    <t>Z:\Grateful Dead\# Studio Albums #\50th Anniversary Deluxe (24 Bit)\1972 - Lyceum Theatre, London, England]\1972-05-24 [Lyceum Theatre, London, England] 24 Bit (96-2) (50th Anniversary remaster)\22_TOO.flac</t>
  </si>
  <si>
    <t>Z:\Grateful Dead\# Studio Albums #\50th Anniversary Deluxe (24 Bit)\1972 - Lyceum Theatre, London, England]\1972-05-24 [Lyceum Theatre, London, England] 24 Bit (96-2) (50th Anniversary remaster)\23_SMBH.flac</t>
  </si>
  <si>
    <t>Z:\Grateful Dead\# Studio Albums #\50th Anniversary Deluxe (24 Bit)\1972 - Lyceum Theatre, London, England]\1972-05-24 [Lyceum Theatre, London, England] 24 Bit (96-2) (50th Anniversary remaster)\24_Sugar.flac</t>
  </si>
  <si>
    <t>Z:\Grateful Dead\# Studio Albums #\50th Anniversary Deluxe (24 Bit)\1972 - Lyceum Theatre, London, England]\1972-05-24 [Lyceum Theatre, London, England] 24 Bit (96-2) (50th Anniversary remaster)\25_TOYL.flac</t>
  </si>
  <si>
    <t>Z:\Grateful Dead\# Studio Albums #\50th Anniversary Deluxe (24 Bit)\1972 - Lyceum Theatre, London, England]\1972-05-24 [Lyceum Theatre, London, England] 24 Bit (96-2) (50th Anniversary remaster)\26_2Souls.flac</t>
  </si>
  <si>
    <t>Z:\Grateful Dead\# Studio Albums #\50th Anniversary Deluxe (24 Bit)\1972 - Lyceum Theatre, London, England]\1972-05-24 [Lyceum Theatre, London, England] 24 Bit (96-2) (50th Anniversary remaster)\27_OMSN.flac</t>
  </si>
  <si>
    <t>Z:\Grateful Dead\# Studio Albums #\50th Anniversary Deluxe (24 Bit)\1972 - Lyceum Theatre, London, England]\1972-05-25 [Lyceum Theatre, London, England] 24 Bit (96-2) (50th Anniversary remaster)\01_PL.flac</t>
  </si>
  <si>
    <t>Z:\Grateful Dead\# Studio Albums #\50th Anniversary Deluxe (24 Bit)\1972 - Lyceum Theatre, London, England]\1972-05-25 [Lyceum Theatre, London, England] 24 Bit (96-2) (50th Anniversary remaster)\02_BEW.flac</t>
  </si>
  <si>
    <t>Z:\Grateful Dead\# Studio Albums #\50th Anniversary Deluxe (24 Bit)\1972 - Lyceum Theatre, London, England]\1972-05-25 [Lyceum Theatre, London, England] 24 Bit (96-2) (50th Anniversary remaster)\03_Big_Boss_Man.flac</t>
  </si>
  <si>
    <t>Z:\Grateful Dead\# Studio Albums #\50th Anniversary Deluxe (24 Bit)\1972 - Lyceum Theatre, London, England]\1972-05-25 [Lyceum Theatre, London, England] 24 Bit (96-2) (50th Anniversary remaster)\04_BTW.flac</t>
  </si>
  <si>
    <t>Z:\Grateful Dead\# Studio Albums #\50th Anniversary Deluxe (24 Bit)\1972 - Lyceum Theatre, London, England]\1972-05-25 [Lyceum Theatre, London, England] 24 Bit (96-2) (50th Anniversary remaster)\05_TJ.flac</t>
  </si>
  <si>
    <t>Z:\Grateful Dead\# Studio Albums #\50th Anniversary Deluxe (24 Bit)\1972 - Lyceum Theatre, London, England]\1972-05-25 [Lyceum Theatre, London, England] 24 Bit (96-2) (50th Anniversary remaster)\06_MrC.flac</t>
  </si>
  <si>
    <t>Mr. Charlie Live</t>
  </si>
  <si>
    <t>Z:\Grateful Dead\# Studio Albums #\50th Anniversary Deluxe (24 Bit)\1972 - Lyceum Theatre, London, England]\1972-05-25 [Lyceum Theatre, London, England] 24 Bit (96-2) (50th Anniversary remaster)\07_Jack_Straw.flac</t>
  </si>
  <si>
    <t>Z:\Grateful Dead\# Studio Albums #\50th Anniversary Deluxe (24 Bit)\1972 - Lyceum Theatre, London, England]\1972-05-25 [Lyceum Theatre, London, England] 24 Bit (96-2) (50th Anniversary remaster)\08_CCS.flac</t>
  </si>
  <si>
    <t>Z:\Grateful Dead\# Studio Albums #\50th Anniversary Deluxe (24 Bit)\1972 - Lyceum Theatre, London, England]\1972-05-25 [Lyceum Theatre, London, England] 24 Bit (96-2) (50th Anniversary remaster)\09_IKYR.flac</t>
  </si>
  <si>
    <t>Z:\Grateful Dead\# Studio Albums #\50th Anniversary Deluxe (24 Bit)\1972 - Lyceum Theatre, London, England]\1972-05-25 [Lyceum Theatre, London, England] 24 Bit (96-2) (50th Anniversary remaster)\10_MABM.flac</t>
  </si>
  <si>
    <t>Z:\Grateful Dead\# Studio Albums #\50th Anniversary Deluxe (24 Bit)\1972 - Lyceum Theatre, London, England]\1972-05-25 [Lyceum Theatre, London, England] 24 Bit (96-2) (50th Anniversary remaster)\11_Good_Lovin'.flac</t>
  </si>
  <si>
    <t>Z:\Grateful Dead\# Studio Albums #\50th Anniversary Deluxe (24 Bit)\1972 - Lyceum Theatre, London, England]\1972-05-25 [Lyceum Theatre, London, England] 24 Bit (96-2) (50th Anniversary remaster)\12_PITB.flac</t>
  </si>
  <si>
    <t>Z:\Grateful Dead\# Studio Albums #\50th Anniversary Deluxe (24 Bit)\1972 - Lyceum Theatre, London, England]\1972-05-25 [Lyceum Theatre, London, England] 24 Bit (96-2) (50th Anniversary remaster)\13_BP.flac</t>
  </si>
  <si>
    <t>Z:\Grateful Dead\# Studio Albums #\50th Anniversary Deluxe (24 Bit)\1972 - Lyceum Theatre, London, England]\1972-05-25 [Lyceum Theatre, London, England] 24 Bit (96-2) (50th Anniversary remaster)\14_Casey_Jones.flac</t>
  </si>
  <si>
    <t>Z:\Grateful Dead\# Studio Albums #\50th Anniversary Deluxe (24 Bit)\1972 - Lyceum Theatre, London, England]\1972-05-25 [Lyceum Theatre, London, England] 24 Bit (96-2) (50th Anniversary remaster)\15_MAMU.flac</t>
  </si>
  <si>
    <t>Z:\Grateful Dead\# Studio Albums #\50th Anniversary Deluxe (24 Bit)\1972 - Lyceum Theatre, London, England]\1972-05-25 [Lyceum Theatre, London, England] 24 Bit (96-2) (50th Anniversary remaster)\16_BRB.flac</t>
  </si>
  <si>
    <t>Z:\Grateful Dead\# Studio Albums #\50th Anniversary Deluxe (24 Bit)\1972 - Lyceum Theatre, London, England]\1972-05-25 [Lyceum Theatre, London, England] 24 Bit (96-2) (50th Anniversary remaster)\17_China.flac</t>
  </si>
  <si>
    <t>Z:\Grateful Dead\# Studio Albums #\50th Anniversary Deluxe (24 Bit)\1972 - Lyceum Theatre, London, England]\1972-05-25 [Lyceum Theatre, London, England] 24 Bit (96-2) (50th Anniversary remaster)\18_ROR.flac</t>
  </si>
  <si>
    <t>Z:\Grateful Dead\# Studio Albums #\50th Anniversary Deluxe (24 Bit)\1972 - Lyceum Theatre, London, England]\1972-05-25 [Lyceum Theatre, London, England] 24 Bit (96-2) (50th Anniversary remaster)\19_UJB.flac</t>
  </si>
  <si>
    <t>Z:\Grateful Dead\# Studio Albums #\50th Anniversary Deluxe (24 Bit)\1972 - Lyceum Theatre, London, England]\1972-05-25 [Lyceum Theatre, London, England] 24 Bit (96-2) (50th Anniversary remaster)\20_Wharf_Rat.flac</t>
  </si>
  <si>
    <t>Z:\Grateful Dead\# Studio Albums #\50th Anniversary Deluxe (24 Bit)\1972 - Lyceum Theatre, London, England]\1972-05-25 [Lyceum Theatre, London, England] 24 Bit (96-2) (50th Anniversary remaster)\21_Dark_Star.flac</t>
  </si>
  <si>
    <t>Z:\Grateful Dead\# Studio Albums #\50th Anniversary Deluxe (24 Bit)\1972 - Lyceum Theatre, London, England]\1972-05-25 [Lyceum Theatre, London, England] 24 Bit (96-2) (50th Anniversary remaster)\22_Sugar.flac</t>
  </si>
  <si>
    <t>Z:\Grateful Dead\# Studio Albums #\50th Anniversary Deluxe (24 Bit)\1972 - Lyceum Theatre, London, England]\1972-05-25 [Lyceum Theatre, London, England] 24 Bit (96-2) (50th Anniversary remaster)\23_Comes_a_Time.flac</t>
  </si>
  <si>
    <t>Z:\Grateful Dead\# Studio Albums #\50th Anniversary Deluxe (24 Bit)\1972 - Lyceum Theatre, London, England]\1972-05-25 [Lyceum Theatre, London, England] 24 Bit (96-2) (50th Anniversary remaster)\24_El_Paso.flac</t>
  </si>
  <si>
    <t>Z:\Grateful Dead\# Studio Albums #\50th Anniversary Deluxe (24 Bit)\1972 - Lyceum Theatre, London, England]\1972-05-25 [Lyceum Theatre, London, England] 24 Bit (96-2) (50th Anniversary remaster)\25_SOTOTW.flac</t>
  </si>
  <si>
    <t>Z:\Grateful Dead\# Studio Albums #\50th Anniversary Deluxe (24 Bit)\1972 - Lyceum Theatre, London, England]\1972-05-25 [Lyceum Theatre, London, England] 24 Bit (96-2) (50th Anniversary remaster)\26_GDTRFB.flac</t>
  </si>
  <si>
    <t>Z:\Grateful Dead\# Studio Albums #\50th Anniversary Deluxe (24 Bit)\1972 - Lyceum Theatre, London, England]\1972-05-25 [Lyceum Theatre, London, England] 24 Bit (96-2) (50th Anniversary remaster)\27_OMSN.flac</t>
  </si>
  <si>
    <t>Z:\Grateful Dead\# Studio Albums #\50th Anniversary Deluxe (24 Bit)\1972 - Lyceum Theatre, London, England]\1972-05-26 [Lyceum Theatre, London, England] 24 Bit (96-2) (50th Anniversary remaster)\01_PL.flac</t>
  </si>
  <si>
    <t>Z:\Grateful Dead\# Studio Albums #\50th Anniversary Deluxe (24 Bit)\1972 - Lyceum Theatre, London, England]\1972-05-26 [Lyceum Theatre, London, England] 24 Bit (96-2) (50th Anniversary remaster)\02_Sugaree.flac</t>
  </si>
  <si>
    <t>Z:\Grateful Dead\# Studio Albums #\50th Anniversary Deluxe (24 Bit)\1972 - Lyceum Theatre, London, England]\1972-05-26 [Lyceum Theatre, London, England] 24 Bit (96-2) (50th Anniversary remaster)\03_Mr._Charlie.flac</t>
  </si>
  <si>
    <t>Z:\Grateful Dead\# Studio Albums #\50th Anniversary Deluxe (24 Bit)\1972 - Lyceum Theatre, London, England]\1972-05-26 [Lyceum Theatre, London, England] 24 Bit (96-2) (50th Anniversary remaster)\04_BTW.flac</t>
  </si>
  <si>
    <t>Z:\Grateful Dead\# Studio Albums #\50th Anniversary Deluxe (24 Bit)\1972 - Lyceum Theatre, London, England]\1972-05-26 [Lyceum Theatre, London, England] 24 Bit (96-2) (50th Anniversary remaster)\07_El_Paso.flac</t>
  </si>
  <si>
    <t>Z:\Grateful Dead\# Studio Albums #\50th Anniversary Deluxe (24 Bit)\1972 - Lyceum Theatre, London, England]\1972-05-26 [Lyceum Theatre, London, England] 24 Bit (96-2) (50th Anniversary remaster)\08_Dire_Wolf.flac</t>
  </si>
  <si>
    <t>Z:\Grateful Dead\# Studio Albums #\50th Anniversary Deluxe (24 Bit)\1972 - Lyceum Theatre, London, England]\1972-05-26 [Lyceum Theatre, London, England] 24 Bit (96-2) (50th Anniversary remaster)\09_2Souls.flac</t>
  </si>
  <si>
    <t>Z:\Grateful Dead\# Studio Albums #\50th Anniversary Deluxe (24 Bit)\1972 - Lyceum Theatre, London, England]\1972-05-26 [Lyceum Theatre, London, England] 24 Bit (96-2) (50th Anniversary remaster)\10_PITB.flac</t>
  </si>
  <si>
    <t>Z:\Grateful Dead\# Studio Albums #\50th Anniversary Deluxe (24 Bit)\1972 - Lyceum Theatre, London, England]\1972-05-26 [Lyceum Theatre, London, England] 24 Bit (96-2) (50th Anniversary remaster)\11_He's_Gone.flac</t>
  </si>
  <si>
    <t>Z:\Grateful Dead\# Studio Albums #\50th Anniversary Deluxe (24 Bit)\1972 - Lyceum Theatre, London, England]\1972-05-26 [Lyceum Theatre, London, England] 24 Bit (96-2) (50th Anniversary remaster)\12_CB.flac</t>
  </si>
  <si>
    <t>Z:\Grateful Dead\# Studio Albums #\50th Anniversary Deluxe (24 Bit)\1972 - Lyceum Theatre, London, England]\1972-05-26 [Lyceum Theatre, London, England] 24 Bit (96-2) (50th Anniversary remaster)\14_China2.flac</t>
  </si>
  <si>
    <t>Z:\Grateful Dead\# Studio Albums #\50th Anniversary Deluxe (24 Bit)\1972 - Lyceum Theatre, London, England]\1972-05-26 [Lyceum Theatre, London, England] 24 Bit (96-2) (50th Anniversary remaster)\15_CCS.flac</t>
  </si>
  <si>
    <t>Z:\Grateful Dead\# Studio Albums #\50th Anniversary Deluxe (24 Bit)\1972 - Lyceum Theatre, London, England]\1972-05-26 [Lyceum Theatre, London, England] 24 Bit (96-2) (50th Anniversary remaster)\16_IKYR.flac</t>
  </si>
  <si>
    <t>Z:\Grateful Dead\# Studio Albums #\50th Anniversary Deluxe (24 Bit)\1972 - Lyceum Theatre, London, England]\1972-05-26 [Lyceum Theatre, London, England] 24 Bit (96-2) (50th Anniversary remaster)\17_NFA.flac</t>
  </si>
  <si>
    <t>Z:\Grateful Dead\# Studio Albums #\50th Anniversary Deluxe (24 Bit)\1972 - Lyceum Theatre, London, England]\1972-05-26 [Lyceum Theatre, London, England] 24 Bit (96-2) (50th Anniversary remaster)\20_Truckin'.flac</t>
  </si>
  <si>
    <t>Z:\Grateful Dead\# Studio Albums #\50th Anniversary Deluxe (24 Bit)\1972 - Lyceum Theatre, London, England]\1972-05-26 [Lyceum Theatre, London, England] 24 Bit (96-2) (50th Anniversary remaster)\21_TOO1.flac</t>
  </si>
  <si>
    <t>The Other One Pt 1</t>
  </si>
  <si>
    <t>Z:\Grateful Dead\# Studio Albums #\50th Anniversary Deluxe (24 Bit)\1972 - Lyceum Theatre, London, England]\1972-05-26 [Lyceum Theatre, London, England] 24 Bit (96-2) (50th Anniversary remaster)\22_Drums.flac</t>
  </si>
  <si>
    <t>Z:\Grateful Dead\# Studio Albums #\50th Anniversary Deluxe (24 Bit)\1972 - Lyceum Theatre, London, England]\1972-05-26 [Lyceum Theatre, London, England] 24 Bit (96-2) (50th Anniversary remaster)\23_TOO2.flac</t>
  </si>
  <si>
    <t>The Other One Pt 2</t>
  </si>
  <si>
    <t>Z:\Grateful Dead\# Studio Albums #\50th Anniversary Deluxe (24 Bit)\1972 - Lyceum Theatre, London, England]\1972-05-26 [Lyceum Theatre, London, England] 24 Bit (96-2) (50th Anniversary remaster)\24_Morning_Dew.flac</t>
  </si>
  <si>
    <t>Z:\Grateful Dead\# Studio Albums #\50th Anniversary Deluxe (24 Bit)\1972 - Lyceum Theatre, London, England]\1972-05-26 [Lyceum Theatre, London, England] 24 Bit (96-2) (50th Anniversary remaster)\25_TOO3.flac</t>
  </si>
  <si>
    <t>The Other One Pt 3</t>
  </si>
  <si>
    <t>Z:\Grateful Dead\# Studio Albums #\50th Anniversary Deluxe (24 Bit)\1972 - Lyceum Theatre, London, England]\1972-05-26 [Lyceum Theatre, London, England] 24 Bit (96-2) (50th Anniversary remaster)\27_MAMU.flac</t>
  </si>
  <si>
    <t>Z:\Grateful Dead\# Studio Albums #\50th Anniversary Deluxe (24 Bit)\1972 - Lyceum Theatre, London, England]\1972-05-26 [Lyceum Theatre, London, England] 24 Bit (96-2) (50th Anniversary remaster)\28_ROR.flac</t>
  </si>
  <si>
    <t>Z:\Grateful Dead\# Studio Albums #\50th Anniversary Deluxe (24 Bit)\1972 - Lyceum Theatre, London, England]\1972-05-26 [Lyceum Theatre, London, England] 24 Bit (96-2) (50th Anniversary remaster)\30_Casey_Jones.flac</t>
  </si>
  <si>
    <t>Z:\Grateful Dead\# Studio Albums #\50th Anniversary Deluxe (24 Bit)\1972 - Lyceum Theatre, London, England]\1972-05-26 [Lyceum Theatre, London, England] 24 Bit (96-2) (50th Anniversary remaster)\31_OMSN.flac</t>
  </si>
  <si>
    <t>Z:\Grateful Dead\# Studio Albums #\50th Anniversary Deluxe (24 Bit)\1973 - History of the Grateful Dead Vol. 1 (Bear's Choice)\01. Katie Mae (Live at the Fillmore East, San Francisco, CA 2-13-70).flac</t>
  </si>
  <si>
    <t>Katie Mae (Live at the Fillmore East, San Francisco, CA 2/13/70)</t>
  </si>
  <si>
    <t>Z:\Grateful Dead\# Studio Albums #\50th Anniversary Deluxe (24 Bit)\1973 - History of the Grateful Dead Vol. 1 (Bear's Choice)\02. Dark Hollow (Live at the Fillmore East, San Francisco, CA 2-14-70).flac</t>
  </si>
  <si>
    <t>Dark Hollow (Live at the Fillmore East, San Francisco, CA 2/14/70)</t>
  </si>
  <si>
    <t>Z:\Grateful Dead\# Studio Albums #\50th Anniversary Deluxe (24 Bit)\1973 - History of the Grateful Dead Vol. 1 (Bear's Choice)\03. I've Been.flac</t>
  </si>
  <si>
    <t>I've Been All Around This World (Live at the Fillmore East, San Francisco, CA 2/14/70)</t>
  </si>
  <si>
    <t>Z:\Grateful Dead\# Studio Albums #\50th Anniversary Deluxe (24 Bit)\1973 - History of the Grateful Dead Vol. 1 (Bear's Choice)\04. Wake Up.flac</t>
  </si>
  <si>
    <t>Wake Up Little Susie (Live at the Fillmore East, San Francisco, CA 2/13/70)</t>
  </si>
  <si>
    <t>Z:\Grateful Dead\# Studio Albums #\50th Anniversary Deluxe (24 Bit)\1973 - History of the Grateful Dead Vol. 1 (Bear's Choice)\05. Black Peter (Live at the Fillmore East, San Francisco, CA 2-13-70).flac</t>
  </si>
  <si>
    <t>Black Peter (Live at the Fillmore East, San Francisco, CA 2/13/70)</t>
  </si>
  <si>
    <t>Z:\Grateful Dead\# Studio Albums #\50th Anniversary Deluxe (24 Bit)\1973 - History of the Grateful Dead Vol. 1 (Bear's Choice)\06. Smokestack Lightnin.flac</t>
  </si>
  <si>
    <t>Smokestack Lightnin' (Live at the Fillmore East, San Francisco, CA 2/13/70)</t>
  </si>
  <si>
    <t>Z:\Grateful Dead\# Studio Albums #\50th Anniversary Deluxe (24 Bit)\1973 - History of the Grateful Dead Vol. 1 (Bear's Choice)\07. Hard to Handle.flac</t>
  </si>
  <si>
    <t>Hard to Handle (Live at the Fillmore East, San Francisco, CA 2/14/70)</t>
  </si>
  <si>
    <t>Z:\Grateful Dead\# Studio Albums #\50th Anniversary Deluxe (24 Bit)\1973 - Wake Of The Flood + Show\1973 - Wake Of The Flood  (50th Anniversary Deluxe Edition)\01. Mississippi.flac</t>
  </si>
  <si>
    <t>Mississippi Half-Step Uptown Toodeloo (2023 Remaster)</t>
  </si>
  <si>
    <t>Z:\Grateful Dead\# Studio Albums #\50th Anniversary Deluxe (24 Bit)\1973 - Wake Of The Flood + Show\1973 - Wake Of The Flood  (50th Anniversary Deluxe Edition)\02. Let Me .flac</t>
  </si>
  <si>
    <t>Let Me Sing Your Blues Away (2023 Remaster)</t>
  </si>
  <si>
    <t>Z:\Grateful Dead\# Studio Albums #\50th Anniversary Deluxe (24 Bit)\1973 - Wake Of The Flood + Show\1973 - Wake Of The Flood  (50th Anniversary Deluxe Edition)\03. Grateful Dead - Row Jimmy (2023 Remaster).flac</t>
  </si>
  <si>
    <t>Row Jimmy (2023 Remaster)</t>
  </si>
  <si>
    <t>Z:\Grateful Dead\# Studio Albums #\50th Anniversary Deluxe (24 Bit)\1973 - Wake Of The Flood + Show\1973 - Wake Of The Flood  (50th Anniversary Deluxe Edition)\04. Grateful Dead - Stella Blue (2023 Remaster).flac</t>
  </si>
  <si>
    <t>Stella Blue (2023 Remaster)</t>
  </si>
  <si>
    <t>Z:\Grateful Dead\# Studio Albums #\50th Anniversary Deluxe (24 Bit)\1973 - Wake Of The Flood + Show\1973 - Wake Of The Flood  (50th Anniversary Deluxe Edition)\05. Here.flac</t>
  </si>
  <si>
    <t>Here Comes Sunshine (2023 Remaster)</t>
  </si>
  <si>
    <t>Z:\Grateful Dead\# Studio Albums #\50th Anniversary Deluxe (24 Bit)\1973 - Wake Of The Flood + Show\1973 - Wake Of The Flood  (50th Anniversary Deluxe Edition)\06.  Eyes.flac</t>
  </si>
  <si>
    <t>Eyes of the World (2023 Remaster)</t>
  </si>
  <si>
    <t>Z:\Grateful Dead\# Studio Albums #\50th Anniversary Deluxe (24 Bit)\1973 - Wake Of The Flood + Show\1973 - Wake Of The Flood  (50th Anniversary Deluxe Edition)\07. Weather.flac</t>
  </si>
  <si>
    <t>Weather Report Suite (2023 Remaster)</t>
  </si>
  <si>
    <t>Z:\Grateful Dead\# Studio Albums #\50th Anniversary Deluxe (24 Bit)\1973 - Wake Of The Flood + Show\1973 - Wake Of The Flood  (50th Anniversary Deluxe Edition)\08. Grateful Dead - Eyes of the World (Demo).flac</t>
  </si>
  <si>
    <t>Eyes of the World (Demo)</t>
  </si>
  <si>
    <t>Z:\Grateful Dead\# Studio Albums #\50th Anniversary Deluxe (24 Bit)\1973 - Wake Of The Flood + Show\1973 - Wake Of The Flood  (50th Anniversary Deluxe Edition)\09. Grateful Dead - Here Comes Sunshine (Demo).flac</t>
  </si>
  <si>
    <t>Here Comes Sunshine (Demo)</t>
  </si>
  <si>
    <t>Z:\Grateful Dead\# Studio Albums #\50th Anniversary Deluxe (24 Bit)\1973 - Wake Of The Flood + Show\1973 - Wake Of The Flood The Angel's Share (96-24)\01. Mississippi .flac</t>
  </si>
  <si>
    <t>Mississippi Half-Step Uptown Toodeloo (Take 9) [Not Slated]  (8/6/73)</t>
  </si>
  <si>
    <t>Z:\Grateful Dead\# Studio Albums #\50th Anniversary Deluxe (24 Bit)\1973 - Wake Of The Flood + Show\1973 - Wake Of The Flood The Angel's Share (96-24)\02. Mississippi Half-Step Uptown Toodeloo (Take 10) [Slated].flac</t>
  </si>
  <si>
    <t>Mississippi Half-Step Uptown Toodeloo (Take 10) [Slated]  (8/6/73)</t>
  </si>
  <si>
    <t>Z:\Grateful Dead\# Studio Albums #\50th Anniversary Deluxe (24 Bit)\1973 - Wake Of The Flood + Show\1973 - Wake Of The Flood The Angel's Share (96-24)\03. Mississippi Half-Step Uptown Toodeloo (Take 11) [Slated].flac</t>
  </si>
  <si>
    <t>Mississippi Half-Step Uptown Toodeloo (Take 11) [Slated]  (8/6/73)</t>
  </si>
  <si>
    <t>Z:\Grateful Dead\# Studio Albums #\50th Anniversary Deluxe (24 Bit)\1973 - Wake Of The Flood + Show\1973 - Wake Of The Flood The Angel's Share (96-24)\04. Mississippi Half-Step Uptown Toodeloo (Take 16) [Slated].flac</t>
  </si>
  <si>
    <t>Mississippi Half-Step Uptown Toodeloo (Take 16) [Slated]  (8/6/73)</t>
  </si>
  <si>
    <t>Z:\Grateful Dead\# Studio Albums #\50th Anniversary Deluxe (24 Bit)\1973 - Wake Of The Flood + Show\1973 - Wake Of The Flood The Angel's Share (96-24)\05. Stella Blue (Take 1) [Not Slated].flac</t>
  </si>
  <si>
    <t>Stella Blue (Take 1) [Not Slated]  (8/7/73)</t>
  </si>
  <si>
    <t>Z:\Grateful Dead\# Studio Albums #\50th Anniversary Deluxe (24 Bit)\1973 - Wake Of The Flood + Show\1973 - Wake Of The Flood The Angel's Share (96-24)\06. Stella Blue (Take 2) [Not Slated].flac</t>
  </si>
  <si>
    <t>Stella Blue (Take 2) [Not Slated]  (8/7/73)</t>
  </si>
  <si>
    <t>Z:\Grateful Dead\# Studio Albums #\50th Anniversary Deluxe (24 Bit)\1973 - Wake Of The Flood + Show\1973 - Wake Of The Flood The Angel's Share (96-24)\07. Stella Blue (Take 4) [Slated].flac</t>
  </si>
  <si>
    <t>Stella Blue (Take 4) [Slated]  (8/7/73)</t>
  </si>
  <si>
    <t>Z:\Grateful Dead\# Studio Albums #\50th Anniversary Deluxe (24 Bit)\1973 - Wake Of The Flood + Show\1973 - Wake Of The Flood The Angel's Share (96-24)\08. Stella Blue (Take 5) [Not Slated].flac</t>
  </si>
  <si>
    <t>Stella Blue (Take 5) [Not Slated]  (8/7/73)</t>
  </si>
  <si>
    <t>Z:\Grateful Dead\# Studio Albums #\50th Anniversary Deluxe (24 Bit)\1973 - Wake Of The Flood + Show\1973 - Wake Of The Flood The Angel's Share (96-24)\09. I Am the Rain (Weather Report Suite) [Take 2] [Slated].flac</t>
  </si>
  <si>
    <t>I Am the Rain (Weather Report Suite) [Take 2] [Slated]  (8/7/73)</t>
  </si>
  <si>
    <t>Z:\Grateful Dead\# Studio Albums #\50th Anniversary Deluxe (24 Bit)\1973 - Wake Of The Flood + Show\1973 - Wake Of The Flood The Angel's Share (96-24)\10. I Am the Rain (Weather Report Suite) [Take 23] [Slated].flac</t>
  </si>
  <si>
    <t>I Am the Rain (Weather Report Suite) [Take 23] [Slated]  (8/7/73)</t>
  </si>
  <si>
    <t>Z:\Grateful Dead\# Studio Albums #\50th Anniversary Deluxe (24 Bit)\1973 - Wake Of The Flood + Show\1973 - Wake Of The Flood The Angel's Share (96-24)\11. I Am the Rain (Weather Report Suite) [Take 4] [Slated].flac</t>
  </si>
  <si>
    <t>I Am the Rain (Weather Report Suite) [Take 4] [Slated]  (8/7/73)</t>
  </si>
  <si>
    <t>Z:\Grateful Dead\# Studio Albums #\50th Anniversary Deluxe (24 Bit)\1973 - Wake Of The Flood + Show\1973 - Wake Of The Flood The Angel's Share (96-24)\12. Pistol Shot (China Doll) [Take 1] [Slated].flac</t>
  </si>
  <si>
    <t>Pistol Shot (China Doll) [Take 1] [Slated]  (8/8/73)</t>
  </si>
  <si>
    <t>Z:\Grateful Dead\# Studio Albums #\50th Anniversary Deluxe (24 Bit)\1973 - Wake Of The Flood + Show\1973 - Wake Of The Flood The Angel's Share (96-24)\13. Pistol Shot (China Doll) [Take 2] [Slated].flac</t>
  </si>
  <si>
    <t>Pistol Shot (China Doll) [Take 2] [Slated]  (8/8/73)</t>
  </si>
  <si>
    <t>Z:\Grateful Dead\# Studio Albums #\50th Anniversary Deluxe (24 Bit)\1973 - Wake Of The Flood + Show\1973 - Wake Of The Flood The Angel's Share (96-24)\14. Pistol Shot (China Doll) [Take 3] [Slated].flac</t>
  </si>
  <si>
    <t>Pistol Shot (China Doll) [Take 3] [Slated]  (8/8/73)</t>
  </si>
  <si>
    <t>Z:\Grateful Dead\# Studio Albums #\50th Anniversary Deluxe (24 Bit)\1973 - Wake Of The Flood + Show\1973 - Wake Of The Flood The Angel's Share (96-24)\15. Pistol Shot (China Doll) [Take 4] [Slated].flac</t>
  </si>
  <si>
    <t>Pistol Shot (China Doll) [Take 4] [Slated]  (8/8/73)</t>
  </si>
  <si>
    <t>Z:\Grateful Dead\# Studio Albums #\50th Anniversary Deluxe (24 Bit)\1973 - Wake Of The Flood + Show\1973 - Wake Of The Flood The Angel's Share (96-24)\16. Row Jimmy (Take 1) [Not Slated].flac</t>
  </si>
  <si>
    <t>Row Jimmy (Take 1) [Not Slated]  (8/10/73)</t>
  </si>
  <si>
    <t>Z:\Grateful Dead\# Studio Albums #\50th Anniversary Deluxe (24 Bit)\1973 - Wake Of The Flood + Show\1973 - Wake Of The Flood The Angel's Share (96-24)\17. Eyes of the World (Run-Through) [Not Slated].flac</t>
  </si>
  <si>
    <t>Eyes of the World (Run-Through) [Not Slated]  (8/10/73)</t>
  </si>
  <si>
    <t>Z:\Grateful Dead\# Studio Albums #\50th Anniversary Deluxe (24 Bit)\1973 - Wake Of The Flood + Show\1973 - Wake Of The Flood The Angel's Share (96-24)\18. Eyes of the World (Take 1) [Slated].flac</t>
  </si>
  <si>
    <t>Eyes of the World (Take 1) [Slated]  (8/10/73)</t>
  </si>
  <si>
    <t>Z:\Grateful Dead\# Studio Albums #\50th Anniversary Deluxe (24 Bit)\1973 - Wake Of The Flood + Show\1973 - Wake Of The Flood The Angel's Share (96-24)\19. Eyes of the World (Take 6) [Not Slated].flac</t>
  </si>
  <si>
    <t>Eyes of the World (Take 6) [Not Slated]  (8/10/73)</t>
  </si>
  <si>
    <t>Z:\Grateful Dead\# Studio Albums #\50th Anniversary Deluxe (24 Bit)\1973 - Wake Of The Flood + Show\1973 - Wake Of The Flood The Angel's Share (96-24)\20. Eyes of the World (Take 15) [Not Slated].flac</t>
  </si>
  <si>
    <t>Eyes of the World (Take 15) [Not Slated]  (8/10/73)</t>
  </si>
  <si>
    <t>Z:\Grateful Dead\# Studio Albums #\50th Anniversary Deluxe (24 Bit)\1973 - Wake Of The Flood + Show\1973 - Wake Of The Flood The Angel's Share (96-24)\21. Eyes of the World (Take 16) [Not Slated].flac</t>
  </si>
  <si>
    <t>Eyes of the World (Take 16) [Not Slated]  (8/10/73)</t>
  </si>
  <si>
    <t>Z:\Grateful Dead\# Studio Albums #\50th Anniversary Deluxe (24 Bit)\1973 - Wake Of The Flood + Show\1973 - Wake Of The Flood The Angel's Share (96-24)\22. Let Me Sing Your Blues Away (Take 1) [Not Slated].flac</t>
  </si>
  <si>
    <t>Let Me Sing Your Blues Away (Take 1) [Not Slated]  (8/15/73)</t>
  </si>
  <si>
    <t>Z:\Grateful Dead\# Studio Albums #\50th Anniversary Deluxe (24 Bit)\1973 - Wake Of The Flood + Show\1973 - Wake Of The Flood The Angel's Share (96-24)\23. Let Me Sing Your Blues Away (Take 2) [Slated].flac</t>
  </si>
  <si>
    <t>Let Me Sing Your Blues Away (Take 2) [Slated]  (8/15/73)</t>
  </si>
  <si>
    <t>Z:\Grateful Dead\# Studio Albums #\50th Anniversary Deluxe (24 Bit)\1973 - Wake Of The Flood + Show\1973 - Wake Of The Flood The Angel's Share (96-24)\24. Let Me Sing Your Blues Away (Take 3) [Slated].flac</t>
  </si>
  <si>
    <t>Let Me Sing Your Blues Away (Take 3) [Slated]  (8/15/73)</t>
  </si>
  <si>
    <t>Z:\Grateful Dead\# Studio Albums #\50th Anniversary Deluxe (24 Bit)\1973 - Wake Of The Flood + Show\1973 - Wake Of The Flood The Angel's Share (96-24)\25. Let Me Sing Your Blues Away (Take 4) [Slated].flac</t>
  </si>
  <si>
    <t>Let Me Sing Your Blues Away (Take 4) [Slated]  (8/15/73)</t>
  </si>
  <si>
    <t>Z:\Grateful Dead\# Studio Albums #\50th Anniversary Deluxe (24 Bit)\1973 - Wake Of The Flood + Show\1973 - Wake Of The Flood The Angel's Share (96-24)\26. Let Me Sing Your Blues Away (Take 13) [Not Slated].flac</t>
  </si>
  <si>
    <t>Let Me Sing Your Blues Away (Take 13) [Not Slated]  (8/15/73)</t>
  </si>
  <si>
    <t>Z:\Grateful Dead\# Studio Albums #\50th Anniversary Deluxe (24 Bit)\1973 - Wake Of The Flood + Show\1973 - Wake Of The Flood The Angel's Share (96-24)\27. Phil's Song (Unbroken Chain) [Take 1] [Not Slated].flac</t>
  </si>
  <si>
    <t>Phil's Song (Unbroken Chain) [Take 1] [Not Slated]  (8/16/73)</t>
  </si>
  <si>
    <t>Z:\Grateful Dead\# Studio Albums #\50th Anniversary Deluxe (24 Bit)\1973 - Wake Of The Flood + Show\1973 - Wake Of The Flood The Angel's Share (96-24)\28. Phil's Song (Unbroken Chain) [Take 2] [Not Slated].flac</t>
  </si>
  <si>
    <t>Phil's Song (Unbroken Chain) [Take 2] [Not Slated]  (8/16/73)</t>
  </si>
  <si>
    <t>Z:\Grateful Dead\# Studio Albums #\50th Anniversary Deluxe (24 Bit)\1973 - Wake Of The Flood + Show\1973 - Wake Of The Flood The Angel's Share (96-24)\29. Phil's Song (Unbroken Chain) [Take 3] [Slated].flac</t>
  </si>
  <si>
    <t>Phil's Song (Unbroken Chain) [Take 3] [Slated]  (8/16/73)</t>
  </si>
  <si>
    <t>Z:\Grateful Dead\# Studio Albums #\50th Anniversary Deluxe (24 Bit)\1973 - Wake Of The Flood + Show\1973 - Wake Of The Flood The Angel's Share (96-24)\30. Phil's Song (Unbroken Chain) [Take 4] [Not Slated].flac</t>
  </si>
  <si>
    <t>Phil's Song (Unbroken Chain) [Take 4] [Not Slated]  (8/16/73)</t>
  </si>
  <si>
    <t>Z:\Grateful Dead\# Studio Albums #\50th Anniversary Deluxe (24 Bit)\1973 - Wake Of The Flood + Show\1973 - Wake Of The Flood The Angel's Share (96-24)\31. Phil's Song (Unbroken Chain) [Take 5] [Not Slated].flac</t>
  </si>
  <si>
    <t>Phil's Song (Unbroken Chain) [Take 5] [Not Slated]  (8/16/73)</t>
  </si>
  <si>
    <t>Z:\Grateful Dead\# Studio Albums #\50th Anniversary Deluxe (24 Bit)\1973 - Wake Of The Flood + Show\1973 - Wake Of The Flood The Angel's Share (96-24)\32. Phil's Song (Unbroken Chain) [Take 6] [Not Slated].flac</t>
  </si>
  <si>
    <t>Phil's Song (Unbroken Chain) [Take 6] [Not Slated]  (8/16/73)</t>
  </si>
  <si>
    <t>Z:\Grateful Dead\# Studio Albums #\50th Anniversary Deluxe (24 Bit)\1973 - Wake Of The Flood + Show\1973 - Wake Of The Flood The Angel's Share (96-24)\33. Phil's Song (Unbroken Chain) [Take 7] [Slated].flac</t>
  </si>
  <si>
    <t>Phil's Song (Unbroken Chain) [Take 7] [Slated]  (8/16/73)</t>
  </si>
  <si>
    <t>Z:\Grateful Dead\# Studio Albums #\50th Anniversary Deluxe (24 Bit)\1973 - Wake Of The Flood + Show\1973 - Wake Of The Flood The Angel's Share (96-24)\34. Phil's Song (Unbroken Chain) [Take 8] [Slated].flac</t>
  </si>
  <si>
    <t>Phil's Song (Unbroken Chain) [Take 8] [Slated]  (8/16/73)</t>
  </si>
  <si>
    <t>Z:\Grateful Dead\# Studio Albums #\50th Anniversary Deluxe (24 Bit)\1973 - Wake Of The Flood + Show\1973 - Wake Of The Flood The Angel's Share (96-24)\35. Weather Report Suite (Take 10) [Not Slated].flac</t>
  </si>
  <si>
    <t>Weather Report Suite (Take 10) [Not Slated]  (8/16/73)</t>
  </si>
  <si>
    <t>Z:\Grateful Dead\# Studio Albums #\50th Anniversary Deluxe (24 Bit)\1973 - Wake Of The Flood + Show\1973 - Wake Of The Flood The Angel's Share (96-24)\36. Weather Report Suite (Take 11) [Not Slated].flac</t>
  </si>
  <si>
    <t>Weather Report Suite (Take 11) [Not Slated]  (8/16/73)</t>
  </si>
  <si>
    <t>Z:\Grateful Dead\# Studio Albums #\50th Anniversary Deluxe (24 Bit)\1973 - Wake Of The Flood + Show\1973 - Wake Of The Flood The Angel's Share (96-24)\37. Weather Report Suite (Take 16) [Not Slated].flac</t>
  </si>
  <si>
    <t>Weather Report Suite (Take 16) [Not Slated]  (8/16/73)</t>
  </si>
  <si>
    <t>Z:\Grateful Dead\# Studio Albums #\50th Anniversary Deluxe (24 Bit)\1973 - Wake Of The Flood + Show\1973 - Wake Of The Flood The Angel's Share (96-24)\38. Weather Report Suite (Take 8) [Slated].flac</t>
  </si>
  <si>
    <t>Weather Report Suite (Take 8) [Slated]  (8/17/73)</t>
  </si>
  <si>
    <t>Z:\Grateful Dead\# Studio Albums #\50th Anniversary Deluxe (24 Bit)\1973 - Wake Of The Flood + Show\1973-11-01 [McGaw Memorial Hall, Northwestern University,Evanston, IL] II%\114 Weather Report Suite.flac</t>
  </si>
  <si>
    <t>Z:\Grateful Dead\# Studio Albums #\50th Anniversary Deluxe (24 Bit)\1973 - Wake Of The Flood + Show\1973-11-01 [McGaw Memorial Hall, Northwestern University,Evanston, IL] II%\201 Morning Dew.flac</t>
  </si>
  <si>
    <t>Z:\Grateful Dead\# Studio Albums #\50th Anniversary Deluxe (24 Bit)\1973 - Wake Of The Flood + Show\1973-11-01 [McGaw Memorial Hall, Northwestern University,Evanston, IL] II%\202 Playing in the Band, Pt. 1.flac</t>
  </si>
  <si>
    <t>Playing in the Band, Pt. 1</t>
  </si>
  <si>
    <t>Z:\Grateful Dead\# Studio Albums #\50th Anniversary Deluxe (24 Bit)\1973 - Wake Of The Flood + Show\1973-11-01 [McGaw Memorial Hall, Northwestern University,Evanston, IL] II%\203 Uncle John's Band.flac</t>
  </si>
  <si>
    <t>Z:\Grateful Dead\# Studio Albums #\50th Anniversary Deluxe (24 Bit)\1973 - Wake Of The Flood + Show\1973-11-01 [McGaw Memorial Hall, Northwestern University,Evanston, IL] II%\204 Playing in the Band, Pt. 2.flac</t>
  </si>
  <si>
    <t>Playing in the Band, Pt. 2</t>
  </si>
  <si>
    <t>Z:\Grateful Dead\# Studio Albums #\50th Anniversary Deluxe (24 Bit)\1973 - Wake Of The Flood + Show\1973-11-01 [McGaw Memorial Hall, Northwestern University,Evanston, IL] II%\205 Mississippi.flac</t>
  </si>
  <si>
    <t>Z:\Grateful Dead\# Studio Albums #\50th Anniversary Deluxe (24 Bit)\1974 - Mars Hotel + Show\1974 - From the Mars Hotel; The Angel's Share\01 - Scarlet Begonias (Takes 1 and 2).flac</t>
  </si>
  <si>
    <t>Scarlet Begonias (Takes 1 and 2)</t>
  </si>
  <si>
    <t>Z:\Grateful Dead\# Studio Albums #\50th Anniversary Deluxe (24 Bit)\1974 - Mars Hotel + Show\1974 - From the Mars Hotel; The Angel's Share\02 - Scarlet Begonias (Alternate Mix).flac</t>
  </si>
  <si>
    <t>Scarlet Begonias (Alternate Mix)</t>
  </si>
  <si>
    <t>Z:\Grateful Dead\# Studio Albums #\50th Anniversary Deluxe (24 Bit)\1974 - Mars Hotel + Show\1974 - From the Mars Hotel; The Angel's Share\03 - China Doll (Acoustic Mix).flac</t>
  </si>
  <si>
    <t>China Doll (Acoustic Mix)</t>
  </si>
  <si>
    <t>Z:\Grateful Dead\# Studio Albums #\50th Anniversary Deluxe (24 Bit)\1974 - Mars Hotel + Show\1974 - From the Mars Hotel; The Angel's Share\04 - Money Money (Alternate Version).flac</t>
  </si>
  <si>
    <t>Money Money (Alternate Version)</t>
  </si>
  <si>
    <t>Z:\Grateful Dead\# Studio Albums #\50th Anniversary Deluxe (24 Bit)\1974 - Mars Hotel + Show\1974 - From the Mars Hotel; The Angel's Share\05 - Loose Lucy (Alternate Mix).flac</t>
  </si>
  <si>
    <t>Loose Lucy (Alternate Mix)</t>
  </si>
  <si>
    <t>Z:\Grateful Dead\# Studio Albums #\50th Anniversary Deluxe (24 Bit)\1974 - Mars Hotel + Show\1974 - From the Mars Hotel; The Angel's Share\06 - Ship of Fools (Take 7).flac</t>
  </si>
  <si>
    <t>Ship of Fools (Take 7)</t>
  </si>
  <si>
    <t>Z:\Grateful Dead\# Studio Albums #\50th Anniversary Deluxe (24 Bit)\1974 - Mars Hotel + Show\1974 - From the Mars Hotel; The Angel's Share\07 - Ship of Fools (Alternate Mix).flac</t>
  </si>
  <si>
    <t>Ship of Fools (Alternate Mix)</t>
  </si>
  <si>
    <t>Z:\Grateful Dead\# Studio Albums #\50th Anniversary Deluxe (24 Bit)\1974 - Mars Hotel + Show\1974 - From the Mars Hotel; The Angel's Share\08 - U.S. Blues (Takes 1 and 2).flac</t>
  </si>
  <si>
    <t>U.S. Blues (Takes 1 and 2)</t>
  </si>
  <si>
    <t>Z:\Grateful Dead\# Studio Albums #\50th Anniversary Deluxe (24 Bit)\1974 - Mars Hotel + Show\1974 - From the Mars Hotel; The Angel's Share\09 - U.S. Blues (Take 4).flac</t>
  </si>
  <si>
    <t>U.S. Blues (Take 4)</t>
  </si>
  <si>
    <t>Z:\Grateful Dead\# Studio Albums #\50th Anniversary Deluxe (24 Bit)\1974 - Mars Hotel + Show\1974 - From the Mars Hotel; The Angel's Share\10 - U.S. Blues (Take 8).flac</t>
  </si>
  <si>
    <t>U.S. Blues (Take 8)</t>
  </si>
  <si>
    <t>Z:\Grateful Dead\# Studio Albums #\50th Anniversary Deluxe (24 Bit)\1974 - Mars Hotel + Show\1974 - From the Mars Hotel; The Angel's Share\11 - Pride of Cucamonga (Take 1).flac</t>
  </si>
  <si>
    <t>Pride of Cucamonga (Take 1)</t>
  </si>
  <si>
    <t>Z:\Grateful Dead\# Studio Albums #\50th Anniversary Deluxe (24 Bit)\1974 - Mars Hotel + Show\1974 - From the Mars Hotel; The Angel's Share\12 - Pride of Cucamonga (Alternate Mix).flac</t>
  </si>
  <si>
    <t>Pride of Cucamonga (Alternate Mix)</t>
  </si>
  <si>
    <t>Z:\Grateful Dead\# Studio Albums #\50th Anniversary Deluxe (24 Bit)\1974 - Mars Hotel + Show\1974 - From the Mars Hotel; The Angel's Share\13 - Unbroken Chain (Take 1).flac</t>
  </si>
  <si>
    <t>Unbroken Chain (Take 1)</t>
  </si>
  <si>
    <t>Z:\Grateful Dead\# Studio Albums #\50th Anniversary Deluxe (24 Bit)\1974 - Mars Hotel + Show\1974 - From the Mars Hotel; The Angel's Share\14 - Unbroken Chain (Take 5).flac</t>
  </si>
  <si>
    <t>Unbroken Chain (Take 5)</t>
  </si>
  <si>
    <t>Z:\Grateful Dead\# Studio Albums #\50th Anniversary Deluxe (24 Bit)\1974 - Mars Hotel + Show\1974 - From the Mars Hotel; The Angel's Share\15 - Unbroken Chain (Take 6).flac</t>
  </si>
  <si>
    <t>Unbroken Chain (Take 6)</t>
  </si>
  <si>
    <t>Z:\Grateful Dead\# Studio Albums #\50th Anniversary Deluxe (24 Bit)\1974 - Mars Hotel + Show\1974 - From the Mars Hotel; The Angel's Share\16 - Unbroken Chain (Alternate Mix).flac</t>
  </si>
  <si>
    <t>Unbroken Chain (Alternate Mix)</t>
  </si>
  <si>
    <t>Z:\Grateful Dead\# Studio Albums #\50th Anniversary Deluxe (24 Bit)\1974 - Mars Hotel + Show\1974 - Mars Hotel\01 US Blues.flac</t>
  </si>
  <si>
    <t>Z:\Grateful Dead\# Studio Albums #\50th Anniversary Deluxe (24 Bit)\1974 - Mars Hotel + Show\1974 - Mars Hotel\02 China Doll.flac</t>
  </si>
  <si>
    <t>Z:\Grateful Dead\# Studio Albums #\50th Anniversary Deluxe (24 Bit)\1974 - Mars Hotel + Show\1974 - Mars Hotel\03 Unbroken Chain.flac</t>
  </si>
  <si>
    <t>Unbroken Chain</t>
  </si>
  <si>
    <t>Z:\Grateful Dead\# Studio Albums #\50th Anniversary Deluxe (24 Bit)\1974 - Mars Hotel + Show\1974 - Mars Hotel\04 Loose Lucy.flac</t>
  </si>
  <si>
    <t>Z:\Grateful Dead\# Studio Albums #\50th Anniversary Deluxe (24 Bit)\1974 - Mars Hotel + Show\1974 - Mars Hotel\05 Scarlet Begonias.flac</t>
  </si>
  <si>
    <t>Z:\Grateful Dead\# Studio Albums #\50th Anniversary Deluxe (24 Bit)\1974 - Mars Hotel + Show\1974 - Mars Hotel\06 Pride of Cucamonga.flac</t>
  </si>
  <si>
    <t>Pride of Cucamonga</t>
  </si>
  <si>
    <t>Z:\Grateful Dead\# Studio Albums #\50th Anniversary Deluxe (24 Bit)\1974 - Mars Hotel + Show\1974 - Mars Hotel\07 Money Money.flac</t>
  </si>
  <si>
    <t>Money Money</t>
  </si>
  <si>
    <t>Z:\Grateful Dead\# Studio Albums #\50th Anniversary Deluxe (24 Bit)\1974 - Mars Hotel + Show\1974 - Mars Hotel\08 Ship of Fools.flac</t>
  </si>
  <si>
    <t>Z:\Grateful Dead\# Studio Albums #\50th Anniversary Deluxe (24 Bit)\1974 - Mars Hotel + Show\1974 - Mars Hotel\09 China Doll (Demo).flac</t>
  </si>
  <si>
    <t>China Doll (Demo)</t>
  </si>
  <si>
    <t>Z:\Grateful Dead\# Studio Albums #\50th Anniversary Deluxe (24 Bit)\1974 - Mars Hotel + Show\1974 - Mars Hotel\10 Wave That Flag (Demo).flac</t>
  </si>
  <si>
    <t>Wave That Flag (Demo)</t>
  </si>
  <si>
    <t>Z:\Grateful Dead\# Studio Albums #\50th Anniversary Deluxe (24 Bit)\1974 - Mars Hotel + Show\1974-05-12 [University of Nevada, Reno, NV]\101 Sugaree.flac</t>
  </si>
  <si>
    <t>Z:\Grateful Dead\# Studio Albums #\50th Anniversary Deluxe (24 Bit)\1974 - Mars Hotel + Show\1974-05-12 [University of Nevada, Reno, NV]\102 Mexicali Blues.flac</t>
  </si>
  <si>
    <t>Z:\Grateful Dead\# Studio Albums #\50th Anniversary Deluxe (24 Bit)\1974 - Mars Hotel + Show\1974-05-12 [University of Nevada, Reno, NV]\103 Tennessee Jed.flac</t>
  </si>
  <si>
    <t>Z:\Grateful Dead\# Studio Albums #\50th Anniversary Deluxe (24 Bit)\1974 - Mars Hotel + Show\1974-05-12 [University of Nevada, Reno, NV]\104 Jack Straw.flac</t>
  </si>
  <si>
    <t>Z:\Grateful Dead\# Studio Albums #\50th Anniversary Deluxe (24 Bit)\1974 - Mars Hotel + Show\1974-05-12 [University of Nevada, Reno, NV]\105 Brown-Eyed Women.flac</t>
  </si>
  <si>
    <t>Z:\Grateful Dead\# Studio Albums #\50th Anniversary Deluxe (24 Bit)\1974 - Mars Hotel + Show\1974-05-12 [University of Nevada, Reno, NV]\106 Beat it on Down the Line.flac</t>
  </si>
  <si>
    <t>Z:\Grateful Dead\# Studio Albums #\50th Anniversary Deluxe (24 Bit)\1974 - Mars Hotel + Show\1974-05-12 [University of Nevada, Reno, NV]\107 China Cat Sunflower.flac</t>
  </si>
  <si>
    <t>Z:\Grateful Dead\# Studio Albums #\50th Anniversary Deluxe (24 Bit)\1974 - Mars Hotel + Show\1974-05-12 [University of Nevada, Reno, NV]\108 I Know You Rider.flac</t>
  </si>
  <si>
    <t>Z:\Grateful Dead\# Studio Albums #\50th Anniversary Deluxe (24 Bit)\1974 - Mars Hotel + Show\1974-05-12 [University of Nevada, Reno, NV]\109 El Paso.flac</t>
  </si>
  <si>
    <t>Z:\Grateful Dead\# Studio Albums #\50th Anniversary Deluxe (24 Bit)\1974 - Mars Hotel + Show\1974-05-12 [University of Nevada, Reno, NV]\110 US Blues.flac</t>
  </si>
  <si>
    <t>Z:\Grateful Dead\# Studio Albums #\50th Anniversary Deluxe (24 Bit)\1974 - Mars Hotel + Show\1974-05-12 [University of Nevada, Reno, NV]\111 Greatest Story Ever Told.flac</t>
  </si>
  <si>
    <t>Z:\Grateful Dead\# Studio Albums #\50th Anniversary Deluxe (24 Bit)\1974 - Mars Hotel + Show\1974-05-12 [University of Nevada, Reno, NV]\112 It Must Have Been the Roses.flac</t>
  </si>
  <si>
    <t>Z:\Grateful Dead\# Studio Albums #\50th Anniversary Deluxe (24 Bit)\1974 - Mars Hotel + Show\1974-05-12 [University of Nevada, Reno, NV]\113 Me and Bobby McGee.flac</t>
  </si>
  <si>
    <t>Z:\Grateful Dead\# Studio Albums #\50th Anniversary Deluxe (24 Bit)\1974 - Mars Hotel + Show\1974-05-12 [University of Nevada, Reno, NV]\114 Deal.flac</t>
  </si>
  <si>
    <t>Z:\Grateful Dead\# Studio Albums #\50th Anniversary Deluxe (24 Bit)\1974 - Mars Hotel + Show\1974-05-12 [University of Nevada, Reno, NV]\201 Around and Around.flac</t>
  </si>
  <si>
    <t>Z:\Grateful Dead\# Studio Albums #\50th Anniversary Deluxe (24 Bit)\1974 - Mars Hotel + Show\1974-05-12 [University of Nevada, Reno, NV]\202 Mississippi Half-Step Uptown Toodeloo.flac</t>
  </si>
  <si>
    <t>Z:\Grateful Dead\# Studio Albums #\50th Anniversary Deluxe (24 Bit)\1974 - Mars Hotel + Show\1974-05-12 [University of Nevada, Reno, NV]\203 Truckin'.flac</t>
  </si>
  <si>
    <t>Z:\Grateful Dead\# Studio Albums #\50th Anniversary Deluxe (24 Bit)\1974 - Mars Hotel + Show\1974-05-12 [University of Nevada, Reno, NV]\204 The Other One.flac</t>
  </si>
  <si>
    <t>Z:\Grateful Dead\# Studio Albums #\50th Anniversary Deluxe (24 Bit)\1974 - Mars Hotel + Show\1974-05-12 [University of Nevada, Reno, NV]\205 Row Jimmy.flac</t>
  </si>
  <si>
    <t>Z:\Grateful Dead\# Studio Albums #\50th Anniversary Deluxe (24 Bit)\1974 - Mars Hotel + Show\1974-05-12 [University of Nevada, Reno, NV]\206 Big River.flac</t>
  </si>
  <si>
    <t>Z:\Grateful Dead\# Studio Albums #\50th Anniversary Deluxe (24 Bit)\1974 - Mars Hotel + Show\1974-05-12 [University of Nevada, Reno, NV]\207 Ship of Fools.flac</t>
  </si>
  <si>
    <t>Z:\Grateful Dead\# Studio Albums #\50th Anniversary Deluxe (24 Bit)\1974 - Mars Hotel + Show\1974-05-12 [University of Nevada, Reno, NV]\208 Sugar Magnolia.flac</t>
  </si>
  <si>
    <t>Z:\Grateful Dead\# Studio Albums #\Anthem &amp; Aoxomoxoa mixes\1968 - Anthem Of The Sun (1971 remix)\A1 That's It For The Other One .flac</t>
  </si>
  <si>
    <t>Z:\Grateful Dead\# Studio Albums #\Anthem &amp; Aoxomoxoa mixes\1968 - Anthem Of The Sun (1971 remix)\A2 New Potatoe Caboose.flac</t>
  </si>
  <si>
    <t>New Potatoe Caboose</t>
  </si>
  <si>
    <t>Z:\Grateful Dead\# Studio Albums #\Anthem &amp; Aoxomoxoa mixes\1968 - Anthem Of The Sun (1971 remix)\A3 Born Cross-Eyed.flac</t>
  </si>
  <si>
    <t>Z:\Grateful Dead\# Studio Albums #\Anthem &amp; Aoxomoxoa mixes\1968 - Anthem Of The Sun (1971 remix)\B1 Alligator.flac</t>
  </si>
  <si>
    <t>Z:\Grateful Dead\# Studio Albums #\Anthem &amp; Aoxomoxoa mixes\1968 - Anthem Of The Sun (1971 remix)\B2 Caution (Do Not Stop On Tracks).flac</t>
  </si>
  <si>
    <t>Caution (Do Not Stop On Tracks)</t>
  </si>
  <si>
    <t>Z:\Grateful Dead\# Studio Albums #\Anthem &amp; Aoxomoxoa mixes\1968 - Anthem Of The Sun (Original mix -Warner Bros UK CD)\01 - That's It For The Other One.flac</t>
  </si>
  <si>
    <t>Z:\Grateful Dead\# Studio Albums #\Anthem &amp; Aoxomoxoa mixes\1968 - Anthem Of The Sun (Original mix -Warner Bros UK CD)\02 - New Potato Caboose.flac</t>
  </si>
  <si>
    <t>Z:\Grateful Dead\# Studio Albums #\Anthem &amp; Aoxomoxoa mixes\1968 - Anthem Of The Sun (Original mix -Warner Bros UK CD)\03 - Born Cross-Eyed.flac</t>
  </si>
  <si>
    <t>Z:\Grateful Dead\# Studio Albums #\Anthem &amp; Aoxomoxoa mixes\1968 - Anthem Of The Sun (Original mix -Warner Bros UK CD)\04 - Alligator.flac</t>
  </si>
  <si>
    <t>Z:\Grateful Dead\# Studio Albums #\Anthem &amp; Aoxomoxoa mixes\1968 - Anthem Of The Sun (Original mix -Warner Bros UK CD)\05 - Caution_Do Not Stop On Tracks.flac</t>
  </si>
  <si>
    <t>Z:\Grateful Dead\# Studio Albums #\Anthem &amp; Aoxomoxoa mixes\1968 - Anthem Of The Sun (Original mix)\A1 That's It For The Other One .flac</t>
  </si>
  <si>
    <t>Z:\Grateful Dead\# Studio Albums #\Anthem &amp; Aoxomoxoa mixes\1968 - Anthem Of The Sun (Original mix)\A2 New Potatoe Caboose.flac</t>
  </si>
  <si>
    <t>Z:\Grateful Dead\# Studio Albums #\Anthem &amp; Aoxomoxoa mixes\1968 - Anthem Of The Sun (Original mix)\A3 Born Cross-Eyed.flac</t>
  </si>
  <si>
    <t>Z:\Grateful Dead\# Studio Albums #\Anthem &amp; Aoxomoxoa mixes\1968 - Anthem Of The Sun (Original mix)\B1 Alligator.flac</t>
  </si>
  <si>
    <t>Z:\Grateful Dead\# Studio Albums #\Anthem &amp; Aoxomoxoa mixes\1968 - Anthem Of The Sun (Original mix)\B2 Caution (Do Not Stop On Tracks).flac</t>
  </si>
  <si>
    <t>Z:\Grateful Dead\# Studio Albums #\Anthem &amp; Aoxomoxoa mixes\1968 - Anthem Of The Sun (US WB Reissue LP ReMix Burbank Label)\0101 - That's It for the Other One.flac</t>
  </si>
  <si>
    <t>Z:\Grateful Dead\# Studio Albums #\Anthem &amp; Aoxomoxoa mixes\1968 - Anthem Of The Sun (US WB Reissue LP ReMix Burbank Label)\0102 - New Potato Caboose.flac</t>
  </si>
  <si>
    <t>Z:\Grateful Dead\# Studio Albums #\Anthem &amp; Aoxomoxoa mixes\1968 - Anthem Of The Sun (US WB Reissue LP ReMix Burbank Label)\0103 - Born Cross-Eyed.flac</t>
  </si>
  <si>
    <t>Z:\Grateful Dead\# Studio Albums #\Anthem &amp; Aoxomoxoa mixes\1968 - Anthem Of The Sun (US WB Reissue LP ReMix Burbank Label)\0201 - Alligator.flac</t>
  </si>
  <si>
    <t>Z:\Grateful Dead\# Studio Albums #\Anthem &amp; Aoxomoxoa mixes\1968 - Anthem Of The Sun (US WB Reissue LP ReMix Burbank Label)\0202 - Caution (Do Not Stop on Tracks).flac</t>
  </si>
  <si>
    <t>Z:\Grateful Dead\# Studio Albums #\Anthem &amp; Aoxomoxoa mixes\1969 - Aoxomoxoa (1971 Remix)\01 Grateful Dead - St. Stephen.flac</t>
  </si>
  <si>
    <t>Z:\Grateful Dead\# Studio Albums #\Anthem &amp; Aoxomoxoa mixes\1969 - Aoxomoxoa (1971 Remix)\02 Grateful Dead - Dupree's Diamond Blues.flac</t>
  </si>
  <si>
    <t>Z:\Grateful Dead\# Studio Albums #\Anthem &amp; Aoxomoxoa mixes\1969 - Aoxomoxoa (1971 Remix)\03 Grateful Dead - Rosemary.flac</t>
  </si>
  <si>
    <t>Z:\Grateful Dead\# Studio Albums #\Anthem &amp; Aoxomoxoa mixes\1969 - Aoxomoxoa (1971 Remix)\04 Grateful Dead - Doin' That Rag.flac</t>
  </si>
  <si>
    <t>Z:\Grateful Dead\# Studio Albums #\Anthem &amp; Aoxomoxoa mixes\1969 - Aoxomoxoa (1971 Remix)\05 Grateful Dead - Mountains Of The Moon.flac</t>
  </si>
  <si>
    <t>Mountains Of The Moon</t>
  </si>
  <si>
    <t>Z:\Grateful Dead\# Studio Albums #\Anthem &amp; Aoxomoxoa mixes\1969 - Aoxomoxoa (1971 Remix)\06 Grateful Dead - China Cat Sunflower.flac</t>
  </si>
  <si>
    <t>Z:\Grateful Dead\# Studio Albums #\Anthem &amp; Aoxomoxoa mixes\1969 - Aoxomoxoa (1971 Remix)\07 Grateful Dead - What's Become Of The Baby.flac</t>
  </si>
  <si>
    <t>What's Become Of The Baby</t>
  </si>
  <si>
    <t>Z:\Grateful Dead\# Studio Albums #\Anthem &amp; Aoxomoxoa mixes\1969 - Aoxomoxoa (1971 Remix)\08 Grateful Dead - Cosmic Charlie.flac</t>
  </si>
  <si>
    <t>Z:\Grateful Dead\# Studio Albums #\Anthem &amp; Aoxomoxoa mixes\1969 - Aoxomoxoa (Original mix)\1. St Stephen.flac</t>
  </si>
  <si>
    <t>St Stephen</t>
  </si>
  <si>
    <t>Z:\Grateful Dead\# Studio Albums #\Anthem &amp; Aoxomoxoa mixes\1969 - Aoxomoxoa (Original mix)\2. Dupree's Diamond Blues.flac</t>
  </si>
  <si>
    <t>Z:\Grateful Dead\# Studio Albums #\Anthem &amp; Aoxomoxoa mixes\1969 - Aoxomoxoa (Original mix)\3. Rosemary.flac</t>
  </si>
  <si>
    <t>Z:\Grateful Dead\# Studio Albums #\Anthem &amp; Aoxomoxoa mixes\1969 - Aoxomoxoa (Original mix)\4. Doin' That Rag.flac</t>
  </si>
  <si>
    <t>Z:\Grateful Dead\# Studio Albums #\Anthem &amp; Aoxomoxoa mixes\1969 - Aoxomoxoa (Original mix)\5. Mountains of the Moon.flac</t>
  </si>
  <si>
    <t>Z:\Grateful Dead\# Studio Albums #\Anthem &amp; Aoxomoxoa mixes\1969 - Aoxomoxoa (Original mix)\6. China Cat Sunflower.flac</t>
  </si>
  <si>
    <t>Z:\Grateful Dead\# Studio Albums #\Anthem &amp; Aoxomoxoa mixes\1969 - Aoxomoxoa (Original mix)\7. What's Become of the Baby.flac</t>
  </si>
  <si>
    <t>Z:\Grateful Dead\# Studio Albums #\Anthem &amp; Aoxomoxoa mixes\1969 - Aoxomoxoa (Original mix)\8. Cosmic Charlie.flac</t>
  </si>
  <si>
    <t>Z:\Grateful Dead\# Studio Albums #\Anthem &amp; Aoxomoxoa mixes\1971 - Anthem Of The Sun (Remix, 1971) (Vinyl)\01 Anthem of the Sun - Side One.mp3</t>
  </si>
  <si>
    <t>Side One - Anthem of the Sun Remix (1971)</t>
  </si>
  <si>
    <t>Z:\Grateful Dead\# Studio Albums #\Anthem &amp; Aoxomoxoa mixes\1971 - Anthem Of The Sun (Remix, 1971) (Vinyl)\02 Anthem of the Sun - Side Two.mp3</t>
  </si>
  <si>
    <t>Side Two - Anthem of the Sun Remix (1971)</t>
  </si>
  <si>
    <t>Z:\Grateful Dead\# Studio Albums #\Bootleg Album\1979 - Terrapin Station Outtakes LP (Bootleg, named so, but if so, only partially)\01 Terrapin Station (listed as Inspiration on the cover).flac</t>
  </si>
  <si>
    <t>Terrapin Station (listed as Inspiration on the cover)</t>
  </si>
  <si>
    <t>Z:\Grateful Dead\# Studio Albums #\Bootleg Album\1979 - Terrapin Station Outtakes LP (Bootleg, named so, but if so, only partially)\02 Dancing In The Street.flac</t>
  </si>
  <si>
    <t>Z:\Grateful Dead\# Studio Albums #\Bootleg Album\1979 - Terrapin Station Outtakes LP (Bootleg, named so, but if so, only partially)\03 Smokestack Lightning.flac</t>
  </si>
  <si>
    <t>Z:\Grateful Dead\# Studio Albums #\Bootleg Album\1979 - Terrapin Station Outtakes LP (Bootleg, named so, but if so, only partially)\04 The Only Game In Town.flac</t>
  </si>
  <si>
    <t>The Only Game In Town</t>
  </si>
  <si>
    <t>Z:\Grateful Dead\# Studio Albums #\Bootleg Album\1979 - Terrapin Station Outtakes LP (Bootleg, named so, but if so, only partially)\05 Estimated Prophet (listed as Don't Worry 'Bout Me Now on the cover).flac</t>
  </si>
  <si>
    <t>Estimated Prophet (listed as Don't Worry 'Bout Me Now on the cover)</t>
  </si>
  <si>
    <t>Z:\Grateful Dead\# Studio Albums #\Bootleg Album\1979 - Terrapin Station Outtakes LP (Bootleg, named so, but if so, only partially)\06 Fire On The Mountain.flac</t>
  </si>
  <si>
    <t>Z:\Grateful Dead\# Studio Albums #\Bootleg Album\1979 - Terrapin Station Outtakes LP (Bootleg, named so, but if so, only partially)\07 No Man Is Perfect.flac</t>
  </si>
  <si>
    <t>No Man Is Perfect</t>
  </si>
  <si>
    <t>Z:\Grateful Dead\# Studio Albums #\Original Albums\1967 Grateful Dead\01 The Golden Road (To Ultimate Devotion).flac</t>
  </si>
  <si>
    <t>The Golden Road (To Ultimate Devotion)</t>
  </si>
  <si>
    <t>Z:\Grateful Dead\# Studio Albums #\Original Albums\1967 Grateful Dead\02 Beat It On Down The Line.flac</t>
  </si>
  <si>
    <t>Z:\Grateful Dead\# Studio Albums #\Original Albums\1967 Grateful Dead\03 Good Morning Little School Girl.flac</t>
  </si>
  <si>
    <t>Z:\Grateful Dead\# Studio Albums #\Original Albums\1967 Grateful Dead\04 Cold Rain And Snow.flac</t>
  </si>
  <si>
    <t>Z:\Grateful Dead\# Studio Albums #\Original Albums\1967 Grateful Dead\05 Sitting On Top Of The World.flac</t>
  </si>
  <si>
    <t>Z:\Grateful Dead\# Studio Albums #\Original Albums\1967 Grateful Dead\06 Cream Puff War.flac</t>
  </si>
  <si>
    <t>Z:\Grateful Dead\# Studio Albums #\Original Albums\1967 Grateful Dead\07 Morning Dew.flac</t>
  </si>
  <si>
    <t>Z:\Grateful Dead\# Studio Albums #\Original Albums\1967 Grateful Dead\08 New, New Minglewood Blues.flac</t>
  </si>
  <si>
    <t>Z:\Grateful Dead\# Studio Albums #\Original Albums\1967 Grateful Dead\09 Viola Lee Blues.flac</t>
  </si>
  <si>
    <t>Z:\Grateful Dead\# Studio Albums #\Original Albums\1968 Anthem of the Sun\01 That's It For The Other One.flac</t>
  </si>
  <si>
    <t>Z:\Grateful Dead\# Studio Albums #\Original Albums\1968 Anthem of the Sun\02 New Potato Caboose.flac</t>
  </si>
  <si>
    <t>Z:\Grateful Dead\# Studio Albums #\Original Albums\1968 Anthem of the Sun\03 Born Cross-Eyed.flac</t>
  </si>
  <si>
    <t>Z:\Grateful Dead\# Studio Albums #\Original Albums\1968 Anthem of the Sun\04 Alligator.flac</t>
  </si>
  <si>
    <t>Z:\Grateful Dead\# Studio Albums #\Original Albums\1968 Anthem of the Sun\05 Caution (Do Not Stop On Tracks).flac</t>
  </si>
  <si>
    <t>Z:\Grateful Dead\# Studio Albums #\Original Albums\1969 Aoxomoxoa\01 St. Stephen.flac</t>
  </si>
  <si>
    <t>Z:\Grateful Dead\# Studio Albums #\Original Albums\1969 Aoxomoxoa\02 Dupree's Diamond Blues.flac</t>
  </si>
  <si>
    <t>Z:\Grateful Dead\# Studio Albums #\Original Albums\1969 Aoxomoxoa\03 Rosemary.flac</t>
  </si>
  <si>
    <t>Z:\Grateful Dead\# Studio Albums #\Original Albums\1969 Aoxomoxoa\04 Doin' That Rag.flac</t>
  </si>
  <si>
    <t>Z:\Grateful Dead\# Studio Albums #\Original Albums\1969 Aoxomoxoa\05 Mountains of the Moon.flac</t>
  </si>
  <si>
    <t>Z:\Grateful Dead\# Studio Albums #\Original Albums\1969 Aoxomoxoa\06 China Cat Sunflower.flac</t>
  </si>
  <si>
    <t>Z:\Grateful Dead\# Studio Albums #\Original Albums\1969 Aoxomoxoa\07 What's Become of the Baby.flac</t>
  </si>
  <si>
    <t>Z:\Grateful Dead\# Studio Albums #\Original Albums\1969 Aoxomoxoa\08 Cosmic Charlie.flac</t>
  </si>
  <si>
    <t>Z:\Grateful Dead\# Studio Albums #\Original Albums\1969 Live Dead\01 Dark Star.flac</t>
  </si>
  <si>
    <t>Z:\Grateful Dead\# Studio Albums #\Original Albums\1969 Live Dead\02 St. Stephen.flac</t>
  </si>
  <si>
    <t>Z:\Grateful Dead\# Studio Albums #\Original Albums\1969 Live Dead\03 The Eleven.flac</t>
  </si>
  <si>
    <t>Z:\Grateful Dead\# Studio Albums #\Original Albums\1969 Live Dead\04 Turn On Your Love Light.flac</t>
  </si>
  <si>
    <t>Turn On Your Love Light</t>
  </si>
  <si>
    <t>Z:\Grateful Dead\# Studio Albums #\Original Albums\1969 Live Dead\05 Death Don't Have No Mercy.flac</t>
  </si>
  <si>
    <t>Death Don't Have No Mercy</t>
  </si>
  <si>
    <t>Z:\Grateful Dead\# Studio Albums #\Original Albums\1969 Live Dead\06 Feedback.flac</t>
  </si>
  <si>
    <t>Z:\Grateful Dead\# Studio Albums #\Original Albums\1969 Live Dead\07 And We Bid You Goodnight.flac</t>
  </si>
  <si>
    <t>Z:\Grateful Dead\# Studio Albums #\Original Albums\1969 Live Dead\08 Dark Star (studio).flac</t>
  </si>
  <si>
    <t>Dark Star (studio)</t>
  </si>
  <si>
    <t>Z:\Grateful Dead\# Studio Albums #\Original Albums\1969 Live Dead\09 Radio Ad.flac</t>
  </si>
  <si>
    <t>Radio Ad</t>
  </si>
  <si>
    <t>Z:\Grateful Dead\# Studio Albums #\Original Albums\1970 American Beauty\01 Box Of Rain.flac</t>
  </si>
  <si>
    <t>Z:\Grateful Dead\# Studio Albums #\Original Albums\1970 American Beauty\02 Friend Of The Devil.flac</t>
  </si>
  <si>
    <t>Z:\Grateful Dead\# Studio Albums #\Original Albums\1970 American Beauty\03 Sugar Magnolia.flac</t>
  </si>
  <si>
    <t>Z:\Grateful Dead\# Studio Albums #\Original Albums\1970 American Beauty\04 Operator.flac</t>
  </si>
  <si>
    <t>Z:\Grateful Dead\# Studio Albums #\Original Albums\1970 American Beauty\05 Candyman.flac</t>
  </si>
  <si>
    <t>Z:\Grateful Dead\# Studio Albums #\Original Albums\1970 American Beauty\06 Ripple.flac</t>
  </si>
  <si>
    <t>Z:\Grateful Dead\# Studio Albums #\Original Albums\1970 American Beauty\07 Brokedown Palace.flac</t>
  </si>
  <si>
    <t>Z:\Grateful Dead\# Studio Albums #\Original Albums\1970 American Beauty\08 Till The Morning Comes.flac</t>
  </si>
  <si>
    <t>Z:\Grateful Dead\# Studio Albums #\Original Albums\1970 American Beauty\09 Attics Of My Life.flac</t>
  </si>
  <si>
    <t>Z:\Grateful Dead\# Studio Albums #\Original Albums\1970 American Beauty\10 Truckin.flac</t>
  </si>
  <si>
    <t>Z:\Grateful Dead\# Studio Albums #\Original Albums\1970 Workingman's Dead\01 Uncle John's Band.flac</t>
  </si>
  <si>
    <t>Z:\Grateful Dead\# Studio Albums #\Original Albums\1970 Workingman's Dead\02 High Time.flac</t>
  </si>
  <si>
    <t>Z:\Grateful Dead\# Studio Albums #\Original Albums\1970 Workingman's Dead\03 Dire Wolf.flac</t>
  </si>
  <si>
    <t>Z:\Grateful Dead\# Studio Albums #\Original Albums\1970 Workingman's Dead\04 New Speedway Boogie.flac</t>
  </si>
  <si>
    <t>Z:\Grateful Dead\# Studio Albums #\Original Albums\1970 Workingman's Dead\05 Cumberland Blues.flac</t>
  </si>
  <si>
    <t>Z:\Grateful Dead\# Studio Albums #\Original Albums\1970 Workingman's Dead\06 Black Peter.flac</t>
  </si>
  <si>
    <t>Z:\Grateful Dead\# Studio Albums #\Original Albums\1970 Workingman's Dead\07 Easy Wind.flac</t>
  </si>
  <si>
    <t>Z:\Grateful Dead\# Studio Albums #\Original Albums\1970 Workingman's Dead\08 Casey Jones.flac</t>
  </si>
  <si>
    <t>Z:\Grateful Dead\# Studio Albums #\Original Albums\1971 Grateful Dead (Skull &amp; Roses)\01 Bertha.flac</t>
  </si>
  <si>
    <t>Z:\Grateful Dead\# Studio Albums #\Original Albums\1971 Grateful Dead (Skull &amp; Roses)\02 Mama Tried.flac</t>
  </si>
  <si>
    <t>Z:\Grateful Dead\# Studio Albums #\Original Albums\1971 Grateful Dead (Skull &amp; Roses)\03 Big Railroad Blues.flac</t>
  </si>
  <si>
    <t>Z:\Grateful Dead\# Studio Albums #\Original Albums\1971 Grateful Dead (Skull &amp; Roses)\04 Playing in the Band.flac</t>
  </si>
  <si>
    <t>Z:\Grateful Dead\# Studio Albums #\Original Albums\1971 Grateful Dead (Skull &amp; Roses)\05 The Other One.flac</t>
  </si>
  <si>
    <t>Z:\Grateful Dead\# Studio Albums #\Original Albums\1971 Grateful Dead (Skull &amp; Roses)\06 Me &amp; My Uncle.flac</t>
  </si>
  <si>
    <t>Z:\Grateful Dead\# Studio Albums #\Original Albums\1971 Grateful Dead (Skull &amp; Roses)\07 Big Boss Man.flac</t>
  </si>
  <si>
    <t>Z:\Grateful Dead\# Studio Albums #\Original Albums\1971 Grateful Dead (Skull &amp; Roses)\08 Me &amp; Bobby McGee.flac</t>
  </si>
  <si>
    <t>Z:\Grateful Dead\# Studio Albums #\Original Albums\1971 Grateful Dead (Skull &amp; Roses)\09 Johnny B. Goode.flac</t>
  </si>
  <si>
    <t>Z:\Grateful Dead\# Studio Albums #\Original Albums\1971 Grateful Dead (Skull &amp; Roses)\10 Wharf Rat.flac</t>
  </si>
  <si>
    <t>Z:\Grateful Dead\# Studio Albums #\Original Albums\1971 Grateful Dead (Skull &amp; Roses)\11 Not Fade Away-Goin' Down the Road Feeling Bad.flac</t>
  </si>
  <si>
    <t>Not Fade Away-Goin' Down the Road Feeling Bad</t>
  </si>
  <si>
    <t>Z:\Grateful Dead\# Studio Albums #\Original Albums\1972 Europe '72\101 Cumberland Blues.flac</t>
  </si>
  <si>
    <t>Z:\Grateful Dead\# Studio Albums #\Original Albums\1972 Europe '72\102 He's Gone.flac</t>
  </si>
  <si>
    <t>Z:\Grateful Dead\# Studio Albums #\Original Albums\1972 Europe '72\103 One More Saturday Night.flac</t>
  </si>
  <si>
    <t>Z:\Grateful Dead\# Studio Albums #\Original Albums\1972 Europe '72\104 Jack Straw.flac</t>
  </si>
  <si>
    <t>Z:\Grateful Dead\# Studio Albums #\Original Albums\1972 Europe '72\105 You Win Again.flac</t>
  </si>
  <si>
    <t>Z:\Grateful Dead\# Studio Albums #\Original Albums\1972 Europe '72\106 China Cat Sunflower.flac</t>
  </si>
  <si>
    <t>Z:\Grateful Dead\# Studio Albums #\Original Albums\1972 Europe '72\107 I Know You Rider.flac</t>
  </si>
  <si>
    <t>Z:\Grateful Dead\# Studio Albums #\Original Albums\1972 Europe '72\108 Brown-Eyed Woman.flac</t>
  </si>
  <si>
    <t>Z:\Grateful Dead\# Studio Albums #\Original Albums\1972 Europe '72\109 Hurts Me Too.flac</t>
  </si>
  <si>
    <t>Z:\Grateful Dead\# Studio Albums #\Original Albums\1972 Europe '72\110 Ramble on Rose.flac</t>
  </si>
  <si>
    <t>Z:\Grateful Dead\# Studio Albums #\Original Albums\1972 Europe '72\111 Sugar Magnolia.flac</t>
  </si>
  <si>
    <t>Z:\Grateful Dead\# Studio Albums #\Original Albums\1972 Europe '72\112 Mr. Charlie.flac</t>
  </si>
  <si>
    <t>Z:\Grateful Dead\# Studio Albums #\Original Albums\1972 Europe '72\113 Tennessee Jed.flac</t>
  </si>
  <si>
    <t>Z:\Grateful Dead\# Studio Albums #\Original Albums\1972 Europe '72\114 The Stranger (Two Souls in Communion).flac</t>
  </si>
  <si>
    <t>Z:\Grateful Dead\# Studio Albums #\Original Albums\1972 Europe '72\201 Sugar Magnolia.flac</t>
  </si>
  <si>
    <t>Z:\Grateful Dead\# Studio Albums #\Original Albums\1972 Europe '72\202 Mr. Charlie.flac</t>
  </si>
  <si>
    <t>Z:\Grateful Dead\# Studio Albums #\Original Albums\1972 Europe '72\203 Tennessee Jed.flac</t>
  </si>
  <si>
    <t>Z:\Grateful Dead\# Studio Albums #\Original Albums\1972 Europe '72\204 Truckin'.flac</t>
  </si>
  <si>
    <t>Z:\Grateful Dead\# Studio Albums #\Original Albums\1972 Europe '72\205 Epilogue.flac</t>
  </si>
  <si>
    <t>Z:\Grateful Dead\# Studio Albums #\Original Albums\1972 Europe '72\206 Prelude.flac</t>
  </si>
  <si>
    <t>Z:\Grateful Dead\# Studio Albums #\Original Albums\1972 Europe '72\207 (Walk Me out in The) Morning Dew.flac</t>
  </si>
  <si>
    <t>(Walk Me out in The) Morning Dew</t>
  </si>
  <si>
    <t>Z:\Grateful Dead\# Studio Albums #\Original Albums\1972 Europe '72 Vol. 2 (2011)\101 Bertha.flac</t>
  </si>
  <si>
    <t>Z:\Grateful Dead\# Studio Albums #\Original Albums\1972 Europe '72 Vol. 2 (2011)\102 Me and My Uncle.flac</t>
  </si>
  <si>
    <t>Z:\Grateful Dead\# Studio Albums #\Original Albums\1972 Europe '72 Vol. 2 (2011)\103 Chinatown Shuffle.flac</t>
  </si>
  <si>
    <t>Z:\Grateful Dead\# Studio Albums #\Original Albums\1972 Europe '72 Vol. 2 (2011)\104 Sugaree.flac</t>
  </si>
  <si>
    <t>Z:\Grateful Dead\# Studio Albums #\Original Albums\1972 Europe '72 Vol. 2 (2011)\105 Beat it on Down the Line.flac</t>
  </si>
  <si>
    <t>Z:\Grateful Dead\# Studio Albums #\Original Albums\1972 Europe '72 Vol. 2 (2011)\106 Loser.flac</t>
  </si>
  <si>
    <t>Z:\Grateful Dead\# Studio Albums #\Original Albums\1972 Europe '72 Vol. 2 (2011)\107 Next Time You See Me.flac</t>
  </si>
  <si>
    <t>Z:\Grateful Dead\# Studio Albums #\Original Albums\1972 Europe '72 Vol. 2 (2011)\108 Black-Throated Wind.flac</t>
  </si>
  <si>
    <t>Z:\Grateful Dead\# Studio Albums #\Original Albums\1972 Europe '72 Vol. 2 (2011)\109 Dire Wolf.flac</t>
  </si>
  <si>
    <t>Z:\Grateful Dead\# Studio Albums #\Original Albums\1972 Europe '72 Vol. 2 (2011)\110 Greatest Story Ever Told.flac</t>
  </si>
  <si>
    <t>Z:\Grateful Dead\# Studio Albums #\Original Albums\1972 Europe '72 Vol. 2 (2011)\111 Deal.flac</t>
  </si>
  <si>
    <t>Z:\Grateful Dead\# Studio Albums #\Original Albums\1972 Europe '72 Vol. 2 (2011)\112 Good Lovin'.flac</t>
  </si>
  <si>
    <t>Z:\Grateful Dead\# Studio Albums #\Original Albums\1972 Europe '72 Vol. 2 (2011)\113 Playing in the Band.flac</t>
  </si>
  <si>
    <t>Z:\Grateful Dead\# Studio Albums #\Original Albums\1972 Europe '72 Vol. 2 (2011)\201 Dark Star _.flac</t>
  </si>
  <si>
    <t>Z:\Grateful Dead\# Studio Albums #\Original Albums\1972 Europe '72 Vol. 2 (2011)\202 Drums _.flac</t>
  </si>
  <si>
    <t>Z:\Grateful Dead\# Studio Albums #\Original Albums\1972 Europe '72 Vol. 2 (2011)\203 The Other One _.flac</t>
  </si>
  <si>
    <t>Z:\Grateful Dead\# Studio Albums #\Original Albums\1972 Europe '72 Vol. 2 (2011)\204 Sing Me Back Home.flac</t>
  </si>
  <si>
    <t>Z:\Grateful Dead\# Studio Albums #\Original Albums\1972 Europe '72 Vol. 2 (2011)\205 Not Fade Away _.flac</t>
  </si>
  <si>
    <t>Z:\Grateful Dead\# Studio Albums #\Original Albums\1972 Europe '72 Vol. 2 (2011)\206 Goin' Down the Road Feeling Bad _.flac</t>
  </si>
  <si>
    <t>Z:\Grateful Dead\# Studio Albums #\Original Albums\1972 Europe '72 Vol. 2 (2011)\207 Not Fade Away.flac</t>
  </si>
  <si>
    <t>Z:\Grateful Dead\# Studio Albums #\Original Albums\1973 History of the Grateful Dead, Vol. 1 (Bear's Choice)\01 Katie Mae.flac</t>
  </si>
  <si>
    <t>Katie Mae</t>
  </si>
  <si>
    <t>Z:\Grateful Dead\# Studio Albums #\Original Albums\1973 History of the Grateful Dead, Vol. 1 (Bear's Choice)\02 Dark Hollow.flac</t>
  </si>
  <si>
    <t>Dark Hollow</t>
  </si>
  <si>
    <t>Z:\Grateful Dead\# Studio Albums #\Original Albums\1973 History of the Grateful Dead, Vol. 1 (Bear's Choice)\03 I've Been All Around This World.flac</t>
  </si>
  <si>
    <t>Z:\Grateful Dead\# Studio Albums #\Original Albums\1973 History of the Grateful Dead, Vol. 1 (Bear's Choice)\04 Wake Up Little Susie.flac</t>
  </si>
  <si>
    <t>Wake Up Little Susie</t>
  </si>
  <si>
    <t>Z:\Grateful Dead\# Studio Albums #\Original Albums\1973 History of the Grateful Dead, Vol. 1 (Bear's Choice)\05 Black Peter.flac</t>
  </si>
  <si>
    <t>Z:\Grateful Dead\# Studio Albums #\Original Albums\1973 History of the Grateful Dead, Vol. 1 (Bear's Choice)\06 Smokestack Lightnin.flac</t>
  </si>
  <si>
    <t>Smokestack Lightnin</t>
  </si>
  <si>
    <t>Z:\Grateful Dead\# Studio Albums #\Original Albums\1973 History of the Grateful Dead, Vol. 1 (Bear's Choice)\07 Hard to Handle.flac</t>
  </si>
  <si>
    <t>Z:\Grateful Dead\# Studio Albums #\Original Albums\1973 Wake of the Flood\01 Mississippi Half-Step Uptown Toodleloo.flac</t>
  </si>
  <si>
    <t>Z:\Grateful Dead\# Studio Albums #\Original Albums\1973 Wake of the Flood\02 Let Me Sing Your Blues Away.flac</t>
  </si>
  <si>
    <t>Z:\Grateful Dead\# Studio Albums #\Original Albums\1973 Wake of the Flood\03 Row Jimmy.flac</t>
  </si>
  <si>
    <t>Z:\Grateful Dead\# Studio Albums #\Original Albums\1973 Wake of the Flood\04 Stella Blue.flac</t>
  </si>
  <si>
    <t>Z:\Grateful Dead\# Studio Albums #\Original Albums\1973 Wake of the Flood\05 Here Comes Sunshine.flac</t>
  </si>
  <si>
    <t>Z:\Grateful Dead\# Studio Albums #\Original Albums\1973 Wake of the Flood\06 Eyes of the World.flac</t>
  </si>
  <si>
    <t>Z:\Grateful Dead\# Studio Albums #\Original Albums\1973 Wake of the Flood\07 Weather Report Suite.flac</t>
  </si>
  <si>
    <t>Z:\Grateful Dead\# Studio Albums #\Original Albums\1974 From The Mars Hotel\(01) [Grateful Dead] U.s. Blues.flac</t>
  </si>
  <si>
    <t>Z:\Grateful Dead\# Studio Albums #\Original Albums\1974 From The Mars Hotel\(02) [Grateful Dead] China Doll.flac</t>
  </si>
  <si>
    <t>Z:\Grateful Dead\# Studio Albums #\Original Albums\1974 From The Mars Hotel\(03) [Grateful Dead] Unbroken Chain.flac</t>
  </si>
  <si>
    <t>Z:\Grateful Dead\# Studio Albums #\Original Albums\1974 From The Mars Hotel\(04) [Grateful Dead] Loose Lucy.flac</t>
  </si>
  <si>
    <t>Z:\Grateful Dead\# Studio Albums #\Original Albums\1974 From The Mars Hotel\(05) [Grateful Dead] Scarlet Begonias.flac</t>
  </si>
  <si>
    <t>Z:\Grateful Dead\# Studio Albums #\Original Albums\1974 From The Mars Hotel\(06) [Grateful Dead] Pride Of Cucamonga.flac</t>
  </si>
  <si>
    <t>Pride Of Cucamonga</t>
  </si>
  <si>
    <t>Z:\Grateful Dead\# Studio Albums #\Original Albums\1974 From The Mars Hotel\(07) [Grateful Dead] Money Money.flac</t>
  </si>
  <si>
    <t>Z:\Grateful Dead\# Studio Albums #\Original Albums\1974 From The Mars Hotel\(08) [Grateful Dead] Ship Of Fools.flac</t>
  </si>
  <si>
    <t>Z:\Grateful Dead\# Studio Albums #\Original Albums\1975 Blues For Allah\(01) [Grateful Dead] Help On The Way.flac</t>
  </si>
  <si>
    <t>Z:\Grateful Dead\# Studio Albums #\Original Albums\1975 Blues For Allah\(02) [Grateful Dead] Slipknot.flac</t>
  </si>
  <si>
    <t>Slipknot</t>
  </si>
  <si>
    <t>Z:\Grateful Dead\# Studio Albums #\Original Albums\1975 Blues For Allah\(03) [Grateful Dead] Franklin's Tower.flac</t>
  </si>
  <si>
    <t>Z:\Grateful Dead\# Studio Albums #\Original Albums\1975 Blues For Allah\(04) [Grateful Dead] King Solomon's Marbles.flac</t>
  </si>
  <si>
    <t>King Solomon's Marbles</t>
  </si>
  <si>
    <t>Z:\Grateful Dead\# Studio Albums #\Original Albums\1975 Blues For Allah\(05) [Grateful Dead] Stronger Than Dirt Or Milking the Monkey.flac</t>
  </si>
  <si>
    <t>Stronger Than Dirt Or Milking the Monkey</t>
  </si>
  <si>
    <t>Z:\Grateful Dead\# Studio Albums #\Original Albums\1975 Blues For Allah\(06) [Grateful Dead] The Music Never Stopped.flac</t>
  </si>
  <si>
    <t>Z:\Grateful Dead\# Studio Albums #\Original Albums\1975 Blues For Allah\(07) [Grateful Dead] Crazy Fingers.flac</t>
  </si>
  <si>
    <t>Z:\Grateful Dead\# Studio Albums #\Original Albums\1975 Blues For Allah\(08) [Grateful Dead] Sage &amp; Spirit.flac</t>
  </si>
  <si>
    <t>Sage &amp; Spirit</t>
  </si>
  <si>
    <t>Z:\Grateful Dead\# Studio Albums #\Original Albums\1975 Blues For Allah\(09) [Grateful Dead] Blues For Allah.flac</t>
  </si>
  <si>
    <t>Blues For Allah</t>
  </si>
  <si>
    <t>Z:\Grateful Dead\# Studio Albums #\Original Albums\1975 Blues For Allah\(10) [Grateful Dead] Sand Castles &amp; Glass Camels.flac</t>
  </si>
  <si>
    <t>Sand Castles &amp; Glass Camels</t>
  </si>
  <si>
    <t>Z:\Grateful Dead\# Studio Albums #\Original Albums\1975 Blues For Allah\(11) [Grateful Dead] Unusual Occurences In the Desert.flac</t>
  </si>
  <si>
    <t>Unusual Occurences In the Desert</t>
  </si>
  <si>
    <t>Z:\Grateful Dead\# Studio Albums #\Original Albums\1976 Steal Your Face\101 The Promised Land.flac</t>
  </si>
  <si>
    <t>Z:\Grateful Dead\# Studio Albums #\Original Albums\1976 Steal Your Face\102 Cold Rain &amp; Snow.flac</t>
  </si>
  <si>
    <t>Z:\Grateful Dead\# Studio Albums #\Original Albums\1976 Steal Your Face\103 Around And Around.flac</t>
  </si>
  <si>
    <t>Z:\Grateful Dead\# Studio Albums #\Original Albums\1976 Steal Your Face\104 Stella Blue.flac</t>
  </si>
  <si>
    <t>Z:\Grateful Dead\# Studio Albums #\Original Albums\1976 Steal Your Face\105 Mississippi Half-Step Uptown Toodeloo.flac</t>
  </si>
  <si>
    <t>Z:\Grateful Dead\# Studio Albums #\Original Albums\1976 Steal Your Face\106 Ship Of Fools.flac</t>
  </si>
  <si>
    <t>Z:\Grateful Dead\# Studio Albums #\Original Albums\1976 Steal Your Face\107 Beat It On Down The Line.flac</t>
  </si>
  <si>
    <t>Z:\Grateful Dead\# Studio Albums #\Original Albums\1976 Steal Your Face\201 Big River.flac</t>
  </si>
  <si>
    <t>Z:\Grateful Dead\# Studio Albums #\Original Albums\1976 Steal Your Face\202 Black Throated Wind.flac</t>
  </si>
  <si>
    <t>Z:\Grateful Dead\# Studio Albums #\Original Albums\1976 Steal Your Face\203 U.S. Blues.flac</t>
  </si>
  <si>
    <t>Z:\Grateful Dead\# Studio Albums #\Original Albums\1976 Steal Your Face\204 El Paso.flac</t>
  </si>
  <si>
    <t>Z:\Grateful Dead\# Studio Albums #\Original Albums\1976 Steal Your Face\205 Sugaree.flac</t>
  </si>
  <si>
    <t>Z:\Grateful Dead\# Studio Albums #\Original Albums\1976 Steal Your Face\206  It Must Have Been The Rose.flac</t>
  </si>
  <si>
    <t>It Must Have Been The Rose</t>
  </si>
  <si>
    <t>Z:\Grateful Dead\# Studio Albums #\Original Albums\1976 Steal Your Face\207  Casey Jones.flac</t>
  </si>
  <si>
    <t>Z:\Grateful Dead\# Studio Albums #\Original Albums\1977 Terrapin Station\01 Estimated Prophet.flac</t>
  </si>
  <si>
    <t>Z:\Grateful Dead\# Studio Albums #\Original Albums\1977 Terrapin Station\02 Dancin' In The Streets.flac</t>
  </si>
  <si>
    <t>Z:\Grateful Dead\# Studio Albums #\Original Albums\1977 Terrapin Station\03 Passenger.flac</t>
  </si>
  <si>
    <t>Z:\Grateful Dead\# Studio Albums #\Original Albums\1977 Terrapin Station\04 Samson &amp; Delilah.flac</t>
  </si>
  <si>
    <t>Z:\Grateful Dead\# Studio Albums #\Original Albums\1977 Terrapin Station\05 Sunrise.flac</t>
  </si>
  <si>
    <t>Z:\Grateful Dead\# Studio Albums #\Original Albums\1977 Terrapin Station\06 Terrapin Station.flac</t>
  </si>
  <si>
    <t>Z:\Grateful Dead\# Studio Albums #\Original Albums\1978 Shakedown Street\(01) [Grateful Dead] Good Lovin'.flac</t>
  </si>
  <si>
    <t>Z:\Grateful Dead\# Studio Albums #\Original Albums\1978 Shakedown Street\(02) [Grateful Dead] France.flac</t>
  </si>
  <si>
    <t>France</t>
  </si>
  <si>
    <t>Z:\Grateful Dead\# Studio Albums #\Original Albums\1978 Shakedown Street\(03) [Grateful Dead] Shakedown Street.flac</t>
  </si>
  <si>
    <t>Z:\Grateful Dead\# Studio Albums #\Original Albums\1978 Shakedown Street\(04) [Grateful Dead] Serengetti.flac</t>
  </si>
  <si>
    <t>Serengetti</t>
  </si>
  <si>
    <t>Z:\Grateful Dead\# Studio Albums #\Original Albums\1978 Shakedown Street\(05) [Grateful Dead] Fire On The Mountain.flac</t>
  </si>
  <si>
    <t>Z:\Grateful Dead\# Studio Albums #\Original Albums\1978 Shakedown Street\(06) [Grateful Dead] I Need A Miracle.flac</t>
  </si>
  <si>
    <t>Z:\Grateful Dead\# Studio Albums #\Original Albums\1978 Shakedown Street\(07) [Grateful Dead] From The Heart Of Me.flac</t>
  </si>
  <si>
    <t>From The Heart Of Me</t>
  </si>
  <si>
    <t>Z:\Grateful Dead\# Studio Albums #\Original Albums\1978 Shakedown Street\(08) [Grateful Dead] Stagger Lee.flac</t>
  </si>
  <si>
    <t>Z:\Grateful Dead\# Studio Albums #\Original Albums\1978 Shakedown Street\(09) [Grateful Dead] All New Minglewood Blues.flac</t>
  </si>
  <si>
    <t>All New Minglewood Blues</t>
  </si>
  <si>
    <t>Z:\Grateful Dead\# Studio Albums #\Original Albums\1978 Shakedown Street\(10) [Grateful Dead] If I Had The World To Give.flac</t>
  </si>
  <si>
    <t>If I Had The World To Give</t>
  </si>
  <si>
    <t>Z:\Grateful Dead\# Studio Albums #\Original Albums\1980 Go To Heaven\(01) [Grateful Dead] Alabama Getaway.flac</t>
  </si>
  <si>
    <t>Z:\Grateful Dead\# Studio Albums #\Original Albums\1980 Go To Heaven\(02) [Grateful Dead] Far From Me.flac</t>
  </si>
  <si>
    <t>Z:\Grateful Dead\# Studio Albums #\Original Albums\1980 Go To Heaven\(03) [Grateful Dead] Althea.flac</t>
  </si>
  <si>
    <t>Z:\Grateful Dead\# Studio Albums #\Original Albums\1980 Go To Heaven\(04) [Grateful Dead] Feel Like A Stranger.flac</t>
  </si>
  <si>
    <t>Z:\Grateful Dead\# Studio Albums #\Original Albums\1980 Go To Heaven\(05) [Grateful Dead] Lost Sailor.flac</t>
  </si>
  <si>
    <t>Z:\Grateful Dead\# Studio Albums #\Original Albums\1980 Go To Heaven\(06) [Grateful Dead] Saint Of Circumstance.flac</t>
  </si>
  <si>
    <t>Z:\Grateful Dead\# Studio Albums #\Original Albums\1980 Go To Heaven\(07) [Grateful Dead] Antwerp's Placebo (The Plumber).flac</t>
  </si>
  <si>
    <t>Antwerp's Placebo (The Plumber)</t>
  </si>
  <si>
    <t>Z:\Grateful Dead\# Studio Albums #\Original Albums\1980 Go To Heaven\(08) [Grateful Dead] Easy To Love You.flac</t>
  </si>
  <si>
    <t>Z:\Grateful Dead\# Studio Albums #\Original Albums\1980 Go To Heaven\(09) [Grateful Dead] Don't Ease Me In.flac</t>
  </si>
  <si>
    <t>Z:\Grateful Dead\# Studio Albums #\Original Albums\1981 Dead Set\01 - Samson and Delilah.flac</t>
  </si>
  <si>
    <t>Z:\Grateful Dead\# Studio Albums #\Original Albums\1981 Dead Set\02 - Friend of the Devil.flac</t>
  </si>
  <si>
    <t>Z:\Grateful Dead\# Studio Albums #\Original Albums\1981 Dead Set\03 - New Minglewood Blues.flac</t>
  </si>
  <si>
    <t>Z:\Grateful Dead\# Studio Albums #\Original Albums\1981 Dead Set\04 - Deal.flac</t>
  </si>
  <si>
    <t>Z:\Grateful Dead\# Studio Albums #\Original Albums\1981 Dead Set\05 - Candy Man.flac</t>
  </si>
  <si>
    <t>Z:\Grateful Dead\# Studio Albums #\Original Albums\1981 Dead Set\06 - Little Red Rooster.flac</t>
  </si>
  <si>
    <t>Z:\Grateful Dead\# Studio Albums #\Original Albums\1981 Dead Set\07 - Loser.flac</t>
  </si>
  <si>
    <t>Z:\Grateful Dead\# Studio Albums #\Original Albums\1981 Dead Set\08 - Passenger.flac</t>
  </si>
  <si>
    <t>Z:\Grateful Dead\# Studio Albums #\Original Albums\1981 Dead Set\09 - Feel Like a Stranger.flac</t>
  </si>
  <si>
    <t>Feel Like a Stranger</t>
  </si>
  <si>
    <t>Z:\Grateful Dead\# Studio Albums #\Original Albums\1981 Dead Set\10 - Franklin's Tower.flac</t>
  </si>
  <si>
    <t>Z:\Grateful Dead\# Studio Albums #\Original Albums\1981 Dead Set\11 - Rhythm Devils.flac</t>
  </si>
  <si>
    <t>Z:\Grateful Dead\# Studio Albums #\Original Albums\1981 Dead Set\12 - Space.flac</t>
  </si>
  <si>
    <t>Z:\Grateful Dead\# Studio Albums #\Original Albums\1981 Dead Set\13 - Fire On The Mountain.flac</t>
  </si>
  <si>
    <t>Z:\Grateful Dead\# Studio Albums #\Original Albums\1981 Dead Set\14 - Greatest Story Ever Told.flac</t>
  </si>
  <si>
    <t>Z:\Grateful Dead\# Studio Albums #\Original Albums\1981 Dead Set\15 - Brokedown Palace.flac</t>
  </si>
  <si>
    <t>Z:\Grateful Dead\# Studio Albums #\Original Albums\1981 Reckoning\01 - Dire Wolf.flac</t>
  </si>
  <si>
    <t>Z:\Grateful Dead\# Studio Albums #\Original Albums\1981 Reckoning\02 - The Race Is On.flac</t>
  </si>
  <si>
    <t>Z:\Grateful Dead\# Studio Albums #\Original Albums\1981 Reckoning\03 - It Must Have Been the Roses.flac</t>
  </si>
  <si>
    <t>Z:\Grateful Dead\# Studio Albums #\Original Albums\1981 Reckoning\04 - Dark Hollow.flac</t>
  </si>
  <si>
    <t>Z:\Grateful Dead\# Studio Albums #\Original Albums\1981 Reckoning\05 - China Doll.flac</t>
  </si>
  <si>
    <t>Z:\Grateful Dead\# Studio Albums #\Original Albums\1981 Reckoning\06 - Been All Around This World.flac</t>
  </si>
  <si>
    <t>Been All Around This World</t>
  </si>
  <si>
    <t>Z:\Grateful Dead\# Studio Albums #\Original Albums\1981 Reckoning\07 - Monkey And The Engineer.flac</t>
  </si>
  <si>
    <t>Monkey And The Engineer</t>
  </si>
  <si>
    <t>Z:\Grateful Dead\# Studio Albums #\Original Albums\1981 Reckoning\08 - Jack-A-Roe.flac</t>
  </si>
  <si>
    <t>Z:\Grateful Dead\# Studio Albums #\Original Albums\1981 Reckoning\09 - Deep Elem Blues.flac</t>
  </si>
  <si>
    <t>Z:\Grateful Dead\# Studio Albums #\Original Albums\1981 Reckoning\10 - Cassidy.flac</t>
  </si>
  <si>
    <t>Z:\Grateful Dead\# Studio Albums #\Original Albums\1981 Reckoning\11 - To Lay Me Down.flac</t>
  </si>
  <si>
    <t>Z:\Grateful Dead\# Studio Albums #\Original Albums\1981 Reckoning\12 - Rosa Lee McFall.flac</t>
  </si>
  <si>
    <t>Rosa Lee McFall</t>
  </si>
  <si>
    <t>Z:\Grateful Dead\# Studio Albums #\Original Albums\1981 Reckoning\13 - On The Road Again.flac</t>
  </si>
  <si>
    <t>Z:\Grateful Dead\# Studio Albums #\Original Albums\1981 Reckoning\14 - Bird Song.flac</t>
  </si>
  <si>
    <t>Z:\Grateful Dead\# Studio Albums #\Original Albums\1981 Reckoning\15 - Ripple.flac</t>
  </si>
  <si>
    <t>Z:\Grateful Dead\# Studio Albums #\Original Albums\1981 Reckoning (Unreleased mix)\01 Dire Wolf.flac</t>
  </si>
  <si>
    <t>Z:\Grateful Dead\# Studio Albums #\Original Albums\1981 Reckoning (Unreleased mix)\02 The Race is On .flac</t>
  </si>
  <si>
    <t>The Race is On</t>
  </si>
  <si>
    <t>Z:\Grateful Dead\# Studio Albums #\Original Albums\1981 Reckoning (Unreleased mix)\03 Oh Babe It Ain't No Lie .flac</t>
  </si>
  <si>
    <t>Oh Babe It Ain't No Lie</t>
  </si>
  <si>
    <t>Z:\Grateful Dead\# Studio Albums #\Original Albums\1981 Reckoning (Unreleased mix)\04 It Must Have Been the Roses.flac</t>
  </si>
  <si>
    <t>Z:\Grateful Dead\# Studio Albums #\Original Albums\1981 Reckoning (Unreleased mix)\05 Dark Hollow.flac</t>
  </si>
  <si>
    <t>Z:\Grateful Dead\# Studio Albums #\Original Albums\1981 Reckoning (Unreleased mix)\06 China Doll.flac</t>
  </si>
  <si>
    <t>Z:\Grateful Dead\# Studio Albums #\Original Albums\1981 Reckoning (Unreleased mix)\07 I've Been All Around this World.flac</t>
  </si>
  <si>
    <t>I've Been All Around this World</t>
  </si>
  <si>
    <t>Z:\Grateful Dead\# Studio Albums #\Original Albums\1981 Reckoning (Unreleased mix)\08 Monkey and the Engineer.flac</t>
  </si>
  <si>
    <t>Monkey and the Engineer</t>
  </si>
  <si>
    <t>Z:\Grateful Dead\# Studio Albums #\Original Albums\1981 Reckoning (Unreleased mix)\09 Jackaroe.flac</t>
  </si>
  <si>
    <t>Jackaroe</t>
  </si>
  <si>
    <t>Z:\Grateful Dead\# Studio Albums #\Original Albums\1981 Reckoning (Unreleased mix)\10 Deep Elem Blues.flac</t>
  </si>
  <si>
    <t>Z:\Grateful Dead\# Studio Albums #\Original Albums\1981 Reckoning (Unreleased mix)\11 Cassidy.flac</t>
  </si>
  <si>
    <t>Z:\Grateful Dead\# Studio Albums #\Original Albums\1981 Reckoning (Unreleased mix)\12 To Lay Me Down.flac</t>
  </si>
  <si>
    <t>Z:\Grateful Dead\# Studio Albums #\Original Albums\1981 Reckoning (Unreleased mix)\13 Rosalie McFall.flac</t>
  </si>
  <si>
    <t>Rosalie McFall</t>
  </si>
  <si>
    <t>Z:\Grateful Dead\# Studio Albums #\Original Albums\1981 Reckoning (Unreleased mix)\14 On the Road Again.flac</t>
  </si>
  <si>
    <t>On the Road Again</t>
  </si>
  <si>
    <t>Z:\Grateful Dead\# Studio Albums #\Original Albums\1981 Reckoning (Unreleased mix)\15 Birdsong.flac</t>
  </si>
  <si>
    <t>Birdsong</t>
  </si>
  <si>
    <t>Z:\Grateful Dead\# Studio Albums #\Original Albums\1981 Reckoning (Unreleased mix)\16 Ripple.flac</t>
  </si>
  <si>
    <t>Z:\Grateful Dead\# Studio Albums #\Original Albums\1987 In The Dark\01 Touch Of Grey.flac</t>
  </si>
  <si>
    <t>Z:\Grateful Dead\# Studio Albums #\Original Albums\1987 In The Dark\02 Hell In A Bucket.flac</t>
  </si>
  <si>
    <t>Hell In A Bucket</t>
  </si>
  <si>
    <t>Z:\Grateful Dead\# Studio Albums #\Original Albums\1987 In The Dark\03 When Push Comes To Shove.flac</t>
  </si>
  <si>
    <t>Z:\Grateful Dead\# Studio Albums #\Original Albums\1987 In The Dark\04 West L.A. Fadeaway.flac</t>
  </si>
  <si>
    <t>Z:\Grateful Dead\# Studio Albums #\Original Albums\1987 In The Dark\05 Tons Of Steel.flac</t>
  </si>
  <si>
    <t>Tons Of Steel</t>
  </si>
  <si>
    <t>Z:\Grateful Dead\# Studio Albums #\Original Albums\1987 In The Dark\06 Throwing Stones.flac</t>
  </si>
  <si>
    <t>Z:\Grateful Dead\# Studio Albums #\Original Albums\1987 In The Dark\07 Black Muddy River.flac</t>
  </si>
  <si>
    <t>Black Muddy River</t>
  </si>
  <si>
    <t>Z:\Grateful Dead\# Studio Albums #\Original Albums\1989 Built to Last\01 Foolish Heart.flac</t>
  </si>
  <si>
    <t>Z:\Grateful Dead\# Studio Albums #\Original Albums\1989 Built to Last\02 Just A Little Light.flac</t>
  </si>
  <si>
    <t>Just A Little Light</t>
  </si>
  <si>
    <t>Z:\Grateful Dead\# Studio Albums #\Original Albums\1989 Built to Last\03 Built To Last.flac</t>
  </si>
  <si>
    <t>Built To Last</t>
  </si>
  <si>
    <t>Z:\Grateful Dead\# Studio Albums #\Original Albums\1989 Built to Last\04 Blow Away.flac</t>
  </si>
  <si>
    <t>Blow Away</t>
  </si>
  <si>
    <t>Z:\Grateful Dead\# Studio Albums #\Original Albums\1989 Built to Last\05 Victim or the Crime.flac</t>
  </si>
  <si>
    <t>Victim or the Crime</t>
  </si>
  <si>
    <t>Z:\Grateful Dead\# Studio Albums #\Original Albums\1989 Built to Last\06 We Can Run.flac</t>
  </si>
  <si>
    <t>We Can Run</t>
  </si>
  <si>
    <t>Z:\Grateful Dead\# Studio Albums #\Original Albums\1989 Built to Last\07 Standing On The Moon.flac</t>
  </si>
  <si>
    <t>Standing On The Moon</t>
  </si>
  <si>
    <t>Z:\Grateful Dead\# Studio Albums #\Original Albums\1989 Built to Last\08 Picasso Moon.flac</t>
  </si>
  <si>
    <t>Z:\Grateful Dead\# Studio Albums #\Original Albums\1989 Built to Last\09 I Will Take You Home.flac</t>
  </si>
  <si>
    <t>I Will Take You Home</t>
  </si>
  <si>
    <t>Z:\Grateful Dead\# Studio Albums #\Original Albums\1989 Dylan &amp; The Dead (1987) - 24 Bit (192-2)\01 Slow Train (Live).flac</t>
  </si>
  <si>
    <t>Slow Train (Live)</t>
  </si>
  <si>
    <t>Z:\Grateful Dead\# Studio Albums #\Original Albums\1989 Dylan &amp; The Dead (1987) - 24 Bit (192-2)\02 I Want You (Live).flac</t>
  </si>
  <si>
    <t>I Want You (Live)</t>
  </si>
  <si>
    <t>Z:\Grateful Dead\# Studio Albums #\Original Albums\1989 Dylan &amp; The Dead (1987) - 24 Bit (192-2)\03 Gotta Serve Somebody (Live).flac</t>
  </si>
  <si>
    <t>Gotta Serve Somebody (Live)</t>
  </si>
  <si>
    <t>Z:\Grateful Dead\# Studio Albums #\Original Albums\1989 Dylan &amp; The Dead (1987) - 24 Bit (192-2)\04 Queen Jane Approximately (Live).flac</t>
  </si>
  <si>
    <t>Queen Jane Approximately (Live)</t>
  </si>
  <si>
    <t>Z:\Grateful Dead\# Studio Albums #\Original Albums\1989 Dylan &amp; The Dead (1987) - 24 Bit (192-2)\05 Joey (Live).flac</t>
  </si>
  <si>
    <t>Joey (Live)</t>
  </si>
  <si>
    <t>Z:\Grateful Dead\# Studio Albums #\Original Albums\1989 Dylan &amp; The Dead (1987) - 24 Bit (192-2)\06 All Along The Watchtower (Live).flac</t>
  </si>
  <si>
    <t>All Along The Watchtower (Live)</t>
  </si>
  <si>
    <t>Z:\Grateful Dead\# Studio Albums #\Original Albums\1989 Dylan &amp; The Dead (1987) - 24 Bit (192-2)\07 Knockin' On Heaven's Door (Live).flac</t>
  </si>
  <si>
    <t>Knockin' On Heaven's Door (Live)</t>
  </si>
  <si>
    <t>Z:\Grateful Dead\# Studio Albums #\Original Albums\1992-1995 Ready Or Not\A1 - Liberty.flac</t>
  </si>
  <si>
    <t>Liberty - 1994-10-14 - Madison Square Garden</t>
  </si>
  <si>
    <t>Z:\Grateful Dead\# Studio Albums #\Original Albums\1992-1995 Ready Or Not\A2 - Eternity.flac</t>
  </si>
  <si>
    <t>Eternity - 1995-04-02 - Memphis Pyramid</t>
  </si>
  <si>
    <t>Z:\Grateful Dead\# Studio Albums #\Original Albums\1992-1995 Ready Or Not\B1 - Lazy River Road.flac</t>
  </si>
  <si>
    <t>Lazy River Road - 1993-03-25 Dean Dome - Dean Smith Center, Chapel Hill, NC</t>
  </si>
  <si>
    <t>Z:\Grateful Dead\# Studio Albums #\Original Albums\1992-1995 Ready Or Not\B2 - Samba In The Rain.flac</t>
  </si>
  <si>
    <t>Samba In The Rain - unknown</t>
  </si>
  <si>
    <t>Z:\Grateful Dead\# Studio Albums #\Original Albums\1992-1995 Ready Or Not\B3 - So Many Roads.flac</t>
  </si>
  <si>
    <t xml:space="preserve">So Many Roads 1992-06-23 [Star Lake Amphitheater, Burgettstown, PA] </t>
  </si>
  <si>
    <t>Z:\Grateful Dead\# Studio Albums #\Original Albums\1992-1995 Ready Or Not\C1 - Way To Go Home.flac</t>
  </si>
  <si>
    <t>Way To Go Home 1992-06-28 [Deer Creek Music Center, Noblesville, IN]</t>
  </si>
  <si>
    <t>Z:\Grateful Dead\# Studio Albums #\Original Albums\1992-1995 Ready Or Not\C2 - Corrina.flac</t>
  </si>
  <si>
    <t>Corrina - 1994-10-14 MSG</t>
  </si>
  <si>
    <t>Z:\Grateful Dead\# Studio Albums #\Original Albums\1992-1995 Ready Or Not\D1 - Easy Answers.flac</t>
  </si>
  <si>
    <t>Easy Answers - 1993-09-13 - Spectrum, Philly</t>
  </si>
  <si>
    <t>Z:\Grateful Dead\# Studio Albums #\Original Albums\1992-1995 Ready Or Not\D2 - Days Between.flac</t>
  </si>
  <si>
    <t>Days Between - 1994-12-12 - Oakland Arena</t>
  </si>
  <si>
    <t>Z:\Grateful Dead\# Studio Albums #\Original Albums\1995 Earthquake Country (Unfinished Album)\1  Lazy River Road (Garcia,Hunter).flac</t>
  </si>
  <si>
    <t>Lazy River Road (Garcia,hunter)</t>
  </si>
  <si>
    <t>Z:\Grateful Dead\# Studio Albums #\Original Albums\1995 Earthquake Country (Unfinished Album)\3  So Many Roads (Garcia,Hunter).flac</t>
  </si>
  <si>
    <t>So Many Roads (Garcia,hunter)</t>
  </si>
  <si>
    <t>Z:\Grateful Dead\# Studio Albums #\Original Albums\1995 Earthquake Country (Unfinished Album)\4  Wave To The Wind (Lesh,Hunter).flac</t>
  </si>
  <si>
    <t>Wave To The Wind (Lesh,hunter)</t>
  </si>
  <si>
    <t>Z:\Grateful Dead\# Studio Albums #\Original Albums\1995 Earthquake Country (Unfinished Album)\5  Eternity (Weir,Dixon).flac</t>
  </si>
  <si>
    <t>Eternity (Weir,dixon)</t>
  </si>
  <si>
    <t>Z:\Grateful Dead\# Studio Albums #\Original Albums\1995 Earthquake Country (Unfinished Album)\6  The Days Between (Garcia,Hunter).flac</t>
  </si>
  <si>
    <t>The Days Between (Garcia,hunter)</t>
  </si>
  <si>
    <t>Z:\Grateful Dead\# Studio Albums #\Original Albums\1995 Earthquake Country (Unfinished Album)\7  Way To Go Home (Welnick,Hunter,Bralove).flac</t>
  </si>
  <si>
    <t>Way To Go Home (Welnick,hunter,bralove)</t>
  </si>
  <si>
    <t>Z:\Grateful Dead\# Studio Albums #\Original Albums\1995 Earthquake Country (Unfinished Album)\8  Corinna (Weir,Hart,Hunter).flac</t>
  </si>
  <si>
    <t>Corinna (Weir,hart,hunter)</t>
  </si>
  <si>
    <t>Z:\Grateful Dead\# Studio Albums #\Original Albums\1995 Earthquake Country (Unfinished Album)\9  Liberty (Garcia,Hunter).flac</t>
  </si>
  <si>
    <t>Liberty (Garcia,hunter)</t>
  </si>
  <si>
    <t>Z:\Grateful Dead\# Studio Albums #\Studio Albums (24 Bit 192-2)\1967 - The Grateful Dead\01-The Golden Road (To Unlimited Devotion).flac</t>
  </si>
  <si>
    <t>The Golden Road (To Unlimited Devotion)</t>
  </si>
  <si>
    <t>Z:\Grateful Dead\# Studio Albums #\Studio Albums (24 Bit 192-2)\1967 - The Grateful Dead\02-Beat It On Down The Line.flac</t>
  </si>
  <si>
    <t>Z:\Grateful Dead\# Studio Albums #\Studio Albums (24 Bit 192-2)\1967 - The Grateful Dead\03-Good Morning Little School Girl.flac</t>
  </si>
  <si>
    <t>Z:\Grateful Dead\# Studio Albums #\Studio Albums (24 Bit 192-2)\1967 - The Grateful Dead\04-Cold Rain And Snow.flac</t>
  </si>
  <si>
    <t>Z:\Grateful Dead\# Studio Albums #\Studio Albums (24 Bit 192-2)\1967 - The Grateful Dead\05-Sitting On Top Of The World.flac</t>
  </si>
  <si>
    <t>Z:\Grateful Dead\# Studio Albums #\Studio Albums (24 Bit 192-2)\1967 - The Grateful Dead\06-Cream Puff War.flac</t>
  </si>
  <si>
    <t>Z:\Grateful Dead\# Studio Albums #\Studio Albums (24 Bit 192-2)\1967 - The Grateful Dead\07-Morning Dew.flac</t>
  </si>
  <si>
    <t>Z:\Grateful Dead\# Studio Albums #\Studio Albums (24 Bit 192-2)\1967 - The Grateful Dead\08-New New Minglewood Blues.flac</t>
  </si>
  <si>
    <t>New New Minglewood Blues</t>
  </si>
  <si>
    <t>Z:\Grateful Dead\# Studio Albums #\Studio Albums (24 Bit 192-2)\1967 - The Grateful Dead\09-Viola Lee Blues.flac</t>
  </si>
  <si>
    <t>Z:\Grateful Dead\# Studio Albums #\Studio Albums (24 Bit 192-2)\1968 - Anthem Of The Sun\01-That's It For The Other One (Parts I-IV).flac</t>
  </si>
  <si>
    <t>That's It For The Other One (Parts I-IV)</t>
  </si>
  <si>
    <t>Z:\Grateful Dead\# Studio Albums #\Studio Albums (24 Bit 192-2)\1968 - Anthem Of The Sun\02-New Potato Caboose.flac</t>
  </si>
  <si>
    <t>Z:\Grateful Dead\# Studio Albums #\Studio Albums (24 Bit 192-2)\1968 - Anthem Of The Sun\03-Born Cross-Eyed.flac</t>
  </si>
  <si>
    <t>Z:\Grateful Dead\# Studio Albums #\Studio Albums (24 Bit 192-2)\1968 - Anthem Of The Sun\04-Alligator.flac</t>
  </si>
  <si>
    <t>Z:\Grateful Dead\# Studio Albums #\Studio Albums (24 Bit 192-2)\1968 - Anthem Of The Sun\05-Caution (Do Not Stop On The Tracks).flac</t>
  </si>
  <si>
    <t>Caution (Do Not Stop On The Tracks)</t>
  </si>
  <si>
    <t>Z:\Grateful Dead\# Studio Albums #\Studio Albums (24 Bit 192-2)\1969 - Aoxomoxoa\01-St. Stephen.flac</t>
  </si>
  <si>
    <t>Z:\Grateful Dead\# Studio Albums #\Studio Albums (24 Bit 192-2)\1969 - Aoxomoxoa\02-Dupree's Diamond Blues.flac</t>
  </si>
  <si>
    <t>Z:\Grateful Dead\# Studio Albums #\Studio Albums (24 Bit 192-2)\1969 - Aoxomoxoa\03-Rosemary.flac</t>
  </si>
  <si>
    <t>Z:\Grateful Dead\# Studio Albums #\Studio Albums (24 Bit 192-2)\1969 - Aoxomoxoa\04-Doin' That Rag.flac</t>
  </si>
  <si>
    <t>Z:\Grateful Dead\# Studio Albums #\Studio Albums (24 Bit 192-2)\1969 - Aoxomoxoa\05-Mountains Of The Moon.flac</t>
  </si>
  <si>
    <t>Z:\Grateful Dead\# Studio Albums #\Studio Albums (24 Bit 192-2)\1969 - Aoxomoxoa\06-China Cat Sunflower.flac</t>
  </si>
  <si>
    <t>Z:\Grateful Dead\# Studio Albums #\Studio Albums (24 Bit 192-2)\1969 - Aoxomoxoa\07-What's Become Of The Baby.flac</t>
  </si>
  <si>
    <t>Z:\Grateful Dead\# Studio Albums #\Studio Albums (24 Bit 192-2)\1969 - Aoxomoxoa\08-Cosmic Charlie.flac</t>
  </si>
  <si>
    <t>Z:\Grateful Dead\# Studio Albums #\Studio Albums (24 Bit 192-2)\1970 - American Beauty\01-Box Of Rain (Remastered Version).flac</t>
  </si>
  <si>
    <t>Box Of Rain (Remastered Version)</t>
  </si>
  <si>
    <t>Z:\Grateful Dead\# Studio Albums #\Studio Albums (24 Bit 192-2)\1970 - American Beauty\02-Friend Of The Devil (Remastered Version).flac</t>
  </si>
  <si>
    <t>Friend Of The Devil (Remastered Version)</t>
  </si>
  <si>
    <t>Z:\Grateful Dead\# Studio Albums #\Studio Albums (24 Bit 192-2)\1970 - American Beauty\03-Sugar Magnolia (Remastered Version).flac</t>
  </si>
  <si>
    <t>Z:\Grateful Dead\# Studio Albums #\Studio Albums (24 Bit 192-2)\1970 - American Beauty\04-Operator (Remastered Version).flac</t>
  </si>
  <si>
    <t>Operator (Remastered Version)</t>
  </si>
  <si>
    <t>Z:\Grateful Dead\# Studio Albums #\Studio Albums (24 Bit 192-2)\1970 - American Beauty\05-Candyman (Remastered Version).flac</t>
  </si>
  <si>
    <t>Candyman (Remastered Version)</t>
  </si>
  <si>
    <t>Z:\Grateful Dead\# Studio Albums #\Studio Albums (24 Bit 192-2)\1970 - American Beauty\06-Ripple (Remastered Version).flac</t>
  </si>
  <si>
    <t>Ripple (Remastered Version)</t>
  </si>
  <si>
    <t>Z:\Grateful Dead\# Studio Albums #\Studio Albums (24 Bit 192-2)\1970 - American Beauty\07-Brokedown Palace (Remastered Version).flac</t>
  </si>
  <si>
    <t>Brokedown Palace (Remastered Version)</t>
  </si>
  <si>
    <t>Z:\Grateful Dead\# Studio Albums #\Studio Albums (24 Bit 192-2)\1970 - American Beauty\08-Till The Morning Comes (Remastered Version).flac</t>
  </si>
  <si>
    <t>Till The Morning Comes (Remastered Version)</t>
  </si>
  <si>
    <t>Z:\Grateful Dead\# Studio Albums #\Studio Albums (24 Bit 192-2)\1970 - American Beauty\09-Attics Of My Life (Remastered Version).flac</t>
  </si>
  <si>
    <t>Attics Of My Life (Remastered Version)</t>
  </si>
  <si>
    <t>Z:\Grateful Dead\# Studio Albums #\Studio Albums (24 Bit 192-2)\1970 - American Beauty\10-Truckin' (Remastered Version).flac</t>
  </si>
  <si>
    <t>Truckin' (Remastered Version)</t>
  </si>
  <si>
    <t>Z:\Grateful Dead\# Studio Albums #\Studio Albums (24 Bit 192-2)\1970 - Workingman's Dead\01-Uncle John's Band.flac</t>
  </si>
  <si>
    <t>Z:\Grateful Dead\# Studio Albums #\Studio Albums (24 Bit 192-2)\1970 - Workingman's Dead\02-High Time.flac</t>
  </si>
  <si>
    <t>Z:\Grateful Dead\# Studio Albums #\Studio Albums (24 Bit 192-2)\1970 - Workingman's Dead\03-Dire Wolf.flac</t>
  </si>
  <si>
    <t>Z:\Grateful Dead\# Studio Albums #\Studio Albums (24 Bit 192-2)\1970 - Workingman's Dead\04-New Speedway Boogie.flac</t>
  </si>
  <si>
    <t>Z:\Grateful Dead\# Studio Albums #\Studio Albums (24 Bit 192-2)\1970 - Workingman's Dead\05-Cumberland Blues.flac</t>
  </si>
  <si>
    <t>Z:\Grateful Dead\# Studio Albums #\Studio Albums (24 Bit 192-2)\1970 - Workingman's Dead\06-Black Peter.flac</t>
  </si>
  <si>
    <t>Z:\Grateful Dead\# Studio Albums #\Studio Albums (24 Bit 192-2)\1970 - Workingman's Dead\07-Easy Wind.flac</t>
  </si>
  <si>
    <t>Z:\Grateful Dead\# Studio Albums #\Studio Albums (24 Bit 192-2)\1970 - Workingman's Dead\08-Casey Jones.flac</t>
  </si>
  <si>
    <t>Z:\Grateful Dead\# Studio Albums #\Studio Albums (24 Bit 192-2)\1973 - Wake Of The Flood\01-Mississippi Half-Step Uptown Toodeloo.flac</t>
  </si>
  <si>
    <t>Z:\Grateful Dead\# Studio Albums #\Studio Albums (24 Bit 192-2)\1973 - Wake Of The Flood\02-Let Me Sing Your Blues Away.flac</t>
  </si>
  <si>
    <t>Z:\Grateful Dead\# Studio Albums #\Studio Albums (24 Bit 192-2)\1973 - Wake Of The Flood\03-Row Jimmy.flac</t>
  </si>
  <si>
    <t>Z:\Grateful Dead\# Studio Albums #\Studio Albums (24 Bit 192-2)\1973 - Wake Of The Flood\04-Stella Blue.flac</t>
  </si>
  <si>
    <t>Z:\Grateful Dead\# Studio Albums #\Studio Albums (24 Bit 192-2)\1973 - Wake Of The Flood\05-Here Comes Sunshine.flac</t>
  </si>
  <si>
    <t>Z:\Grateful Dead\# Studio Albums #\Studio Albums (24 Bit 192-2)\1973 - Wake Of The Flood\06-Eyes Of The World.flac</t>
  </si>
  <si>
    <t>Z:\Grateful Dead\# Studio Albums #\Studio Albums (24 Bit 192-2)\1973 - Wake Of The Flood\07-Weather Report Suite.flac</t>
  </si>
  <si>
    <t>Z:\Grateful Dead\# Studio Albums #\Studio Albums (24 Bit 192-2)\1974 - From The Mars Hotel\01-U.S. Blues.flac</t>
  </si>
  <si>
    <t>Z:\Grateful Dead\# Studio Albums #\Studio Albums (24 Bit 192-2)\1974 - From The Mars Hotel\02-China Doll.flac</t>
  </si>
  <si>
    <t>Z:\Grateful Dead\# Studio Albums #\Studio Albums (24 Bit 192-2)\1974 - From The Mars Hotel\03-Unbroken Chain.flac</t>
  </si>
  <si>
    <t>Z:\Grateful Dead\# Studio Albums #\Studio Albums (24 Bit 192-2)\1974 - From The Mars Hotel\04-Loose Lucy.flac</t>
  </si>
  <si>
    <t>Z:\Grateful Dead\# Studio Albums #\Studio Albums (24 Bit 192-2)\1974 - From The Mars Hotel\05-Scarlet Begonias.flac</t>
  </si>
  <si>
    <t>Z:\Grateful Dead\# Studio Albums #\Studio Albums (24 Bit 192-2)\1974 - From The Mars Hotel\06-Pride Of Cucamonga.flac</t>
  </si>
  <si>
    <t>Z:\Grateful Dead\# Studio Albums #\Studio Albums (24 Bit 192-2)\1974 - From The Mars Hotel\07-Money Money.flac</t>
  </si>
  <si>
    <t>Z:\Grateful Dead\# Studio Albums #\Studio Albums (24 Bit 192-2)\1974 - From The Mars Hotel\08-Ship Of Fools.flac</t>
  </si>
  <si>
    <t>Z:\Grateful Dead\# Studio Albums #\Studio Albums (24 Bit 192-2)\1975 - Blues For Allah\01-Help On The Way   Slipknot!.flac</t>
  </si>
  <si>
    <t>Help On The Way / Slipknot!</t>
  </si>
  <si>
    <t>Z:\Grateful Dead\# Studio Albums #\Studio Albums (24 Bit 192-2)\1975 - Blues For Allah\02-Franklin's Tower.flac</t>
  </si>
  <si>
    <t>Z:\Grateful Dead\# Studio Albums #\Studio Albums (24 Bit 192-2)\1975 - Blues For Allah\03-King Solomon's Marbles.flac</t>
  </si>
  <si>
    <t>Z:\Grateful Dead\# Studio Albums #\Studio Albums (24 Bit 192-2)\1975 - Blues For Allah\04-The Music Never Stopped.flac</t>
  </si>
  <si>
    <t>Z:\Grateful Dead\# Studio Albums #\Studio Albums (24 Bit 192-2)\1975 - Blues For Allah\05-Crazy Fingers.flac</t>
  </si>
  <si>
    <t>Z:\Grateful Dead\# Studio Albums #\Studio Albums (24 Bit 192-2)\1975 - Blues For Allah\06-Sage &amp; Spirit.flac</t>
  </si>
  <si>
    <t>Z:\Grateful Dead\# Studio Albums #\Studio Albums (24 Bit 192-2)\1975 - Blues For Allah\07-Blues For Allah  Sand Castles And Glass Camels   Unusual Occurrences In The Desert.flac</t>
  </si>
  <si>
    <t>Blues For Allah: Sand Castles And Glass Camels / Unusual Occurrences In The Desert</t>
  </si>
  <si>
    <t>Z:\Grateful Dead\# Studio Albums #\Studio Albums (24 Bit 192-2)\1976 - Steal Your Face\24. The Promised Land .flac</t>
  </si>
  <si>
    <t>Z:\Grateful Dead\# Studio Albums #\Studio Albums (24 Bit 192-2)\1976 - Steal Your Face\25. Cold Rain &amp; Snow.flac</t>
  </si>
  <si>
    <t>Z:\Grateful Dead\# Studio Albums #\Studio Albums (24 Bit 192-2)\1976 - Steal Your Face\26. Around And Around.flac</t>
  </si>
  <si>
    <t>- Around And Around</t>
  </si>
  <si>
    <t>Z:\Grateful Dead\# Studio Albums #\Studio Albums (24 Bit 192-2)\1976 - Steal Your Face\27. Stella Blue.flac</t>
  </si>
  <si>
    <t>Z:\Grateful Dead\# Studio Albums #\Studio Albums (24 Bit 192-2)\1976 - Steal Your Face\28. Mississippi Half-Step Uptown Toodeloo.flac</t>
  </si>
  <si>
    <t>Z:\Grateful Dead\# Studio Albums #\Studio Albums (24 Bit 192-2)\1976 - Steal Your Face\29. Ship Of Fools.flac</t>
  </si>
  <si>
    <t>Z:\Grateful Dead\# Studio Albums #\Studio Albums (24 Bit 192-2)\1976 - Steal Your Face\30. Beat It On Down The Line.flac</t>
  </si>
  <si>
    <t>Z:\Grateful Dead\# Studio Albums #\Studio Albums (24 Bit 192-2)\1976 - Steal Your Face\31. Big River.flac</t>
  </si>
  <si>
    <t>Z:\Grateful Dead\# Studio Albums #\Studio Albums (24 Bit 192-2)\1976 - Steal Your Face\32. Black-Throated Wind.flac</t>
  </si>
  <si>
    <t>Z:\Grateful Dead\# Studio Albums #\Studio Albums (24 Bit 192-2)\1976 - Steal Your Face\33. U.S. Blues.flac</t>
  </si>
  <si>
    <t>Z:\Grateful Dead\# Studio Albums #\Studio Albums (24 Bit 192-2)\1976 - Steal Your Face\34. El Paso.flac</t>
  </si>
  <si>
    <t>Z:\Grateful Dead\# Studio Albums #\Studio Albums (24 Bit 192-2)\1976 - Steal Your Face\35. Sugaree.flac</t>
  </si>
  <si>
    <t>Z:\Grateful Dead\# Studio Albums #\Studio Albums (24 Bit 192-2)\1976 - Steal Your Face\36. It Must Have Been The Roses.flac</t>
  </si>
  <si>
    <t>Z:\Grateful Dead\# Studio Albums #\Studio Albums (24 Bit 192-2)\1976 - Steal Your Face\37. Casey Jones.flac</t>
  </si>
  <si>
    <t>Z:\Grateful Dead\# Studio Albums #\Studio Albums (24 Bit 192-2)\1977 - Terrapin Station\01-Estimated Prophet.flac</t>
  </si>
  <si>
    <t>Z:\Grateful Dead\# Studio Albums #\Studio Albums (24 Bit 192-2)\1977 - Terrapin Station\02-Dancin' In The Streets.flac</t>
  </si>
  <si>
    <t>Z:\Grateful Dead\# Studio Albums #\Studio Albums (24 Bit 192-2)\1977 - Terrapin Station\03-Passenger.flac</t>
  </si>
  <si>
    <t>Z:\Grateful Dead\# Studio Albums #\Studio Albums (24 Bit 192-2)\1977 - Terrapin Station\04-Samson And Delilah.flac</t>
  </si>
  <si>
    <t>Z:\Grateful Dead\# Studio Albums #\Studio Albums (24 Bit 192-2)\1977 - Terrapin Station\05-Sunrise.flac</t>
  </si>
  <si>
    <t>Z:\Grateful Dead\# Studio Albums #\Studio Albums (24 Bit 192-2)\1977 - Terrapin Station\06-Terrapin Station Medley.flac</t>
  </si>
  <si>
    <t>Terrapin Station Medley</t>
  </si>
  <si>
    <t>Z:\Grateful Dead\# Studio Albums #\Studio Albums (24 Bit 192-2)\1978 - Shakedown Street\01-Good Lovin'.flac</t>
  </si>
  <si>
    <t>Z:\Grateful Dead\# Studio Albums #\Studio Albums (24 Bit 192-2)\1978 - Shakedown Street\02-France.flac</t>
  </si>
  <si>
    <t>Z:\Grateful Dead\# Studio Albums #\Studio Albums (24 Bit 192-2)\1978 - Shakedown Street\03-Shakedown Street.flac</t>
  </si>
  <si>
    <t>Z:\Grateful Dead\# Studio Albums #\Studio Albums (24 Bit 192-2)\1978 - Shakedown Street\04-Serengetti.flac</t>
  </si>
  <si>
    <t>Z:\Grateful Dead\# Studio Albums #\Studio Albums (24 Bit 192-2)\1978 - Shakedown Street\05-Fire On The Mountain.flac</t>
  </si>
  <si>
    <t>Z:\Grateful Dead\# Studio Albums #\Studio Albums (24 Bit 192-2)\1978 - Shakedown Street\06-I Need A Miracle.flac</t>
  </si>
  <si>
    <t>Z:\Grateful Dead\# Studio Albums #\Studio Albums (24 Bit 192-2)\1978 - Shakedown Street\07-From The Heart Of Me.flac</t>
  </si>
  <si>
    <t>Z:\Grateful Dead\# Studio Albums #\Studio Albums (24 Bit 192-2)\1978 - Shakedown Street\08-Stagger Lee.flac</t>
  </si>
  <si>
    <t>Z:\Grateful Dead\# Studio Albums #\Studio Albums (24 Bit 192-2)\1978 - Shakedown Street\09-All New Minglewood Blues.flac</t>
  </si>
  <si>
    <t>Z:\Grateful Dead\# Studio Albums #\Studio Albums (24 Bit 192-2)\1978 - Shakedown Street\10-If I Had The World To Give.flac</t>
  </si>
  <si>
    <t>Z:\Grateful Dead\# Studio Albums #\Studio Albums (24 Bit 192-2)\1980 - Go To Heaven\01-Alabama Getaway.flac</t>
  </si>
  <si>
    <t>Z:\Grateful Dead\# Studio Albums #\Studio Albums (24 Bit 192-2)\1980 - Go To Heaven\02-Far From Me.flac</t>
  </si>
  <si>
    <t>Z:\Grateful Dead\# Studio Albums #\Studio Albums (24 Bit 192-2)\1980 - Go To Heaven\03-Althea.flac</t>
  </si>
  <si>
    <t>Z:\Grateful Dead\# Studio Albums #\Studio Albums (24 Bit 192-2)\1980 - Go To Heaven\04-Feel Like A Stranger.flac</t>
  </si>
  <si>
    <t>Z:\Grateful Dead\# Studio Albums #\Studio Albums (24 Bit 192-2)\1980 - Go To Heaven\05-Lost Sailor.flac</t>
  </si>
  <si>
    <t>Z:\Grateful Dead\# Studio Albums #\Studio Albums (24 Bit 192-2)\1980 - Go To Heaven\06-Saint Of Circumstance.flac</t>
  </si>
  <si>
    <t>Z:\Grateful Dead\# Studio Albums #\Studio Albums (24 Bit 192-2)\1980 - Go To Heaven\07-Antwerp's Placebo (The Plumber).flac</t>
  </si>
  <si>
    <t>Z:\Grateful Dead\# Studio Albums #\Studio Albums (24 Bit 192-2)\1980 - Go To Heaven\08-Easy To Love You.flac</t>
  </si>
  <si>
    <t>Z:\Grateful Dead\# Studio Albums #\Studio Albums (24 Bit 192-2)\1980 - Go To Heaven\09-Don't Ease Me In.flac</t>
  </si>
  <si>
    <t>Z:\Grateful Dead\# Studio Albums #\Studio Albums (24 Bit 192-2)\1987 - In The Dark\01-Touch Of Grey.flac</t>
  </si>
  <si>
    <t>Z:\Grateful Dead\# Studio Albums #\Studio Albums (24 Bit 192-2)\1987 - In The Dark\02-Hell In A Bucket.flac</t>
  </si>
  <si>
    <t>Z:\Grateful Dead\# Studio Albums #\Studio Albums (24 Bit 192-2)\1987 - In The Dark\03-When Push Comes To Shove.flac</t>
  </si>
  <si>
    <t>Z:\Grateful Dead\# Studio Albums #\Studio Albums (24 Bit 192-2)\1987 - In The Dark\04-West L.A. Fadeaway.flac</t>
  </si>
  <si>
    <t>Z:\Grateful Dead\# Studio Albums #\Studio Albums (24 Bit 192-2)\1987 - In The Dark\05-Tons Of Steel.flac</t>
  </si>
  <si>
    <t>Z:\Grateful Dead\# Studio Albums #\Studio Albums (24 Bit 192-2)\1987 - In The Dark\06-Throwing Stones.flac</t>
  </si>
  <si>
    <t>Z:\Grateful Dead\# Studio Albums #\Studio Albums (24 Bit 192-2)\1987 - In The Dark\07-Black Muddy River.flac</t>
  </si>
  <si>
    <t>Z:\Grateful Dead\# Studio Albums #\Studio Albums (24 Bit 192-2)\1989 - Built To Last\01-Foolish Heart.flac</t>
  </si>
  <si>
    <t>Z:\Grateful Dead\# Studio Albums #\Studio Albums (24 Bit 192-2)\1989 - Built To Last\02-Just A Little Light.flac</t>
  </si>
  <si>
    <t>Z:\Grateful Dead\# Studio Albums #\Studio Albums (24 Bit 192-2)\1989 - Built To Last\03-Built To Last.flac</t>
  </si>
  <si>
    <t>Z:\Grateful Dead\# Studio Albums #\Studio Albums (24 Bit 192-2)\1989 - Built To Last\04-Blow Away.flac</t>
  </si>
  <si>
    <t>Z:\Grateful Dead\# Studio Albums #\Studio Albums (24 Bit 192-2)\1989 - Built To Last\05-Victim Or The Crime.flac</t>
  </si>
  <si>
    <t>Z:\Grateful Dead\# Studio Albums #\Studio Albums (24 Bit 192-2)\1989 - Built To Last\06-We Can Run.flac</t>
  </si>
  <si>
    <t>Z:\Grateful Dead\# Studio Albums #\Studio Albums (24 Bit 192-2)\1989 - Built To Last\07-Standing On The Moon.flac</t>
  </si>
  <si>
    <t>Z:\Grateful Dead\# Studio Albums #\Studio Albums (24 Bit 192-2)\1989 - Built To Last\08-Picasso Moon.flac</t>
  </si>
  <si>
    <t>Z:\Grateful Dead\# Studio Albums #\Studio Albums (24 Bit 192-2)\1989 - Built To Last\09-I Will Take You Home.flac</t>
  </si>
  <si>
    <t>Z:\Grateful Dead\# Studio Albums #\Studio Albums (24 Bit)\1966 - Historic Dead - 24 Bit (96-2) (Vinyl Rip)\01 Good Morning Little School Girl.flac</t>
  </si>
  <si>
    <t>Z:\Grateful Dead\# Studio Albums #\Studio Albums (24 Bit)\1966 - Historic Dead - 24 Bit (96-2) (Vinyl Rip)\02 Lindy.flac</t>
  </si>
  <si>
    <t>Lindy</t>
  </si>
  <si>
    <t>Z:\Grateful Dead\# Studio Albums #\Studio Albums (24 Bit)\1966 - Historic Dead - 24 Bit (96-2) (Vinyl Rip)\03 Stealin'.flac</t>
  </si>
  <si>
    <t>Z:\Grateful Dead\# Studio Albums #\Studio Albums (24 Bit)\1966 - Historic Dead - 24 Bit (96-2) (Vinyl Rip)\04 The Same Thing.flac</t>
  </si>
  <si>
    <t>Z:\Grateful Dead\# Studio Albums #\Studio Albums (24 Bit)\1966 - Vintage Dead - 24 Bit (96-2) (Vinyl Rip)\05 I Know You Rider.flac</t>
  </si>
  <si>
    <t>Z:\Grateful Dead\# Studio Albums #\Studio Albums (24 Bit)\1966 - Vintage Dead - 24 Bit (96-2) (Vinyl Rip)\06 It Hurts Me Too.flac</t>
  </si>
  <si>
    <t>It Hurts Me Too</t>
  </si>
  <si>
    <t>Z:\Grateful Dead\# Studio Albums #\Studio Albums (24 Bit)\1966 - Vintage Dead - 24 Bit (96-2) (Vinyl Rip)\07 It's All Over Now Baby Blue.flac</t>
  </si>
  <si>
    <t>It's All Over Now Baby Blue</t>
  </si>
  <si>
    <t>Z:\Grateful Dead\# Studio Albums #\Studio Albums (24 Bit)\1966 - Vintage Dead - 24 Bit (96-2) (Vinyl Rip)\08 Dancing In The Streets.flac</t>
  </si>
  <si>
    <t>Z:\Grateful Dead\# Studio Albums #\Studio Albums (24 Bit)\1966 - Vintage Dead - 24 Bit (96-2) (Vinyl Rip)\09 In The Midnight Hour.flac</t>
  </si>
  <si>
    <t>Z:\Grateful Dead\# Studio Albums #\Studio Albums (24 Bit)\1967 - Grateful Dead (5.1 Upmix of remastered version)\01 The Golden Road (To Unlimited Devotion).flac</t>
  </si>
  <si>
    <t>Z:\Grateful Dead\# Studio Albums #\Studio Albums (24 Bit)\1967 - Grateful Dead (5.1 Upmix of remastered version)\02 Beat It Down the Line.flac</t>
  </si>
  <si>
    <t>Beat It Down the Line</t>
  </si>
  <si>
    <t>Z:\Grateful Dead\# Studio Albums #\Studio Albums (24 Bit)\1967 - Grateful Dead (5.1 Upmix of remastered version)\03 Good Morning Little School Girl [Full-Length Version].flac</t>
  </si>
  <si>
    <t>Good Morning Little School Girl [Full-Length Version]</t>
  </si>
  <si>
    <t>Z:\Grateful Dead\# Studio Albums #\Studio Albums (24 Bit)\1967 - Grateful Dead (5.1 Upmix of remastered version)\04 Cold Rain and Snow.flac</t>
  </si>
  <si>
    <t>Z:\Grateful Dead\# Studio Albums #\Studio Albums (24 Bit)\1967 - Grateful Dead (5.1 Upmix of remastered version)\05 Sitting on Top of the World [Full-Length Version].flac</t>
  </si>
  <si>
    <t>Sitting on Top of the World [Full-Length Version]</t>
  </si>
  <si>
    <t>Z:\Grateful Dead\# Studio Albums #\Studio Albums (24 Bit)\1967 - Grateful Dead (5.1 Upmix of remastered version)\06 Cream Puff War [Full-Length Version].flac</t>
  </si>
  <si>
    <t>Cream Puff War [Full-Length Version]</t>
  </si>
  <si>
    <t>Z:\Grateful Dead\# Studio Albums #\Studio Albums (24 Bit)\1967 - Grateful Dead (5.1 Upmix of remastered version)\07 Morning Dew [Full-Length Version].flac</t>
  </si>
  <si>
    <t>Morning Dew [Full-Length Version]</t>
  </si>
  <si>
    <t>Z:\Grateful Dead\# Studio Albums #\Studio Albums (24 Bit)\1967 - Grateful Dead (5.1 Upmix of remastered version)\08 New, New Minglewood Blues [Full-Length Version].flac</t>
  </si>
  <si>
    <t>New, New Minglewood Blues [Full-Length Version]</t>
  </si>
  <si>
    <t>Z:\Grateful Dead\# Studio Albums #\Studio Albums (24 Bit)\1967 - Grateful Dead (5.1 Upmix of remastered version)\09 Viola Lee Blues.flac</t>
  </si>
  <si>
    <t>Z:\Grateful Dead\# Studio Albums #\Studio Albums (24 Bit)\1967 - Grateful Dead (5.1 Upmix of remastered version)\10 Alice D. Millionaire.flac</t>
  </si>
  <si>
    <t>Alice D. Millionaire</t>
  </si>
  <si>
    <t>Z:\Grateful Dead\# Studio Albums #\Studio Albums (24 Bit)\1967 - Grateful Dead (5.1 Upmix of remastered version)\11 Overseas Stomp (The Lindy).flac</t>
  </si>
  <si>
    <t>Overseas Stomp (The Lindy)</t>
  </si>
  <si>
    <t>Z:\Grateful Dead\# Studio Albums #\Studio Albums (24 Bit)\1967 - Grateful Dead (5.1 Upmix of remastered version)\12 Tastebud.flac</t>
  </si>
  <si>
    <t>Tastebud</t>
  </si>
  <si>
    <t>Z:\Grateful Dead\# Studio Albums #\Studio Albums (24 Bit)\1967 - Grateful Dead (5.1 Upmix of remastered version)\13 Death Don't Have No Mercy.flac</t>
  </si>
  <si>
    <t>Z:\Grateful Dead\# Studio Albums #\Studio Albums (24 Bit)\1967 - Grateful Dead (5.1 Upmix of remastered version)\14 Viola Lee Blues [Edited Version.flac</t>
  </si>
  <si>
    <t>Viola Lee Blues [Edited Version</t>
  </si>
  <si>
    <t>Z:\Grateful Dead\# Studio Albums #\Studio Albums (24 Bit)\1967 - Grateful Dead (5.1 Upmix of remastered version)\15 Viola Lee Blues [Live].flac</t>
  </si>
  <si>
    <t>Viola Lee Blues [Live]</t>
  </si>
  <si>
    <t>Z:\Grateful Dead\# Studio Albums #\Studio Albums (24 Bit)\1970 - American Beauty - 24 Bit (96-5.1) (DVD-Audio rip)\01 box of rain.flac</t>
  </si>
  <si>
    <t>Z:\Grateful Dead\# Studio Albums #\Studio Albums (24 Bit)\1970 - American Beauty - 24 Bit (96-5.1) (DVD-Audio rip)\02 friend of the devil.flac</t>
  </si>
  <si>
    <t>Z:\Grateful Dead\# Studio Albums #\Studio Albums (24 Bit)\1970 - American Beauty - 24 Bit (96-5.1) (DVD-Audio rip)\03 sugar magnolia.flac</t>
  </si>
  <si>
    <t>Z:\Grateful Dead\# Studio Albums #\Studio Albums (24 Bit)\1970 - American Beauty - 24 Bit (96-5.1) (DVD-Audio rip)\04 operator.flac</t>
  </si>
  <si>
    <t>Z:\Grateful Dead\# Studio Albums #\Studio Albums (24 Bit)\1970 - American Beauty - 24 Bit (96-5.1) (DVD-Audio rip)\05 candyman.flac</t>
  </si>
  <si>
    <t>Z:\Grateful Dead\# Studio Albums #\Studio Albums (24 Bit)\1970 - American Beauty - 24 Bit (96-5.1) (DVD-Audio rip)\06 ripple.flac</t>
  </si>
  <si>
    <t>Z:\Grateful Dead\# Studio Albums #\Studio Albums (24 Bit)\1970 - American Beauty - 24 Bit (96-5.1) (DVD-Audio rip)\07 brokedown palace.flac</t>
  </si>
  <si>
    <t>Z:\Grateful Dead\# Studio Albums #\Studio Albums (24 Bit)\1970 - American Beauty - 24 Bit (96-5.1) (DVD-Audio rip)\08 till the morning comes.flac</t>
  </si>
  <si>
    <t>Z:\Grateful Dead\# Studio Albums #\Studio Albums (24 Bit)\1970 - American Beauty - 24 Bit (96-5.1) (DVD-Audio rip)\09 attics of my life.flac</t>
  </si>
  <si>
    <t>Z:\Grateful Dead\# Studio Albums #\Studio Albums (24 Bit)\1970 - American Beauty - 24 Bit (96-5.1) (DVD-Audio rip)\10 truckin'.flac</t>
  </si>
  <si>
    <t>Z:\Grateful Dead\# Studio Albums #\Studio Albums (24 Bit)\1970 - Workingman's Dead - 24 Bit (96-5.1) (DVD-Audio rip)\01 uncle john's band.flac</t>
  </si>
  <si>
    <t>Z:\Grateful Dead\# Studio Albums #\Studio Albums (24 Bit)\1970 - Workingman's Dead - 24 Bit (96-5.1) (DVD-Audio rip)\02 high time.flac</t>
  </si>
  <si>
    <t>Z:\Grateful Dead\# Studio Albums #\Studio Albums (24 Bit)\1970 - Workingman's Dead - 24 Bit (96-5.1) (DVD-Audio rip)\03 dire wolf.flac</t>
  </si>
  <si>
    <t>Z:\Grateful Dead\# Studio Albums #\Studio Albums (24 Bit)\1970 - Workingman's Dead - 24 Bit (96-5.1) (DVD-Audio rip)\04 new speedway boogie.flac</t>
  </si>
  <si>
    <t>Z:\Grateful Dead\# Studio Albums #\Studio Albums (24 Bit)\1970 - Workingman's Dead - 24 Bit (96-5.1) (DVD-Audio rip)\05 cumberland blues.flac</t>
  </si>
  <si>
    <t>Z:\Grateful Dead\# Studio Albums #\Studio Albums (24 Bit)\1970 - Workingman's Dead - 24 Bit (96-5.1) (DVD-Audio rip)\06 black peter.flac</t>
  </si>
  <si>
    <t>Z:\Grateful Dead\# Studio Albums #\Studio Albums (24 Bit)\1970 - Workingman's Dead - 24 Bit (96-5.1) (DVD-Audio rip)\07 easy wind.flac</t>
  </si>
  <si>
    <t>Z:\Grateful Dead\# Studio Albums #\Studio Albums (24 Bit)\1970 - Workingman's Dead - 24 Bit (96-5.1) (DVD-Audio rip)\08 casey jones.flac</t>
  </si>
  <si>
    <t>Z:\Grateful Dead\# Studio Albums #\Studio Albums (24 Bit)\1970 - Workingman’s Dead (2023 Mickey Hart Mix) 24 Bit 48k\01 Uncle John's Band.flac</t>
  </si>
  <si>
    <t>Z:\Grateful Dead\# Studio Albums #\Studio Albums (24 Bit)\1970 - Workingman’s Dead (2023 Mickey Hart Mix) 24 Bit 48k\02 High Time.flac</t>
  </si>
  <si>
    <t>Z:\Grateful Dead\# Studio Albums #\Studio Albums (24 Bit)\1970 - Workingman’s Dead (2023 Mickey Hart Mix) 24 Bit 48k\03 Dire Wolf.flac</t>
  </si>
  <si>
    <t>Z:\Grateful Dead\# Studio Albums #\Studio Albums (24 Bit)\1970 - Workingman’s Dead (2023 Mickey Hart Mix) 24 Bit 48k\04 New Speedway Boogie.flac</t>
  </si>
  <si>
    <t>Z:\Grateful Dead\# Studio Albums #\Studio Albums (24 Bit)\1970 - Workingman’s Dead (2023 Mickey Hart Mix) 24 Bit 48k\05 Cumberland Blues.flac</t>
  </si>
  <si>
    <t>Z:\Grateful Dead\# Studio Albums #\Studio Albums (24 Bit)\1970 - Workingman’s Dead (2023 Mickey Hart Mix) 24 Bit 48k\06 Black Peter.flac</t>
  </si>
  <si>
    <t>Z:\Grateful Dead\# Studio Albums #\Studio Albums (24 Bit)\1970 - Workingman’s Dead (2023 Mickey Hart Mix) 24 Bit 48k\07 Easy Wind.flac</t>
  </si>
  <si>
    <t>Z:\Grateful Dead\# Studio Albums #\Studio Albums (24 Bit)\1970 - Workingman’s Dead (2023 Mickey Hart Mix) 24 Bit 48k\08 Casey Jones.flac</t>
  </si>
  <si>
    <t>Z:\Grateful Dead\# Studio Albums #\Studio Albums (24 Bit)\1972 - Europe '72 - 24 Bit 96-5.1 (Upmix)\01 Cumberland Blues.flac</t>
  </si>
  <si>
    <t>Z:\Grateful Dead\# Studio Albums #\Studio Albums (24 Bit)\1972 - Europe '72 - 24 Bit 96-5.1 (Upmix)\02 He's Gone.flac</t>
  </si>
  <si>
    <t>Z:\Grateful Dead\# Studio Albums #\Studio Albums (24 Bit)\1972 - Europe '72 - 24 Bit 96-5.1 (Upmix)\03 One More Saturday Night.flac</t>
  </si>
  <si>
    <t>Z:\Grateful Dead\# Studio Albums #\Studio Albums (24 Bit)\1972 - Europe '72 - 24 Bit 96-5.1 (Upmix)\04 Jack Straw.flac</t>
  </si>
  <si>
    <t>Z:\Grateful Dead\# Studio Albums #\Studio Albums (24 Bit)\1972 - Europe '72 - 24 Bit 96-5.1 (Upmix)\05 You Win Again.flac</t>
  </si>
  <si>
    <t>Z:\Grateful Dead\# Studio Albums #\Studio Albums (24 Bit)\1972 - Europe '72 - 24 Bit 96-5.1 (Upmix)\06 China Cat Sunflower -- I Know You Rider.flac</t>
  </si>
  <si>
    <t>China Cat Sunflower -- I Know You Rider</t>
  </si>
  <si>
    <t>Z:\Grateful Dead\# Studio Albums #\Studio Albums (24 Bit)\1972 - Europe '72 - 24 Bit 96-5.1 (Upmix)\07 Brown-Eyed Woman.flac</t>
  </si>
  <si>
    <t>Z:\Grateful Dead\# Studio Albums #\Studio Albums (24 Bit)\1972 - Europe '72 - 24 Bit 96-5.1 (Upmix)\08 Hurts Me Too.flac</t>
  </si>
  <si>
    <t>Z:\Grateful Dead\# Studio Albums #\Studio Albums (24 Bit)\1972 - Europe '72 - 24 Bit 96-5.1 (Upmix)\09 Ramble On Rose.flac</t>
  </si>
  <si>
    <t>Z:\Grateful Dead\# Studio Albums #\Studio Albums (24 Bit)\1972 - Europe '72 - 24 Bit 96-5.1 (Upmix)\10 Sugar Magnolia.flac</t>
  </si>
  <si>
    <t>Z:\Grateful Dead\# Studio Albums #\Studio Albums (24 Bit)\1972 - Europe '72 - 24 Bit 96-5.1 (Upmix)\11 Mr. Charlie.flac</t>
  </si>
  <si>
    <t>Z:\Grateful Dead\# Studio Albums #\Studio Albums (24 Bit)\1972 - Europe '72 - 24 Bit 96-5.1 (Upmix)\12 Tennessee Jed.flac</t>
  </si>
  <si>
    <t>Z:\Grateful Dead\# Studio Albums #\Studio Albums (24 Bit)\1972 - Europe '72 - 24 Bit 96-5.1 (Upmix)\13 Truckin' -- Epilogue.flac</t>
  </si>
  <si>
    <t>Truckin' -- Epilogue</t>
  </si>
  <si>
    <t>Z:\Grateful Dead\# Studio Albums #\Studio Albums (24 Bit)\1972 - Europe '72 - 24 Bit 96-5.1 (Upmix)\14 Prelude -- Walk Me Out In The Morning Dew.flac</t>
  </si>
  <si>
    <t>Prelude -- Walk Me Out In The Morning Dew</t>
  </si>
  <si>
    <t>Z:\Grateful Dead\# Studio Albums #\Studio Albums (24 Bit)\1974 - From The Mars Hotel (24 Bit (96-2) {SACD})\01 US Blues.flac</t>
  </si>
  <si>
    <t>Z:\Grateful Dead\# Studio Albums #\Studio Albums (24 Bit)\1974 - From The Mars Hotel (24 Bit (96-2) {SACD})\02 China Doll.flac</t>
  </si>
  <si>
    <t>Z:\Grateful Dead\# Studio Albums #\Studio Albums (24 Bit)\1974 - From The Mars Hotel (24 Bit (96-2) {SACD})\03 Unbroken Chain.flac</t>
  </si>
  <si>
    <t>Z:\Grateful Dead\# Studio Albums #\Studio Albums (24 Bit)\1974 - From The Mars Hotel (24 Bit (96-2) {SACD})\04 Loose Lucy.flac</t>
  </si>
  <si>
    <t>Z:\Grateful Dead\# Studio Albums #\Studio Albums (24 Bit)\1974 - From The Mars Hotel (24 Bit (96-2) {SACD})\05 Scarlet Begonias.flac</t>
  </si>
  <si>
    <t>Z:\Grateful Dead\# Studio Albums #\Studio Albums (24 Bit)\1974 - From The Mars Hotel (24 Bit (96-2) {SACD})\06 Pride of Cucamonga.flac</t>
  </si>
  <si>
    <t>Z:\Grateful Dead\# Studio Albums #\Studio Albums (24 Bit)\1974 - From The Mars Hotel (24 Bit (96-2) {SACD})\07 Money Money.flac</t>
  </si>
  <si>
    <t>Z:\Grateful Dead\# Studio Albums #\Studio Albums (24 Bit)\1974 - From The Mars Hotel (24 Bit (96-2) {SACD})\08 Ship of Fools.flac</t>
  </si>
  <si>
    <t>Z:\Grateful Dead\# Studio Albums #\Studio Albums (24 Bit)\1975 - Blues For Allah (24 Bit (96-2) {SACD})\01 Help On The Way-Slipknot!.flac</t>
  </si>
  <si>
    <t>Help On The Way-Slipknot!</t>
  </si>
  <si>
    <t>Z:\Grateful Dead\# Studio Albums #\Studio Albums (24 Bit)\1975 - Blues For Allah (24 Bit (96-2) {SACD})\02 Franklin's Tower.flac</t>
  </si>
  <si>
    <t>Z:\Grateful Dead\# Studio Albums #\Studio Albums (24 Bit)\1975 - Blues For Allah (24 Bit (96-2) {SACD})\03 King Solomon's Marbles.flac</t>
  </si>
  <si>
    <t>Z:\Grateful Dead\# Studio Albums #\Studio Albums (24 Bit)\1975 - Blues For Allah (24 Bit (96-2) {SACD})\04 The Music Never Stopped.flac</t>
  </si>
  <si>
    <t>Z:\Grateful Dead\# Studio Albums #\Studio Albums (24 Bit)\1975 - Blues For Allah (24 Bit (96-2) {SACD})\05 Crazy Fingers.flac</t>
  </si>
  <si>
    <t>Z:\Grateful Dead\# Studio Albums #\Studio Albums (24 Bit)\1975 - Blues For Allah (24 Bit (96-2) {SACD})\06 Sage &amp; Spirit.flac</t>
  </si>
  <si>
    <t>Z:\Grateful Dead\# Studio Albums #\Studio Albums (24 Bit)\1975 - Blues For Allah (24 Bit (96-2) {SACD})\07 Blues For Allah.flac</t>
  </si>
  <si>
    <t>Z:\Grateful Dead\# Studio Albums #\Studio Albums (24 Bit)\1980 -  Dead Set - 24 Bit (96-2)\01 Samson and Delilah.flac</t>
  </si>
  <si>
    <t>Z:\Grateful Dead\# Studio Albums #\Studio Albums (24 Bit)\1980 -  Dead Set - 24 Bit (96-2)\02 Friend of the Devil.flac</t>
  </si>
  <si>
    <t>Z:\Grateful Dead\# Studio Albums #\Studio Albums (24 Bit)\1980 -  Dead Set - 24 Bit (96-2)\03 New Minglewood Blues.flac</t>
  </si>
  <si>
    <t>Z:\Grateful Dead\# Studio Albums #\Studio Albums (24 Bit)\1980 -  Dead Set - 24 Bit (96-2)\04 Deal.flac</t>
  </si>
  <si>
    <t>Z:\Grateful Dead\# Studio Albums #\Studio Albums (24 Bit)\1980 -  Dead Set - 24 Bit (96-2)\05 Candyman.flac</t>
  </si>
  <si>
    <t>Z:\Grateful Dead\# Studio Albums #\Studio Albums (24 Bit)\1980 -  Dead Set - 24 Bit (96-2)\06 Little Red Rooster.flac</t>
  </si>
  <si>
    <t>Z:\Grateful Dead\# Studio Albums #\Studio Albums (24 Bit)\1980 -  Dead Set - 24 Bit (96-2)\07 Loser.flac</t>
  </si>
  <si>
    <t>Z:\Grateful Dead\# Studio Albums #\Studio Albums (24 Bit)\1980 -  Dead Set - 24 Bit (96-2)\08 Passenger.flac</t>
  </si>
  <si>
    <t>Z:\Grateful Dead\# Studio Albums #\Studio Albums (24 Bit)\1980 -  Dead Set - 24 Bit (96-2)\09 Feel Like a Stranger.flac</t>
  </si>
  <si>
    <t>Z:\Grateful Dead\# Studio Albums #\Studio Albums (24 Bit)\1980 -  Dead Set - 24 Bit (96-2)\10 Franklin's Tower.flac</t>
  </si>
  <si>
    <t>Z:\Grateful Dead\# Studio Albums #\Studio Albums (24 Bit)\1980 -  Dead Set - 24 Bit (96-2)\11 Rhythm Devils.flac</t>
  </si>
  <si>
    <t>Z:\Grateful Dead\# Studio Albums #\Studio Albums (24 Bit)\1980 -  Dead Set - 24 Bit (96-2)\12 Space.flac</t>
  </si>
  <si>
    <t>Z:\Grateful Dead\# Studio Albums #\Studio Albums (24 Bit)\1980 -  Dead Set - 24 Bit (96-2)\13 Fire on the Mountain.flac</t>
  </si>
  <si>
    <t>Z:\Grateful Dead\# Studio Albums #\Studio Albums (24 Bit)\1980 -  Dead Set - 24 Bit (96-2)\14 Greatest Story Ever Told.flac</t>
  </si>
  <si>
    <t>Z:\Grateful Dead\# Studio Albums #\Studio Albums (24 Bit)\1980 -  Dead Set - 24 Bit (96-2)\15 Brokedown Palace.flac</t>
  </si>
  <si>
    <t>Z:\Grateful Dead\# Studio Albums #\Studio Albums (24 Bit)\1980 -  Dead Set - 24 Bit (96-2)\16 Let It Grow.flac</t>
  </si>
  <si>
    <t>Z:\Grateful Dead\# Studio Albums #\Studio Albums (24 Bit)\1980 -  Dead Set - 24 Bit (96-2)\17 Sugaree.flac</t>
  </si>
  <si>
    <t>Z:\Grateful Dead\# Studio Albums #\Studio Albums (24 Bit)\1980 -  Dead Set - 24 Bit (96-2)\18 C. C. Rider.flac</t>
  </si>
  <si>
    <t>C. C. Rider</t>
  </si>
  <si>
    <t>Z:\Grateful Dead\# Studio Albums #\Studio Albums (24 Bit)\1980 -  Dead Set - 24 Bit (96-2)\19 Row Jimmy.flac</t>
  </si>
  <si>
    <t>Z:\Grateful Dead\# Studio Albums #\Studio Albums (24 Bit)\1980 -  Dead Set - 24 Bit (96-2)\20 Lazy Lightnin'.flac</t>
  </si>
  <si>
    <t>Z:\Grateful Dead\# Studio Albums #\Studio Albums (24 Bit)\1980 -  Dead Set - 24 Bit (96-2)\21 Supplication.flac</t>
  </si>
  <si>
    <t>Z:\Grateful Dead\# Studio Albums #\Studio Albums (24 Bit)\1980 -  Dead Set - 24 Bit (96-2)\22 High Time.flac</t>
  </si>
  <si>
    <t>Z:\Grateful Dead\# Studio Albums #\Studio Albums (24 Bit)\1980 -  Dead Set - 24 Bit (96-2)\23 Jack Straw.flac</t>
  </si>
  <si>
    <t>Z:\Grateful Dead\# Studio Albums #\Studio Albums (24 Bit)\1980 -  Dead Set - 24 Bit (96-2)\24 Shakedown Street.flac</t>
  </si>
  <si>
    <t>Z:\Grateful Dead\# Studio Albums #\Studio Albums (24 Bit)\1980 -  Dead Set - 24 Bit (96-2)\25 Not Fade Away.flac</t>
  </si>
  <si>
    <t>Z:\Grateful Dead\# Studio Albums #\Studio Albums (24 Bit)\1981 - Reckoning - 24 Bit (96-2)\01 Dire Wolf.flac</t>
  </si>
  <si>
    <t>Z:\Grateful Dead\# Studio Albums #\Studio Albums (24 Bit)\1981 - Reckoning - 24 Bit (96-2)\02 The Race Is On.flac</t>
  </si>
  <si>
    <t>Z:\Grateful Dead\# Studio Albums #\Studio Albums (24 Bit)\1981 - Reckoning - 24 Bit (96-2)\03 Oh Babe It Ain't No Lie.flac</t>
  </si>
  <si>
    <t>Z:\Grateful Dead\# Studio Albums #\Studio Albums (24 Bit)\1981 - Reckoning - 24 Bit (96-2)\04 It Must Have Been The Roses.flac</t>
  </si>
  <si>
    <t>Z:\Grateful Dead\# Studio Albums #\Studio Albums (24 Bit)\1981 - Reckoning - 24 Bit (96-2)\05 Dark Hollow.flac</t>
  </si>
  <si>
    <t>Z:\Grateful Dead\# Studio Albums #\Studio Albums (24 Bit)\1981 - Reckoning - 24 Bit (96-2)\06 China Doll.flac</t>
  </si>
  <si>
    <t>Z:\Grateful Dead\# Studio Albums #\Studio Albums (24 Bit)\1981 - Reckoning - 24 Bit (96-2)\07 Been All Around This World.flac</t>
  </si>
  <si>
    <t>Z:\Grateful Dead\# Studio Albums #\Studio Albums (24 Bit)\1981 - Reckoning - 24 Bit (96-2)\08 Monkey And The Engineer.flac</t>
  </si>
  <si>
    <t>Z:\Grateful Dead\# Studio Albums #\Studio Albums (24 Bit)\1981 - Reckoning - 24 Bit (96-2)\09 Jack-A-Roe.flac</t>
  </si>
  <si>
    <t>Z:\Grateful Dead\# Studio Albums #\Studio Albums (24 Bit)\1981 - Reckoning - 24 Bit (96-2)\10 Deep Elem Blues.flac</t>
  </si>
  <si>
    <t>Z:\Grateful Dead\# Studio Albums #\Studio Albums (24 Bit)\1981 - Reckoning - 24 Bit (96-2)\11 Cassidy.flac</t>
  </si>
  <si>
    <t>Z:\Grateful Dead\# Studio Albums #\Studio Albums (24 Bit)\1981 - Reckoning - 24 Bit (96-2)\12 To Lay Me Down.flac</t>
  </si>
  <si>
    <t>Z:\Grateful Dead\# Studio Albums #\Studio Albums (24 Bit)\1981 - Reckoning - 24 Bit (96-2)\13 Rosalie McFall.flac</t>
  </si>
  <si>
    <t>Z:\Grateful Dead\# Studio Albums #\Studio Albums (24 Bit)\1981 - Reckoning - 24 Bit (96-2)\14 On The Road Again.flac</t>
  </si>
  <si>
    <t>Z:\Grateful Dead\# Studio Albums #\Studio Albums (24 Bit)\1981 - Reckoning - 24 Bit (96-2)\15 Bird Song.flac</t>
  </si>
  <si>
    <t>Z:\Grateful Dead\# Studio Albums #\Studio Albums (24 Bit)\1981 - Reckoning - 24 Bit (96-2)\16 Ripple.flac</t>
  </si>
  <si>
    <t>Z:\Grateful Dead\# Studio Albums #\Studio Albums (24 Bit)\1981 - Reckoning - 24 Bit (96-2)\17 To Lay Me Down (Studio Rehearsal).flac</t>
  </si>
  <si>
    <t>To Lay Me Down (Studio Rehearsal)</t>
  </si>
  <si>
    <t>Z:\Grateful Dead\# Studio Albums #\Studio Albums (24 Bit)\1981 - Reckoning - 24 Bit (96-2)\18 Iko Iko.flac</t>
  </si>
  <si>
    <t>Z:\Grateful Dead\# Studio Albums #\Studio Albums (24 Bit)\1981 - Reckoning - 24 Bit (96-2)\19 Heaven Help the Fool.flac</t>
  </si>
  <si>
    <t>Heaven Help the Fool</t>
  </si>
  <si>
    <t>Z:\Grateful Dead\# Studio Albums #\Studio Albums (24 Bit)\1981 - Reckoning - 24 Bit (96-2)\20 El Paso.flac</t>
  </si>
  <si>
    <t>Z:\Grateful Dead\# Studio Albums #\Studio Albums (24 Bit)\1981 - Reckoning - 24 Bit (96-2)\21 Sage &amp; Spirit.flac</t>
  </si>
  <si>
    <t>Z:\Grateful Dead\# Studio Albums #\Studio Albums (24 Bit)\1981 - Reckoning - 24 Bit (96-2)\22 Little Sadie.flac</t>
  </si>
  <si>
    <t>Z:\Grateful Dead\# Studio Albums #\Studio Albums (24 Bit)\1981 - Reckoning - 24 Bit (96-2)\23 It Must Have Been The Roses (Alternate Live Version).flac</t>
  </si>
  <si>
    <t>It Must Have Been The Roses (Alternate Live Version)</t>
  </si>
  <si>
    <t>Z:\Grateful Dead\# Studio Albums #\Studio Albums (24 Bit)\1981 - Reckoning - 24 Bit (96-2)\24 Dark Hollow (Alternate Live Version).flac</t>
  </si>
  <si>
    <t>Dark Hollow (Alternate Live Version)</t>
  </si>
  <si>
    <t>Z:\Grateful Dead\# Studio Albums #\Studio Albums (24 Bit)\1981 - Reckoning - 24 Bit (96-2)\25 Jack-A-Roe (Alternate Live Version).flac</t>
  </si>
  <si>
    <t>Jack-A-Roe (Alternate Live Version)</t>
  </si>
  <si>
    <t>Z:\Grateful Dead\# Studio Albums #\Studio Albums (24 Bit)\1981 - Reckoning - 24 Bit (96-2)\26 Cassidy (Alternate Live Version).flac</t>
  </si>
  <si>
    <t>Cassidy (Alternate Live Version)</t>
  </si>
  <si>
    <t>Z:\Grateful Dead\# Studio Albums #\Studio Albums (24 Bit)\1981 - Reckoning - 24 Bit (96-2)\27 China Doll (Alternate Live Version).flac</t>
  </si>
  <si>
    <t>China Doll (Alternate Live Version)</t>
  </si>
  <si>
    <t>Z:\Grateful Dead\# Studio Albums #\Studio Albums (24 Bit)\1981 - Reckoning - 24 Bit (96-2)\28 Monkey And The Engineer (Alternate Live Version).flac</t>
  </si>
  <si>
    <t>Monkey And The Engineer (Alternate Live Version)</t>
  </si>
  <si>
    <t>Z:\Grateful Dead\# Studio Albums #\Studio Albums (24 Bit)\1981 - Reckoning - 24 Bit (96-2)\29 Oh Babe It Ain't No Lie (Alternate Live Version).flac</t>
  </si>
  <si>
    <t>Oh Babe It Ain't No Lie (Alternate Live Version)</t>
  </si>
  <si>
    <t>Z:\Grateful Dead\# Studio Albums #\Studio Albums (24 Bit)\1981 - Reckoning - 24 Bit (96-2)\30 Ripple (Alternate Live Version).flac</t>
  </si>
  <si>
    <t>Ripple (Alternate Live Version)</t>
  </si>
  <si>
    <t>Z:\Grateful Dead\# Studio Albums #\Studio Albums (24 Bit)\1981 - Reckoning - 24 Bit (96-2)\31 Tom Dooley.flac</t>
  </si>
  <si>
    <t>Tom Dooley</t>
  </si>
  <si>
    <t>Z:\Grateful Dead\# Studio Albums #\Studio Albums (24 Bit)\1981 - Reckoning - 24 Bit (96-2)\32 Deep Elem Blues (Alternate Live Version).flac</t>
  </si>
  <si>
    <t>Deep Elem Blues (Alternate Live Version)</t>
  </si>
  <si>
    <t>Z:\Grateful Dead\# Studio Albums #\Studio Albums - Live\1966- 1967 The Grateful Dead Live\01 The Golden Road (To Unlimited Devotion).flac</t>
  </si>
  <si>
    <t>Z:\Grateful Dead\# Studio Albums #\Studio Albums - Live\1966- 1967 The Grateful Dead Live\02 Beat It On Down The Line  03-18-67.flac</t>
  </si>
  <si>
    <t>Beat It On Down The Line  03-18-67</t>
  </si>
  <si>
    <t>Z:\Grateful Dead\# Studio Albums #\Studio Albums - Live\1966- 1967 The Grateful Dead Live\03 Good Morning, Little School Girl  11-29-66.flac</t>
  </si>
  <si>
    <t>Good Morning, Little School Girl  11-29-66</t>
  </si>
  <si>
    <t>Z:\Grateful Dead\# Studio Albums #\Studio Albums - Live\1966- 1967 The Grateful Dead Live\04 Cold Rain And Snow  03-18-67.flac</t>
  </si>
  <si>
    <t>Cold Rain And Snow  03-18-67</t>
  </si>
  <si>
    <t>Z:\Grateful Dead\# Studio Albums #\Studio Albums - Live\1966- 1967 The Grateful Dead Live\05 Sittin' On Top Of The World  05-19-66.flac</t>
  </si>
  <si>
    <t>Sittin' On Top Of The World  05-19-66</t>
  </si>
  <si>
    <t>Z:\Grateful Dead\# Studio Albums #\Studio Albums - Live\1966- 1967 The Grateful Dead Live\06 Cream Puff War  11-19-66.flac</t>
  </si>
  <si>
    <t>Cream Puff War  11-19-66</t>
  </si>
  <si>
    <t>Z:\Grateful Dead\# Studio Albums #\Studio Albums - Live\1966- 1967 The Grateful Dead Live\07 Morning Dew  10-22-67.flac</t>
  </si>
  <si>
    <t>Morning Dew  10-22-67</t>
  </si>
  <si>
    <t>Z:\Grateful Dead\# Studio Albums #\Studio Albums - Live\1966- 1967 The Grateful Dead Live\08 New, New Minglewood Blues  07-30-67.flac</t>
  </si>
  <si>
    <t>New, New Minglewood Blues  07-30-67</t>
  </si>
  <si>
    <t>Z:\Grateful Dead\# Studio Albums #\Studio Albums - Live\1966- 1967 The Grateful Dead Live\09 Viola Lee Blues  07-03-66 (except the Bill Graham intro).flac</t>
  </si>
  <si>
    <t>Viola Lee Blues  07-03-66 (except the Bill Graham intro)</t>
  </si>
  <si>
    <t>Z:\Grateful Dead\# Studio Albums #\Studio Albums - Live\1968- 1968 Anthem Of The Sun Live\01   That's It For The Other One  11-01-68.flac</t>
  </si>
  <si>
    <t>That's It For The Other One  11-01-68</t>
  </si>
  <si>
    <t>Z:\Grateful Dead\# Studio Albums #\Studio Albums - Live\1968- 1968 Anthem Of The Sun Live\02   New Potato Caboose   08-22-68.flac</t>
  </si>
  <si>
    <t>New Potato Caboose   08-22-68</t>
  </si>
  <si>
    <t>Z:\Grateful Dead\# Studio Albums #\Studio Albums - Live\1968- 1968 Anthem Of The Sun Live\03   Born Cross-Eyed   01-17-68.flac</t>
  </si>
  <si>
    <t>Born Cross-Eyed   01-17-68</t>
  </si>
  <si>
    <t>Z:\Grateful Dead\# Studio Albums #\Studio Albums - Live\1968- 1968 Anthem Of The Sun Live\04   Alligator   05-xx-68.flac</t>
  </si>
  <si>
    <t>Alligator   05-xx-68</t>
  </si>
  <si>
    <t>Z:\Grateful Dead\# Studio Albums #\Studio Albums - Live\1968- 1968 Anthem Of The Sun Live\05   Caution (Do Not Stop On Tracks)   05-xx-68.flac</t>
  </si>
  <si>
    <t>Caution (Do Not Stop On Tracks)   05-xx-68</t>
  </si>
  <si>
    <t>Z:\Grateful Dead\# Studio Albums #\Studio Albums - Live\1968- 1968 Anthem Of The Sun Live\06   Feedback   11-01-68.flac</t>
  </si>
  <si>
    <t>Feedback   11-01-68</t>
  </si>
  <si>
    <t>Z:\Grateful Dead\# Studio Albums #\Studio Albums - Live\1968- 1969 Aoxomoxoa Live\01 St. Stephen  68-10-12.flac</t>
  </si>
  <si>
    <t>St. Stephen  68-10-12</t>
  </si>
  <si>
    <t>Z:\Grateful Dead\# Studio Albums #\Studio Albums - Live\1968- 1969 Aoxomoxoa Live\02 Dupree's Diamond Blues  69-02-15.flac</t>
  </si>
  <si>
    <t>Dupree's Diamond Blues  69-02-15</t>
  </si>
  <si>
    <t>Z:\Grateful Dead\# Studio Albums #\Studio Albums - Live\1968- 1969 Aoxomoxoa Live\03 Rosemary  68-12-07.flac</t>
  </si>
  <si>
    <t>Rosemary  68-12-07</t>
  </si>
  <si>
    <t>Z:\Grateful Dead\# Studio Albums #\Studio Albums - Live\1968- 1969 Aoxomoxoa Live\04 Doin' That Rag  69-06-07.flac</t>
  </si>
  <si>
    <t>Doin' That Rag  69-06-07</t>
  </si>
  <si>
    <t>Z:\Grateful Dead\# Studio Albums #\Studio Albums - Live\1968- 1969 Aoxomoxoa Live\05 Mountains Of The Moon  69-02-15.flac</t>
  </si>
  <si>
    <t>Mountains Of The Moon  69-02-15</t>
  </si>
  <si>
    <t>Z:\Grateful Dead\# Studio Albums #\Studio Albums - Live\1968- 1969 Aoxomoxoa Live\06 China Cat Sunflower 69-04-05.flac</t>
  </si>
  <si>
    <t>China Cat Sunflower 69-04-05</t>
  </si>
  <si>
    <t>Z:\Grateful Dead\# Studio Albums #\Studio Albums - Live\1968- 1969 Aoxomoxoa Live\07 What's Become Of The Baby  69-04-26.flac</t>
  </si>
  <si>
    <t>What's Become Of The Baby  69-04-26</t>
  </si>
  <si>
    <t>Z:\Grateful Dead\# Studio Albums #\Studio Albums - Live\1968- 1969 Aoxomoxoa Live\08 Cosmic Charlie 69-06-05.flac</t>
  </si>
  <si>
    <t>Cosmic Charlie 69-06-05</t>
  </si>
  <si>
    <t>Z:\Grateful Dead\# Studio Albums #\Studio Albums - Live\1970- 1970 Workingman's Dead Live\01  Uncle John's Band  06-06-70.flac</t>
  </si>
  <si>
    <t>Uncle John's Band  06-06-70</t>
  </si>
  <si>
    <t>Z:\Grateful Dead\# Studio Albums #\Studio Albums - Live\1970- 1970 Workingman's Dead Live\02  High Time  02-11-70.flac</t>
  </si>
  <si>
    <t>High Time  02-11-70</t>
  </si>
  <si>
    <t>Z:\Grateful Dead\# Studio Albums #\Studio Albums - Live\1970- 1970 Workingman's Dead Live\03  Dire Wolf  01-16-70.flac</t>
  </si>
  <si>
    <t>Dire Wolf  01-16-70</t>
  </si>
  <si>
    <t>Z:\Grateful Dead\# Studio Albums #\Studio Albums - Live\1970- 1970 Workingman's Dead Live\04  New Speedway Boogie  06-07-70.flac</t>
  </si>
  <si>
    <t>New Speedway Boogie  06-07-70</t>
  </si>
  <si>
    <t>Z:\Grateful Dead\# Studio Albums #\Studio Albums - Live\1970- 1970 Workingman's Dead Live\05  Cumberland Blues  01-02-70b.flac</t>
  </si>
  <si>
    <t>Cumberland Blues  01-02-70b</t>
  </si>
  <si>
    <t>Z:\Grateful Dead\# Studio Albums #\Studio Albums - Live\1970- 1970 Workingman's Dead Live\06  Black Peter  01-03-70.flac</t>
  </si>
  <si>
    <t>Black Peter  01-03-70</t>
  </si>
  <si>
    <t>Z:\Grateful Dead\# Studio Albums #\Studio Albums - Live\1970- 1970 Workingman's Dead Live\07  Easy Wind  02-27-70.flac</t>
  </si>
  <si>
    <t>Easy Wind  02-27-70</t>
  </si>
  <si>
    <t>Z:\Grateful Dead\# Studio Albums #\Studio Albums - Live\1970- 1970 Workingman's Dead Live\08  Casey Jones .flac</t>
  </si>
  <si>
    <t>Z:\Grateful Dead\# Studio Albums #\Studio Albums - Live\1970- 1971 American Beauty Live\01  Box Of Rain 09-17-70.flac</t>
  </si>
  <si>
    <t>Box Of Rain 09-17-70</t>
  </si>
  <si>
    <t>Z:\Grateful Dead\# Studio Albums #\Studio Albums - Live\1970- 1971 American Beauty Live\02  Friend Of The Devil  11-08-70.flac</t>
  </si>
  <si>
    <t>Friend Of The Devil  11-08-70</t>
  </si>
  <si>
    <t>Z:\Grateful Dead\# Studio Albums #\Studio Albums - Live\1970- 1971 American Beauty Live\03  Sugar Magnolia  (2)  06-07-70.flac</t>
  </si>
  <si>
    <t>Sugar Magnolia  (2)  06-07-70</t>
  </si>
  <si>
    <t>Z:\Grateful Dead\# Studio Albums #\Studio Albums - Live\1970- 1971 American Beauty Live\04  Operator  11-07-70.flac</t>
  </si>
  <si>
    <t>Operator  11-07-70</t>
  </si>
  <si>
    <t>Z:\Grateful Dead\# Studio Albums #\Studio Albums - Live\1970- 1971 American Beauty Live\05  Candyman  11-06-70.flac</t>
  </si>
  <si>
    <t>Candyman  11-06-70</t>
  </si>
  <si>
    <t>Z:\Grateful Dead\# Studio Albums #\Studio Albums - Live\1970- 1971 American Beauty Live\06  Ripple  11-08-70.flac</t>
  </si>
  <si>
    <t>Ripple  11-08-70</t>
  </si>
  <si>
    <t>Z:\Grateful Dead\# Studio Albums #\Studio Albums - Live\1970- 1971 American Beauty Live\07  Brokedown  08-06-71.flac</t>
  </si>
  <si>
    <t>Brokedown  08-06-71</t>
  </si>
  <si>
    <t>Z:\Grateful Dead\# Studio Albums #\Studio Albums - Live\1970- 1971 American Beauty Live\08  Till The Morning Comes  10-11-70.flac</t>
  </si>
  <si>
    <t>Till The Morning Comes  10-11-70</t>
  </si>
  <si>
    <t>Z:\Grateful Dead\# Studio Albums #\Studio Albums - Live\1970- 1971 American Beauty Live\09  Attics Of My Life  06-24-70.flac</t>
  </si>
  <si>
    <t>Attics Of My Life  06-24-70</t>
  </si>
  <si>
    <t>Z:\Grateful Dead\# Studio Albums #\Studio Albums - Live\1970- 1971 American Beauty Live\10  Truckin'  08-18-70.flac</t>
  </si>
  <si>
    <t>Truckin'  08-18-70</t>
  </si>
  <si>
    <t>Z:\Grateful Dead\# Studio Albums #\Studio Albums - Live\1972- 1972 Europe '72 Live\01 Truckin'.flac</t>
  </si>
  <si>
    <t>Z:\Grateful Dead\# Studio Albums #\Studio Albums - Live\1972- 1972 Europe '72 Live\02 Epilogue.flac</t>
  </si>
  <si>
    <t>Z:\Grateful Dead\# Studio Albums #\Studio Albums - Live\1972- 1972 Europe '72 Live\03 Prelude.flac</t>
  </si>
  <si>
    <t>Z:\Grateful Dead\# Studio Albums #\Studio Albums - Live\1972- 1972 Europe '72 Live\04 Morning Dew.flac</t>
  </si>
  <si>
    <t>Z:\Grateful Dead\# Studio Albums #\Studio Albums - Live\1972- 1972 Europe '72 Live\05 Looks Like Rain.flac</t>
  </si>
  <si>
    <t>Z:\Grateful Dead\# Studio Albums #\Studio Albums - Live\1972- 1972 Europe '72 Live\06 Good Lovin'.flac</t>
  </si>
  <si>
    <t>Z:\Grateful Dead\# Studio Albums #\Studio Albums - Live\1972- 1972 Europe '72 Live\07 Caution (Do Not Stop on Tracks).flac</t>
  </si>
  <si>
    <t>Z:\Grateful Dead\# Studio Albums #\Studio Albums - Live\1972- 1972 Europe '72 Live\08 Who Do You Love.flac</t>
  </si>
  <si>
    <t>Who Do You Love</t>
  </si>
  <si>
    <t>Z:\Grateful Dead\# Studio Albums #\Studio Albums - Live\1972- 1972 Europe '72 Live\09 Caution (Do Not Stop on Tracks).flac</t>
  </si>
  <si>
    <t>Z:\Grateful Dead\# Studio Albums #\Studio Albums - Live\1972- 1972 Europe '72 Live\10 Good Lovin'.flac</t>
  </si>
  <si>
    <t>Z:\Grateful Dead\# Studio Albums #\Studio Albums - Live\1972- 1972 Europe '72 Live\11 Bob's Dog Story.flac</t>
  </si>
  <si>
    <t>Bob's Dog Story</t>
  </si>
  <si>
    <t>Z:\Grateful Dead\# Studio Albums #\Studio Albums - Live\1973- 1973 Wake Of The Flood Live\01  Mississippi Half-Step Uptown Toodeloo  10-19-73.flac</t>
  </si>
  <si>
    <t>Mississippi Half-Step Uptown Toodeloo  10-19-73</t>
  </si>
  <si>
    <t>Z:\Grateful Dead\# Studio Albums #\Studio Albums - Live\1973- 1973 Wake Of The Flood Live\02  Let Me Sing Your Blues Away  09-17-73 #.flac</t>
  </si>
  <si>
    <t>Let Me Sing Your Blues Away  09-17-73 #</t>
  </si>
  <si>
    <t>Z:\Grateful Dead\# Studio Albums #\Studio Albums - Live\1973- 1973 Wake Of The Flood Live\03  Row Jimmy  11-14-73.flac</t>
  </si>
  <si>
    <t>Row Jimmy  11-14-73</t>
  </si>
  <si>
    <t>Z:\Grateful Dead\# Studio Albums #\Studio Albums - Live\1973- 1973 Wake Of The Flood Live\04  Stella Blue  11-17-73.flac</t>
  </si>
  <si>
    <t>Stella Blue  11-17-73</t>
  </si>
  <si>
    <t>Z:\Grateful Dead\# Studio Albums #\Studio Albums - Live\1973- 1973 Wake Of The Flood Live\05  Here Comes Sunshine  11-21-73.flac</t>
  </si>
  <si>
    <t>Here Comes Sunshine  11-21-73</t>
  </si>
  <si>
    <t>Z:\Grateful Dead\# Studio Albums #\Studio Albums - Live\1973- 1973 Wake Of The Flood Live\06  Eyes Of The World.flac</t>
  </si>
  <si>
    <t>Z:\Grateful Dead\# Studio Albums #\Studio Albums - Live\1973- 1973 Wake Of The Flood Live\07  Weather Report Suite  09-11-73.flac</t>
  </si>
  <si>
    <t>Weather Report Suite  09-11-73</t>
  </si>
  <si>
    <t>Z:\Grateful Dead\# Studio Albums #\Studio Albums - Live\1974- 1995 From The Mars Hotel, Almost Live\01   U.S. Blues  06-20-74.flac</t>
  </si>
  <si>
    <t>U.S. Blues  06-20-74</t>
  </si>
  <si>
    <t>Z:\Grateful Dead\# Studio Albums #\Studio Albums - Live\1974- 1995 From The Mars Hotel, Almost Live\02   China Doll  06-23-74.flac</t>
  </si>
  <si>
    <t>China Doll  06-23-74</t>
  </si>
  <si>
    <t>Z:\Grateful Dead\# Studio Albums #\Studio Albums - Live\1974- 1995 From The Mars Hotel, Almost Live\03   Unbroken Chain  05-21-95.flac</t>
  </si>
  <si>
    <t>Unbroken Chain  05-21-95</t>
  </si>
  <si>
    <t>Z:\Grateful Dead\# Studio Albums #\Studio Albums - Live\1974- 1995 From The Mars Hotel, Almost Live\04   Loose Lucy  02-22-74.flac</t>
  </si>
  <si>
    <t>Loose Lucy  02-22-74</t>
  </si>
  <si>
    <t>Z:\Grateful Dead\# Studio Albums #\Studio Albums - Live\1974- 1995 From The Mars Hotel, Almost Live\05   Scarlet Begonias  07-25-74.flac</t>
  </si>
  <si>
    <t>Scarlet Begonias  07-25-74</t>
  </si>
  <si>
    <t>Z:\Grateful Dead\# Studio Albums #\Studio Albums - Live\1974- 1995 From The Mars Hotel, Almost Live\06   Pride Of Cucamonga  (Mars Hotel outtakes).flac</t>
  </si>
  <si>
    <t>Pride Of Cucamonga  (Mars Hotel outtakes)</t>
  </si>
  <si>
    <t>Z:\Grateful Dead\# Studio Albums #\Studio Albums - Live\1974- 1995 From The Mars Hotel, Almost Live\07   Money Money  05-21-74.flac</t>
  </si>
  <si>
    <t>Money Money  05-21-74</t>
  </si>
  <si>
    <t>Z:\Grateful Dead\# Studio Albums #\Studio Albums - Live\1974- 1995 From The Mars Hotel, Almost Live\08   Ship Of Fools  05-12-74.flac</t>
  </si>
  <si>
    <t>Ship Of Fools  05-12-74</t>
  </si>
  <si>
    <t>Z:\Grateful Dead\# Studio Albums #\Studio Albums - Live\1975- 1980 Blues For Allah Live\01   Help On The Way    75-09-28.flac</t>
  </si>
  <si>
    <t>Help On The Way    75-09-28</t>
  </si>
  <si>
    <t>Z:\Grateful Dead\# Studio Albums #\Studio Albums - Live\1975- 1980 Blues For Allah Live\02   Slipknot!    76-06-10.flac</t>
  </si>
  <si>
    <t>Slipknot!    76-06-10</t>
  </si>
  <si>
    <t>Z:\Grateful Dead\# Studio Albums #\Studio Albums - Live\1975- 1980 Blues For Allah Live\03   Franklin's Tower   76-06-14.flac</t>
  </si>
  <si>
    <t>Franklin's Tower   76-06-14</t>
  </si>
  <si>
    <t>Z:\Grateful Dead\# Studio Albums #\Studio Albums - Live\1975- 1980 Blues For Allah Live\04   King Solomon's Marbles  &amp;  75-03-23.flac</t>
  </si>
  <si>
    <t>King Solomon's Marbles  &amp;  75-03-23</t>
  </si>
  <si>
    <t>Z:\Grateful Dead\# Studio Albums #\Studio Albums - Live\1975- 1980 Blues For Allah Live\05   The Music Never Stopped   76-10-02.flac</t>
  </si>
  <si>
    <t>The Music Never Stopped   76-10-02</t>
  </si>
  <si>
    <t>Z:\Grateful Dead\# Studio Albums #\Studio Albums - Live\1975- 1980 Blues For Allah Live\06   Crazy Fingers   75-06-17.flac</t>
  </si>
  <si>
    <t>Crazy Fingers   75-06-17</t>
  </si>
  <si>
    <t>Z:\Grateful Dead\# Studio Albums #\Studio Albums - Live\1975- 1980 Blues For Allah Live\07   Sage and Spirit   80-10-31.flac</t>
  </si>
  <si>
    <t>Sage and Spirit   80-10-31</t>
  </si>
  <si>
    <t>Z:\Grateful Dead\# Studio Albums #\Studio Albums - Live\1975- 1980 Blues For Allah Live\08   Blues For Allah   75-06-17 .flac</t>
  </si>
  <si>
    <t>Blues For Allah   75-06-17</t>
  </si>
  <si>
    <t>Z:\Grateful Dead\# Studio Albums #\Studio Albums - Live\1975- 1980 Blues For Allah Live\09   Help On The Way (instrumental version).flac</t>
  </si>
  <si>
    <t>Help On The Way (instrumental version)</t>
  </si>
  <si>
    <t>Z:\Grateful Dead\# Studio Albums #\Studio Albums - Live\1975- 1980 Blues For Allah Live\10   Franklin's Tower.flac</t>
  </si>
  <si>
    <t>Z:\Grateful Dead\# Studio Albums #\Studio Albums - Live\1977- 1977 Terrapin Station Live\01   Estimated Prophet  05-28-77.flac</t>
  </si>
  <si>
    <t>Estimated Prophet  05-28-77</t>
  </si>
  <si>
    <t>Z:\Grateful Dead\# Studio Albums #\Studio Albums - Live\1977- 1977 Terrapin Station Live\02   Dancin' In The Streets  05-15-77.flac</t>
  </si>
  <si>
    <t>Dancin' In The Streets  05-15-77</t>
  </si>
  <si>
    <t>Z:\Grateful Dead\# Studio Albums #\Studio Albums - Live\1977- 1977 Terrapin Station Live\03   Passenger  11-01-77.flac</t>
  </si>
  <si>
    <t>Passenger  11-01-77</t>
  </si>
  <si>
    <t>Z:\Grateful Dead\# Studio Albums #\Studio Albums - Live\1977- 1977 Terrapin Station Live\04   Samson and Delilah 05-26-77.flac</t>
  </si>
  <si>
    <t>Samson and Delilah 05-26-77</t>
  </si>
  <si>
    <t>Z:\Grateful Dead\# Studio Albums #\Studio Albums - Live\1977- 1977 Terrapin Station Live\05   Sunrise  05-09-77.flac</t>
  </si>
  <si>
    <t>Sunrise  05-09-77</t>
  </si>
  <si>
    <t>Z:\Grateful Dead\# Studio Albums #\Studio Albums - Live\1977- 1977 Terrapin Station Live\06   Terrapin Station Part One  02-26-77.flac</t>
  </si>
  <si>
    <t>Terrapin Station Part One  02-26-77</t>
  </si>
  <si>
    <t>Z:\Grateful Dead\# Studio Albums #\Studio Albums - Live\1977- 1977 Terrapin Station Live\07   Terrapin Station (Outtake).flac</t>
  </si>
  <si>
    <t>Terrapin Station (Outtake)</t>
  </si>
  <si>
    <t>Z:\Grateful Dead\# Studio Albums #\Studio Albums - Live\1978 - 1978 Shakedown Street\gd - (nearly) shakedown street live-t01.flac</t>
  </si>
  <si>
    <t>Good Lovin' (1978-09-16 [Giza Sound and Light Theatre, Cairo, Egypt]</t>
  </si>
  <si>
    <t>Z:\Grateful Dead\# Studio Albums #\Studio Albums - Live\1978 - 1978 Shakedown Street\gd - (nearly) shakedown street live-t02.flac</t>
  </si>
  <si>
    <t>France (1978-08-xx [Shakedown Street Outtakes] - Never played live)</t>
  </si>
  <si>
    <t>Z:\Grateful Dead\# Studio Albums #\Studio Albums - Live\1978 - 1978 Shakedown Street\gd - (nearly) shakedown street live-t03.flac</t>
  </si>
  <si>
    <t>Shakedown Street &gt;  (1978-11-20 [Cleveland Music Hall, Cleveland, OH])</t>
  </si>
  <si>
    <t>Z:\Grateful Dead\# Studio Albums #\Studio Albums - Live\1978 - 1978 Shakedown Street\gd - (nearly) shakedown street live-t04.flac</t>
  </si>
  <si>
    <t>Fire On The Mountain (1978-11-16 [Uptown Theatre , Chicago, IL] )</t>
  </si>
  <si>
    <t>Z:\Grateful Dead\# Studio Albums #\Studio Albums - Live\1978 - 1978 Shakedown Street\gd - (nearly) shakedown street live-t05.flac</t>
  </si>
  <si>
    <t>I Need A Miracle  (1978-11-18 [Uptown Theater, Chicago, IL] )</t>
  </si>
  <si>
    <t>Z:\Grateful Dead\# Studio Albums #\Studio Albums - Live\1978 - 1978 Shakedown Street\gd - (nearly) shakedown street live-t06.flac</t>
  </si>
  <si>
    <t>From The Heart Of Me (1978-10-22 [Winterland Arena, San Francisco, CA] )</t>
  </si>
  <si>
    <t>Z:\Grateful Dead\# Studio Albums #\Studio Albums - Live\1978 - 1978 Shakedown Street\gd - (nearly) shakedown street live-t07.flac</t>
  </si>
  <si>
    <t>Stagger Lee (1978-11-23 [Capital Centre, Landover, MD])</t>
  </si>
  <si>
    <t>Z:\Grateful Dead\# Studio Albums #\Studio Albums - Live\1978 - 1978 Shakedown Street\gd - (nearly) shakedown street live-t08.flac</t>
  </si>
  <si>
    <t>All New Minglewood Blues  (1978-11-23 [Capital Centre, Landover, MD])</t>
  </si>
  <si>
    <t>Z:\Grateful Dead\# Studio Albums #\Studio Albums - Live\1978 - 1978 Shakedown Street\gd - (nearly) shakedown street live-t09.flac</t>
  </si>
  <si>
    <t>If I Had The World To Give  (1978-10-17 [Winterland Arena, San Francisco, CA])</t>
  </si>
  <si>
    <t>Z:\Grateful Dead\# Studio Albums #\Studio Albums - Live\1987 - 1987 In The Dark\gd - in the dark live-t01.flac</t>
  </si>
  <si>
    <t>Touch Of Grey (1987-06-30 [Kingswood Music Theater, Maple, ON])</t>
  </si>
  <si>
    <t>Z:\Grateful Dead\# Studio Albums #\Studio Albums - Live\1987 - 1987 In The Dark\gd - in the dark live-t02.flac</t>
  </si>
  <si>
    <t>Hell In A Bucket (1987-03-29 [The Spectrum, Philadelphia, PA])</t>
  </si>
  <si>
    <t>Z:\Grateful Dead\# Studio Albums #\Studio Albums - Live\1987 - 1987 In The Dark\gd - in the dark live-t03.flac</t>
  </si>
  <si>
    <t>When Push Comes To Shove (1987-03-22 [Hampton Coliseum, Hampton, VA])</t>
  </si>
  <si>
    <t>Z:\Grateful Dead\# Studio Albums #\Studio Albums - Live\1987 - 1987 In The Dark\gd - in the dark live-t04.flac</t>
  </si>
  <si>
    <t>West L.A. Fadeaway (1987-03-27 [Hartford Civic Center, Hartford, CT])</t>
  </si>
  <si>
    <t>Z:\Grateful Dead\# Studio Albums #\Studio Albums - Live\1987 - 1987 In The Dark\gd - in the dark live-t05.flac</t>
  </si>
  <si>
    <t>Tons Of Steel (1987-07-04 [Sullivan Stadium, Foxboro, MA])</t>
  </si>
  <si>
    <t>Z:\Grateful Dead\# Studio Albums #\Studio Albums - Live\1987 - 1987 In The Dark\gd - in the dark live-t06.flac</t>
  </si>
  <si>
    <t>Throwing Stones &gt; (1987-03-30 [The Spectrum, Philadelphia, PA])</t>
  </si>
  <si>
    <t>Z:\Grateful Dead\# Studio Albums #\Studio Albums - Live\1987 - 1987 In The Dark\gd - in the dark live-t07.flac</t>
  </si>
  <si>
    <t>Black Muddy River (1987-03-24 [Hampton Coliseum, Hampton, VA])</t>
  </si>
  <si>
    <t>Z:\Grateful Dead\# Studio Albums #\Studio Albums - Live\1987 - 1987 In The Dark\gd-go to heaven live-t03.flac</t>
  </si>
  <si>
    <t>West L.A. Fadeaway (1987-03-27 [Hartford Civic Center, Hartford, CT]) (Uh?)</t>
  </si>
  <si>
    <t>Z:\Grateful Dead\# Studio Albums #\Studio Albums - Live\2025 Enjoying the Ride\Enjoying the Ride Vol. 01 1969-06-05, 07, 08 Fillmore West, San Francisco, CA\01 - Morning Dew.flac</t>
  </si>
  <si>
    <t>Z:\Grateful Dead\# Studio Albums #\Studio Albums - Live\2025 Enjoying the Ride\Enjoying the Ride Vol. 01 1969-06-05, 07, 08 Fillmore West, San Francisco, CA\02 - Me and My Uncle.flac</t>
  </si>
  <si>
    <t>Z:\Grateful Dead\# Studio Albums #\Studio Albums - Live\2025 Enjoying the Ride\Enjoying the Ride Vol. 01 1969-06-05, 07, 08 Fillmore West, San Francisco, CA\03 - Doin' That Rag.flac</t>
  </si>
  <si>
    <t>Doin' That Rag &gt;</t>
  </si>
  <si>
    <t>Z:\Grateful Dead\# Studio Albums #\Studio Albums - Live\2025 Enjoying the Ride\Enjoying the Ride Vol. 01 1969-06-05, 07, 08 Fillmore West, San Francisco, CA\04 - He Was a Friend of Mine.flac</t>
  </si>
  <si>
    <t>Z:\Grateful Dead\# Studio Albums #\Studio Albums - Live\2025 Enjoying the Ride\Enjoying the Ride Vol. 01 1969-06-05, 07, 08 Fillmore West, San Francisco, CA\05 - Hard to Handle.flac</t>
  </si>
  <si>
    <t>Z:\Grateful Dead\# Studio Albums #\Studio Albums - Live\2025 Enjoying the Ride\Enjoying the Ride Vol. 01 1969-06-05, 07, 08 Fillmore West, San Francisco, CA\06 - Cosmic Charlie.flac</t>
  </si>
  <si>
    <t>Z:\Grateful Dead\# Studio Albums #\Studio Albums - Live\2025 Enjoying the Ride\Enjoying the Ride Vol. 01 1969-06-05, 07, 08 Fillmore West, San Francisco, CA\07 - Cryptical Envelopment.flac</t>
  </si>
  <si>
    <t>Cryptical Envelopment &gt;</t>
  </si>
  <si>
    <t>Z:\Grateful Dead\# Studio Albums #\Studio Albums - Live\2025 Enjoying the Ride\Enjoying the Ride Vol. 01 1969-06-05, 07, 08 Fillmore West, San Francisco, CA\08 - Drums.flac</t>
  </si>
  <si>
    <t>Z:\Grateful Dead\# Studio Albums #\Studio Albums - Live\2025 Enjoying the Ride\Enjoying the Ride Vol. 01 1969-06-05, 07, 08 Fillmore West, San Francisco, CA\09 - The Other One.flac</t>
  </si>
  <si>
    <t>Z:\Grateful Dead\# Studio Albums #\Studio Albums - Live\2025 Enjoying the Ride\Enjoying the Ride Vol. 01 1969-06-05, 07, 08 Fillmore West, San Francisco, CA\10 - Cryptical Envelopment.flac</t>
  </si>
  <si>
    <t>Z:\Grateful Dead\# Studio Albums #\Studio Albums - Live\2025 Enjoying the Ride\Enjoying the Ride Vol. 01 1969-06-05, 07, 08 Fillmore West, San Francisco, CA\11 - China Cat Sunflower.flac</t>
  </si>
  <si>
    <t>Z:\Grateful Dead\# Studio Albums #\Studio Albums - Live\2025 Enjoying the Ride\Enjoying the Ride Vol. 01 1969-06-05, 07, 08 Fillmore West, San Francisco, CA\12 - Sitting on Top of the World.flac</t>
  </si>
  <si>
    <t>Sitting on Top of the World &gt;</t>
  </si>
  <si>
    <t>Z:\Grateful Dead\# Studio Albums #\Studio Albums - Live\2025 Enjoying the Ride\Enjoying the Ride Vol. 01 1969-06-05, 07, 08 Fillmore West, San Francisco, CA\13 - Dark Star.flac</t>
  </si>
  <si>
    <t>Z:\Grateful Dead\# Studio Albums #\Studio Albums - Live\2025 Enjoying the Ride\Enjoying the Ride Vol. 01 1969-06-05, 07, 08 Fillmore West, San Francisco, CA\14 - Dire Wolf.flac</t>
  </si>
  <si>
    <t>Dire Wolf &gt;</t>
  </si>
  <si>
    <t>Z:\Grateful Dead\# Studio Albums #\Studio Albums - Live\2025 Enjoying the Ride\Enjoying the Ride Vol. 01 1969-06-05, 07, 08 Fillmore West, San Francisco, CA\15 - Dupree's Diamond Blues.flac</t>
  </si>
  <si>
    <t>Dupree's Diamond Blues &gt;</t>
  </si>
  <si>
    <t>Z:\Grateful Dead\# Studio Albums #\Studio Albums - Live\2025 Enjoying the Ride\Enjoying the Ride Vol. 01 1969-06-05, 07, 08 Fillmore West, San Francisco, CA\16 - Mountains of the Moon.flac</t>
  </si>
  <si>
    <t>Mountains of the Moon &gt;</t>
  </si>
  <si>
    <t>Z:\Grateful Dead\# Studio Albums #\Studio Albums - Live\2025 Enjoying the Ride\Enjoying the Ride Vol. 01 1969-06-05, 07, 08 Fillmore West, San Francisco, CA\17 - Dark Star.flac</t>
  </si>
  <si>
    <t>Z:\Grateful Dead\# Studio Albums #\Studio Albums - Live\2025 Enjoying the Ride\Enjoying the Ride Vol. 01 1969-06-05, 07, 08 Fillmore West, San Francisco, CA\18 - Dancing in the Street.flac</t>
  </si>
  <si>
    <t>Z:\Grateful Dead\# Studio Albums #\Studio Albums - Live\2025 Enjoying the Ride\Enjoying the Ride Vol. 01 1969-06-05, 07, 08 Fillmore West, San Francisco, CA\19 - He Was a Friend of Mine.flac</t>
  </si>
  <si>
    <t>Z:\Grateful Dead\# Studio Albums #\Studio Albums - Live\2025 Enjoying the Ride\Enjoying the Ride Vol. 01 1969-06-05, 07, 08 Fillmore West, San Francisco, CA\20 - China Cat Sunflower.flac</t>
  </si>
  <si>
    <t>Z:\Grateful Dead\# Studio Albums #\Studio Albums - Live\2025 Enjoying the Ride\Enjoying the Ride Vol. 01 1969-06-05, 07, 08 Fillmore West, San Francisco, CA\21 - New Potato Caboose.flac</t>
  </si>
  <si>
    <t>Z:\Grateful Dead\# Studio Albums #\Studio Albums - Live\2025 Enjoying the Ride\Enjoying the Ride Vol. 01 1969-06-05, 07, 08 Fillmore West, San Francisco, CA\22 - Me and My Uncle.flac</t>
  </si>
  <si>
    <t>Z:\Grateful Dead\# Studio Albums #\Studio Albums - Live\2025 Enjoying the Ride\Enjoying the Ride Vol. 01 1969-06-05, 07, 08 Fillmore West, San Francisco, CA\23 - Cryptical Envelopment.flac</t>
  </si>
  <si>
    <t>Z:\Grateful Dead\# Studio Albums #\Studio Albums - Live\2025 Enjoying the Ride\Enjoying the Ride Vol. 01 1969-06-05, 07, 08 Fillmore West, San Francisco, CA\24 - Drums.flac</t>
  </si>
  <si>
    <t>Z:\Grateful Dead\# Studio Albums #\Studio Albums - Live\2025 Enjoying the Ride\Enjoying the Ride Vol. 01 1969-06-05, 07, 08 Fillmore West, San Francisco, CA\25 - The Other One.flac</t>
  </si>
  <si>
    <t>Z:\Grateful Dead\# Studio Albums #\Studio Albums - Live\2025 Enjoying the Ride\Enjoying the Ride Vol. 01 1969-06-05, 07, 08 Fillmore West, San Francisco, CA\26 - Cosmic Charlie.flac</t>
  </si>
  <si>
    <t>Z:\Grateful Dead\# Studio Albums #\Studio Albums - Live\2025 Enjoying the Ride\Enjoying the Ride Vol. 02 1971-02-24, 20 Capitol Theatre, Port Chester, NY\01 - Casey Jones.flac</t>
  </si>
  <si>
    <t>Z:\Grateful Dead\# Studio Albums #\Studio Albums - Live\2025 Enjoying the Ride\Enjoying the Ride Vol. 02 1971-02-24, 20 Capitol Theatre, Port Chester, NY\02 - Me and My Uncle.flac</t>
  </si>
  <si>
    <t>Z:\Grateful Dead\# Studio Albums #\Studio Albums - Live\2025 Enjoying the Ride\Enjoying the Ride Vol. 02 1971-02-24, 20 Capitol Theatre, Port Chester, NY\03 - Cumberland Blues.flac</t>
  </si>
  <si>
    <t>Z:\Grateful Dead\# Studio Albums #\Studio Albums - Live\2025 Enjoying the Ride\Enjoying the Ride Vol. 02 1971-02-24, 20 Capitol Theatre, Port Chester, NY\04 - Next Time You See Me.flac</t>
  </si>
  <si>
    <t>Z:\Grateful Dead\# Studio Albums #\Studio Albums - Live\2025 Enjoying the Ride\Enjoying the Ride Vol. 02 1971-02-24, 20 Capitol Theatre, Port Chester, NY\05 - Bird Song.flac</t>
  </si>
  <si>
    <t>Z:\Grateful Dead\# Studio Albums #\Studio Albums - Live\2025 Enjoying the Ride\Enjoying the Ride Vol. 02 1971-02-24, 20 Capitol Theatre, Port Chester, NY\06 - Me and Bobby McGee.flac</t>
  </si>
  <si>
    <t>Z:\Grateful Dead\# Studio Albums #\Studio Albums - Live\2025 Enjoying the Ride\Enjoying the Ride Vol. 02 1971-02-24, 20 Capitol Theatre, Port Chester, NY\07 - Bertha.flac</t>
  </si>
  <si>
    <t>Z:\Grateful Dead\# Studio Albums #\Studio Albums - Live\2025 Enjoying the Ride\Enjoying the Ride Vol. 02 1971-02-24, 20 Capitol Theatre, Port Chester, NY\08 - Hard to Handle.flac</t>
  </si>
  <si>
    <t>Z:\Grateful Dead\# Studio Albums #\Studio Albums - Live\2025 Enjoying the Ride\Enjoying the Ride Vol. 02 1971-02-24, 20 Capitol Theatre, Port Chester, NY\09 - Loser.flac</t>
  </si>
  <si>
    <t>Z:\Grateful Dead\# Studio Albums #\Studio Albums - Live\2025 Enjoying the Ride\Enjoying the Ride Vol. 02 1971-02-24, 20 Capitol Theatre, Port Chester, NY\10 - Playing in the Band.flac</t>
  </si>
  <si>
    <t>Z:\Grateful Dead\# Studio Albums #\Studio Albums - Live\2025 Enjoying the Ride\Enjoying the Ride Vol. 02 1971-02-24, 20 Capitol Theatre, Port Chester, NY\11 - Good Lovin'.flac</t>
  </si>
  <si>
    <t>Z:\Grateful Dead\# Studio Albums #\Studio Albums - Live\2025 Enjoying the Ride\Enjoying the Ride Vol. 02 1971-02-24, 20 Capitol Theatre, Port Chester, NY\12 - Sugar Magnolia.flac</t>
  </si>
  <si>
    <t>Z:\Grateful Dead\# Studio Albums #\Studio Albums - Live\2025 Enjoying the Ride\Enjoying the Ride Vol. 02 1971-02-24, 20 Capitol Theatre, Port Chester, NY\13 - I'm A King Bee.flac</t>
  </si>
  <si>
    <t>Z:\Grateful Dead\# Studio Albums #\Studio Albums - Live\2025 Enjoying the Ride\Enjoying the Ride Vol. 02 1971-02-24, 20 Capitol Theatre, Port Chester, NY\14 - Greatest Story Ever Told.flac</t>
  </si>
  <si>
    <t>Z:\Grateful Dead\# Studio Albums #\Studio Albums - Live\2025 Enjoying the Ride\Enjoying the Ride Vol. 02 1971-02-24, 20 Capitol Theatre, Port Chester, NY\15 - Johnny B. Goode.flac</t>
  </si>
  <si>
    <t>Z:\Grateful Dead\# Studio Albums #\Studio Albums - Live\2025 Enjoying the Ride\Enjoying the Ride Vol. 02 1971-02-24, 20 Capitol Theatre, Port Chester, NY\16 - Deal.flac</t>
  </si>
  <si>
    <t>Z:\Grateful Dead\# Studio Albums #\Studio Albums - Live\2025 Enjoying the Ride\Enjoying the Ride Vol. 02 1971-02-24, 20 Capitol Theatre, Port Chester, NY\17 - New Minglewood Blues.flac</t>
  </si>
  <si>
    <t>Z:\Grateful Dead\# Studio Albums #\Studio Albums - Live\2025 Enjoying the Ride\Enjoying the Ride Vol. 02 1971-02-24, 20 Capitol Theatre, Port Chester, NY\18 - Truckin'.flac</t>
  </si>
  <si>
    <t>Z:\Grateful Dead\# Studio Albums #\Studio Albums - Live\2025 Enjoying the Ride\Enjoying the Ride Vol. 02 1971-02-24, 20 Capitol Theatre, Port Chester, NY\19 - Not Fade Away.flac</t>
  </si>
  <si>
    <t>Z:\Grateful Dead\# Studio Albums #\Studio Albums - Live\2025 Enjoying the Ride\Enjoying the Ride Vol. 02 1971-02-24, 20 Capitol Theatre, Port Chester, NY\20 - Goin' Down the Road Feeling Bad.flac</t>
  </si>
  <si>
    <t>Z:\Grateful Dead\# Studio Albums #\Studio Albums - Live\2025 Enjoying the Ride\Enjoying the Ride Vol. 02 1971-02-24, 20 Capitol Theatre, Port Chester, NY\21 - Not Fade Away.flac</t>
  </si>
  <si>
    <t>Z:\Grateful Dead\# Studio Albums #\Studio Albums - Live\2025 Enjoying the Ride\Enjoying the Ride Vol. 02 1971-02-24, 20 Capitol Theatre, Port Chester, NY\22 - Turn On Your Lovelight.flac</t>
  </si>
  <si>
    <t>Z:\Grateful Dead\# Studio Albums #\Studio Albums - Live\2025 Enjoying the Ride\Enjoying the Ride Vol. 02 1971-02-24, 20 Capitol Theatre, Port Chester, NY\23 - Hard to Handle.flac</t>
  </si>
  <si>
    <t>Z:\Grateful Dead\# Studio Albums #\Studio Albums - Live\2025 Enjoying the Ride\Enjoying the Ride Vol. 02 1971-02-24, 20 Capitol Theatre, Port Chester, NY\24 - Cryptical Envelopment.flac</t>
  </si>
  <si>
    <t>Z:\Grateful Dead\# Studio Albums #\Studio Albums - Live\2025 Enjoying the Ride\Enjoying the Ride Vol. 02 1971-02-24, 20 Capitol Theatre, Port Chester, NY\25 - Drums.flac</t>
  </si>
  <si>
    <t>Z:\Grateful Dead\# Studio Albums #\Studio Albums - Live\2025 Enjoying the Ride\Enjoying the Ride Vol. 02 1971-02-24, 20 Capitol Theatre, Port Chester, NY\26 - The Other One.flac</t>
  </si>
  <si>
    <t>Z:\Grateful Dead\# Studio Albums #\Studio Albums - Live\2025 Enjoying the Ride\Enjoying the Ride Vol. 02 1971-02-24, 20 Capitol Theatre, Port Chester, NY\27 - Wharf Rat.flac</t>
  </si>
  <si>
    <t>Z:\Grateful Dead\# Studio Albums #\Studio Albums - Live\2025 Enjoying the Ride\Enjoying the Ride Vol. 02 1971-02-24, 20 Capitol Theatre, Port Chester, NY\28 - Ripple.flac</t>
  </si>
  <si>
    <t>Z:\Grateful Dead\# Studio Albums #\Studio Albums - Live\2025 Enjoying the Ride\Enjoying the Ride Vol. 02 1971-02-24, 20 Capitol Theatre, Port Chester, NY\29 - Not Fade Away.flac</t>
  </si>
  <si>
    <t>Z:\Grateful Dead\# Studio Albums #\Studio Albums - Live\2025 Enjoying the Ride\Enjoying the Ride Vol. 02 1971-02-24, 20 Capitol Theatre, Port Chester, NY\30 - Goin' Down the Road Feeling Bad.flac</t>
  </si>
  <si>
    <t>Z:\Grateful Dead\# Studio Albums #\Studio Albums - Live\2025 Enjoying the Ride\Enjoying the Ride Vol. 02 1971-02-24, 20 Capitol Theatre, Port Chester, NY\31 - Not Fade Away.flac</t>
  </si>
  <si>
    <t>Z:\Grateful Dead\# Studio Albums #\Studio Albums - Live\2025 Enjoying the Ride\Enjoying the Ride Vol. 02 1971-02-24, 20 Capitol Theatre, Port Chester, NY\32 - Turn On Your Lovelight.flac</t>
  </si>
  <si>
    <t>Z:\Grateful Dead\# Studio Albums #\Studio Albums - Live\2025 Enjoying the Ride\Enjoying the Ride Vol. 03 1971-04-25, 27 Fillmore East, New York, NY\01 - Truckin'.flac</t>
  </si>
  <si>
    <t>Z:\Grateful Dead\# Studio Albums #\Studio Albums - Live\2025 Enjoying the Ride\Enjoying the Ride Vol. 03 1971-04-25, 27 Fillmore East, New York, NY\02 - Loser.flac</t>
  </si>
  <si>
    <t>Z:\Grateful Dead\# Studio Albums #\Studio Albums - Live\2025 Enjoying the Ride\Enjoying the Ride Vol. 03 1971-04-25, 27 Fillmore East, New York, NY\03 - Hard to Handle.flac</t>
  </si>
  <si>
    <t>Z:\Grateful Dead\# Studio Albums #\Studio Albums - Live\2025 Enjoying the Ride\Enjoying the Ride Vol. 03 1971-04-25, 27 Fillmore East, New York, NY\04 - Me and Bobby McGee.flac</t>
  </si>
  <si>
    <t>Z:\Grateful Dead\# Studio Albums #\Studio Albums - Live\2025 Enjoying the Ride\Enjoying the Ride Vol. 03 1971-04-25, 27 Fillmore East, New York, NY\05 - Cold Rain and Snow.flac</t>
  </si>
  <si>
    <t>Z:\Grateful Dead\# Studio Albums #\Studio Albums - Live\2025 Enjoying the Ride\Enjoying the Ride Vol. 03 1971-04-25, 27 Fillmore East, New York, NY\06 - Ain't It Crazy.flac</t>
  </si>
  <si>
    <t>Ain't It Crazy</t>
  </si>
  <si>
    <t>Z:\Grateful Dead\# Studio Albums #\Studio Albums - Live\2025 Enjoying the Ride\Enjoying the Ride Vol. 03 1971-04-25, 27 Fillmore East, New York, NY\07 - Playing in the Band.flac</t>
  </si>
  <si>
    <t>Z:\Grateful Dead\# Studio Albums #\Studio Albums - Live\2025 Enjoying the Ride\Enjoying the Ride Vol. 03 1971-04-25, 27 Fillmore East, New York, NY\08 - Friend of the Devil.flac</t>
  </si>
  <si>
    <t>Z:\Grateful Dead\# Studio Albums #\Studio Albums - Live\2025 Enjoying the Ride\Enjoying the Ride Vol. 03 1971-04-25, 27 Fillmore East, New York, NY\09 - Casey Jones.flac</t>
  </si>
  <si>
    <t>Z:\Grateful Dead\# Studio Albums #\Studio Albums - Live\2025 Enjoying the Ride\Enjoying the Ride Vol. 03 1971-04-25, 27 Fillmore East, New York, NY\10 - Morning Dew.flac</t>
  </si>
  <si>
    <t>Z:\Grateful Dead\# Studio Albums #\Studio Albums - Live\2025 Enjoying the Ride\Enjoying the Ride Vol. 03 1971-04-25, 27 Fillmore East, New York, NY\11 - Bertha.flac</t>
  </si>
  <si>
    <t>Z:\Grateful Dead\# Studio Albums #\Studio Albums - Live\2025 Enjoying the Ride\Enjoying the Ride Vol. 03 1971-04-25, 27 Fillmore East, New York, NY\12 - Good Lovin'.flac</t>
  </si>
  <si>
    <t>Z:\Grateful Dead\# Studio Albums #\Studio Albums - Live\2025 Enjoying the Ride\Enjoying the Ride Vol. 03 1971-04-25, 27 Fillmore East, New York, NY\13 - Not Fade Away.flac</t>
  </si>
  <si>
    <t>Z:\Grateful Dead\# Studio Albums #\Studio Albums - Live\2025 Enjoying the Ride\Enjoying the Ride Vol. 03 1971-04-25, 27 Fillmore East, New York, NY\14 - Goin' Down the Road Feeling Bad.flac</t>
  </si>
  <si>
    <t>Z:\Grateful Dead\# Studio Albums #\Studio Albums - Live\2025 Enjoying the Ride\Enjoying the Ride Vol. 03 1971-04-25, 27 Fillmore East, New York, NY\15 - Not Fade Away.flac</t>
  </si>
  <si>
    <t>Z:\Grateful Dead\# Studio Albums #\Studio Albums - Live\2025 Enjoying the Ride\Enjoying the Ride Vol. 03 1971-04-25, 27 Fillmore East, New York, NY\16 - Uncle John's Band.flac</t>
  </si>
  <si>
    <t>Z:\Grateful Dead\# Studio Albums #\Studio Albums - Live\2025 Enjoying the Ride\Enjoying the Ride Vol. 03 1971-04-25, 27 Fillmore East, New York, NY\17 - Truckin'.flac</t>
  </si>
  <si>
    <t>Z:\Grateful Dead\# Studio Albums #\Studio Albums - Live\2025 Enjoying the Ride\Enjoying the Ride Vol. 03 1971-04-25, 27 Fillmore East, New York, NY\18 - Mama Tried.flac</t>
  </si>
  <si>
    <t>Z:\Grateful Dead\# Studio Albums #\Studio Albums - Live\2025 Enjoying the Ride\Enjoying the Ride Vol. 03 1971-04-25, 27 Fillmore East, New York, NY\19 - Bertha.flac</t>
  </si>
  <si>
    <t>Z:\Grateful Dead\# Studio Albums #\Studio Albums - Live\2025 Enjoying the Ride\Enjoying the Ride Vol. 03 1971-04-25, 27 Fillmore East, New York, NY\20 - Next Time You See Me.flac</t>
  </si>
  <si>
    <t>Z:\Grateful Dead\# Studio Albums #\Studio Albums - Live\2025 Enjoying the Ride\Enjoying the Ride Vol. 03 1971-04-25, 27 Fillmore East, New York, NY\21 - Cumberland Blues.flac</t>
  </si>
  <si>
    <t>Z:\Grateful Dead\# Studio Albums #\Studio Albums - Live\2025 Enjoying the Ride\Enjoying the Ride Vol. 03 1971-04-25, 27 Fillmore East, New York, NY\22 - Me and Bobby McGee.flac</t>
  </si>
  <si>
    <t>Z:\Grateful Dead\# Studio Albums #\Studio Albums - Live\2025 Enjoying the Ride\Enjoying the Ride Vol. 03 1971-04-25, 27 Fillmore East, New York, NY\23 - Loser.flac</t>
  </si>
  <si>
    <t>Z:\Grateful Dead\# Studio Albums #\Studio Albums - Live\2025 Enjoying the Ride\Enjoying the Ride Vol. 03 1971-04-25, 27 Fillmore East, New York, NY\24 - Hard to Handle.flac</t>
  </si>
  <si>
    <t>Z:\Grateful Dead\# Studio Albums #\Studio Albums - Live\2025 Enjoying the Ride\Enjoying the Ride Vol. 03 1971-04-25, 27 Fillmore East, New York, NY\25 - China Cat Sunflower.flac</t>
  </si>
  <si>
    <t>Z:\Grateful Dead\# Studio Albums #\Studio Albums - Live\2025 Enjoying the Ride\Enjoying the Ride Vol. 03 1971-04-25, 27 Fillmore East, New York, NY\26 - I Know You Rider.flac</t>
  </si>
  <si>
    <t>Z:\Grateful Dead\# Studio Albums #\Studio Albums - Live\2025 Enjoying the Ride\Enjoying the Ride Vol. 03 1971-04-25, 27 Fillmore East, New York, NY\27 - Casey Jones.flac</t>
  </si>
  <si>
    <t>Z:\Grateful Dead\# Studio Albums #\Studio Albums - Live\2025 Enjoying the Ride\Enjoying the Ride Vol. 03 1971-04-25, 27 Fillmore East, New York, NY\28 - Sugar Magnolia.flac</t>
  </si>
  <si>
    <t>Z:\Grateful Dead\# Studio Albums #\Studio Albums - Live\2025 Enjoying the Ride\Enjoying the Ride Vol. 03 1971-04-25, 27 Fillmore East, New York, NY\29 - Deal.flac</t>
  </si>
  <si>
    <t>Z:\Grateful Dead\# Studio Albums #\Studio Albums - Live\2025 Enjoying the Ride\Enjoying the Ride Vol. 03 1971-04-25, 27 Fillmore East, New York, NY\30 - Me and My Uncle.flac</t>
  </si>
  <si>
    <t>Z:\Grateful Dead\# Studio Albums #\Studio Albums - Live\2025 Enjoying the Ride\Enjoying the Ride Vol. 03 1971-04-25, 27 Fillmore East, New York, NY\31 - Bird Song.flac</t>
  </si>
  <si>
    <t>Z:\Grateful Dead\# Studio Albums #\Studio Albums - Live\2025 Enjoying the Ride\Enjoying the Ride Vol. 03 1971-04-25, 27 Fillmore East, New York, NY\32 - Playing in the Band.flac</t>
  </si>
  <si>
    <t>Z:\Grateful Dead\# Studio Albums #\Studio Albums - Live\2025 Enjoying the Ride\Enjoying the Ride Vol. 03 1971-04-25, 27 Fillmore East, New York, NY\33 - Dire Wolf.flac</t>
  </si>
  <si>
    <t>Z:\Grateful Dead\# Studio Albums #\Studio Albums - Live\2025 Enjoying the Ride\Enjoying the Ride Vol. 04 1972-09-15, 16Boston Music Hall, Boston, MA\01 - Promised Land.flac</t>
  </si>
  <si>
    <t>Z:\Grateful Dead\# Studio Albums #\Studio Albums - Live\2025 Enjoying the Ride\Enjoying the Ride Vol. 04 1972-09-15, 16Boston Music Hall, Boston, MA\02 - Sugaree.flac</t>
  </si>
  <si>
    <t>Z:\Grateful Dead\# Studio Albums #\Studio Albums - Live\2025 Enjoying the Ride\Enjoying the Ride Vol. 04 1972-09-15, 16Boston Music Hall, Boston, MA\03 - Greatest Story Ever Told.flac</t>
  </si>
  <si>
    <t>Z:\Grateful Dead\# Studio Albums #\Studio Albums - Live\2025 Enjoying the Ride\Enjoying the Ride Vol. 04 1972-09-15, 16Boston Music Hall, Boston, MA\04 - China Cat Sunflower.flac</t>
  </si>
  <si>
    <t>Z:\Grateful Dead\# Studio Albums #\Studio Albums - Live\2025 Enjoying the Ride\Enjoying the Ride Vol. 04 1972-09-15, 16Boston Music Hall, Boston, MA\05 - I Know You Rider.flac</t>
  </si>
  <si>
    <t>Z:\Grateful Dead\# Studio Albums #\Studio Albums - Live\2025 Enjoying the Ride\Enjoying the Ride Vol. 04 1972-09-15, 16Boston Music Hall, Boston, MA\06 - Black Throated Wind.flac</t>
  </si>
  <si>
    <t>Z:\Grateful Dead\# Studio Albums #\Studio Albums - Live\2025 Enjoying the Ride\Enjoying the Ride Vol. 04 1972-09-15, 16Boston Music Hall, Boston, MA\07 - Tennessee Jed.flac</t>
  </si>
  <si>
    <t>Z:\Grateful Dead\# Studio Albums #\Studio Albums - Live\2025 Enjoying the Ride\Enjoying the Ride Vol. 04 1972-09-15, 16Boston Music Hall, Boston, MA\08 - El Paso.flac</t>
  </si>
  <si>
    <t>Z:\Grateful Dead\# Studio Albums #\Studio Albums - Live\2025 Enjoying the Ride\Enjoying the Ride Vol. 04 1972-09-15, 16Boston Music Hall, Boston, MA\09 - Loser.flac</t>
  </si>
  <si>
    <t>Z:\Grateful Dead\# Studio Albums #\Studio Albums - Live\2025 Enjoying the Ride\Enjoying the Ride Vol. 04 1972-09-15, 16Boston Music Hall, Boston, MA\10 - Jack Straw.flac</t>
  </si>
  <si>
    <t>Z:\Grateful Dead\# Studio Albums #\Studio Albums - Live\2025 Enjoying the Ride\Enjoying the Ride Vol. 04 1972-09-15, 16Boston Music Hall, Boston, MA\11 - Friend of the Devil.flac</t>
  </si>
  <si>
    <t>Z:\Grateful Dead\# Studio Albums #\Studio Albums - Live\2025 Enjoying the Ride\Enjoying the Ride Vol. 04 1972-09-15, 16Boston Music Hall, Boston, MA\12 - Playing in the Band.flac</t>
  </si>
  <si>
    <t>Z:\Grateful Dead\# Studio Albums #\Studio Albums - Live\2025 Enjoying the Ride\Enjoying the Ride Vol. 04 1972-09-15, 16Boston Music Hall, Boston, MA\13 - Casey Jones.flac</t>
  </si>
  <si>
    <t>Z:\Grateful Dead\# Studio Albums #\Studio Albums - Live\2025 Enjoying the Ride\Enjoying the Ride Vol. 04 1972-09-15, 16Boston Music Hall, Boston, MA\14 - He's Gone.flac</t>
  </si>
  <si>
    <t>Z:\Grateful Dead\# Studio Albums #\Studio Albums - Live\2025 Enjoying the Ride\Enjoying the Ride Vol. 04 1972-09-15, 16Boston Music Hall, Boston, MA\15 - Me and My Uncle.flac</t>
  </si>
  <si>
    <t>Z:\Grateful Dead\# Studio Albums #\Studio Albums - Live\2025 Enjoying the Ride\Enjoying the Ride Vol. 04 1972-09-15, 16Boston Music Hall, Boston, MA\16 - Bird Song.flac</t>
  </si>
  <si>
    <t>Z:\Grateful Dead\# Studio Albums #\Studio Albums - Live\2025 Enjoying the Ride\Enjoying the Ride Vol. 04 1972-09-15, 16Boston Music Hall, Boston, MA\17 - Mexicali Blues.flac</t>
  </si>
  <si>
    <t>Z:\Grateful Dead\# Studio Albums #\Studio Albums - Live\2025 Enjoying the Ride\Enjoying the Ride Vol. 04 1972-09-15, 16Boston Music Hall, Boston, MA\18 - Ramble on Rose.flac</t>
  </si>
  <si>
    <t>Z:\Grateful Dead\# Studio Albums #\Studio Albums - Live\2025 Enjoying the Ride\Enjoying the Ride Vol. 04 1972-09-15, 16Boston Music Hall, Boston, MA\19 - Truckin'.flac</t>
  </si>
  <si>
    <t>Z:\Grateful Dead\# Studio Albums #\Studio Albums - Live\2025 Enjoying the Ride\Enjoying the Ride Vol. 04 1972-09-15, 16Boston Music Hall, Boston, MA\20 - Drums.flac</t>
  </si>
  <si>
    <t>Z:\Grateful Dead\# Studio Albums #\Studio Albums - Live\2025 Enjoying the Ride\Enjoying the Ride Vol. 04 1972-09-15, 16Boston Music Hall, Boston, MA\21 - The Other One.flac</t>
  </si>
  <si>
    <t>Z:\Grateful Dead\# Studio Albums #\Studio Albums - Live\2025 Enjoying the Ride\Enjoying the Ride Vol. 04 1972-09-15, 16Boston Music Hall, Boston, MA\22 - Morning Dew.flac</t>
  </si>
  <si>
    <t>Z:\Grateful Dead\# Studio Albums #\Studio Albums - Live\2025 Enjoying the Ride\Enjoying the Ride Vol. 04 1972-09-15, 16Boston Music Hall, Boston, MA\23 - Dark Star.flac</t>
  </si>
  <si>
    <t>Z:\Grateful Dead\# Studio Albums #\Studio Albums - Live\2025 Enjoying the Ride\Enjoying the Ride Vol. 04 1972-09-15, 16Boston Music Hall, Boston, MA\24 - Brokedown Palace.flac</t>
  </si>
  <si>
    <t>Z:\Grateful Dead\# Studio Albums #\Studio Albums - Live\2025 Enjoying the Ride\Enjoying the Ride Vol. 05 1973-03-16 Nassau Veterans Memorial Coliseum, Uniondale, NY\01 - China Cat Sunflower.flac</t>
  </si>
  <si>
    <t>Z:\Grateful Dead\# Studio Albums #\Studio Albums - Live\2025 Enjoying the Ride\Enjoying the Ride Vol. 05 1973-03-16 Nassau Veterans Memorial Coliseum, Uniondale, NY\02 - I Know You Rider.flac</t>
  </si>
  <si>
    <t>Z:\Grateful Dead\# Studio Albums #\Studio Albums - Live\2025 Enjoying the Ride\Enjoying the Ride Vol. 05 1973-03-16 Nassau Veterans Memorial Coliseum, Uniondale, NY\03 - Jack Straw.flac</t>
  </si>
  <si>
    <t>Z:\Grateful Dead\# Studio Albums #\Studio Albums - Live\2025 Enjoying the Ride\Enjoying the Ride Vol. 05 1973-03-16 Nassau Veterans Memorial Coliseum, Uniondale, NY\04 - Wave That Flag.flac</t>
  </si>
  <si>
    <t>Z:\Grateful Dead\# Studio Albums #\Studio Albums - Live\2025 Enjoying the Ride\Enjoying the Ride Vol. 05 1973-03-16 Nassau Veterans Memorial Coliseum, Uniondale, NY\05 - Looks Like Rain.flac</t>
  </si>
  <si>
    <t>Z:\Grateful Dead\# Studio Albums #\Studio Albums - Live\2025 Enjoying the Ride\Enjoying the Ride Vol. 05 1973-03-16 Nassau Veterans Memorial Coliseum, Uniondale, NY\06 - Ramble on Rose.flac</t>
  </si>
  <si>
    <t>Z:\Grateful Dead\# Studio Albums #\Studio Albums - Live\2025 Enjoying the Ride\Enjoying the Ride Vol. 05 1973-03-16 Nassau Veterans Memorial Coliseum, Uniondale, NY\07 - Box of Rain.flac</t>
  </si>
  <si>
    <t>Z:\Grateful Dead\# Studio Albums #\Studio Albums - Live\2025 Enjoying the Ride\Enjoying the Ride Vol. 05 1973-03-16 Nassau Veterans Memorial Coliseum, Uniondale, NY\08 - Beat It on Down the Line.flac</t>
  </si>
  <si>
    <t>Z:\Grateful Dead\# Studio Albums #\Studio Albums - Live\2025 Enjoying the Ride\Enjoying the Ride Vol. 05 1973-03-16 Nassau Veterans Memorial Coliseum, Uniondale, NY\09 - They Love Each Other.flac</t>
  </si>
  <si>
    <t>Z:\Grateful Dead\# Studio Albums #\Studio Albums - Live\2025 Enjoying the Ride\Enjoying the Ride Vol. 05 1973-03-16 Nassau Veterans Memorial Coliseum, Uniondale, NY\10 - El Paso.flac</t>
  </si>
  <si>
    <t>Z:\Grateful Dead\# Studio Albums #\Studio Albums - Live\2025 Enjoying the Ride\Enjoying the Ride Vol. 05 1973-03-16 Nassau Veterans Memorial Coliseum, Uniondale, NY\11 - Row Jimmy.flac</t>
  </si>
  <si>
    <t>Z:\Grateful Dead\# Studio Albums #\Studio Albums - Live\2025 Enjoying the Ride\Enjoying the Ride Vol. 05 1973-03-16 Nassau Veterans Memorial Coliseum, Uniondale, NY\12 - Mexicali Blues.flac</t>
  </si>
  <si>
    <t>Z:\Grateful Dead\# Studio Albums #\Studio Albums - Live\2025 Enjoying the Ride\Enjoying the Ride Vol. 05 1973-03-16 Nassau Veterans Memorial Coliseum, Uniondale, NY\13 - Bird Song.flac</t>
  </si>
  <si>
    <t>Z:\Grateful Dead\# Studio Albums #\Studio Albums - Live\2025 Enjoying the Ride\Enjoying the Ride Vol. 05 1973-03-16 Nassau Veterans Memorial Coliseum, Uniondale, NY\14 - Playing in the Band.flac</t>
  </si>
  <si>
    <t>Z:\Grateful Dead\# Studio Albums #\Studio Albums - Live\2025 Enjoying the Ride\Enjoying the Ride Vol. 05 1973-03-16 Nassau Veterans Memorial Coliseum, Uniondale, NY\15 - Promised Land.flac</t>
  </si>
  <si>
    <t>Promised Land &gt;</t>
  </si>
  <si>
    <t>Z:\Grateful Dead\# Studio Albums #\Studio Albums - Live\2025 Enjoying the Ride\Enjoying the Ride Vol. 05 1973-03-16 Nassau Veterans Memorial Coliseum, Uniondale, NY\16 - Bertha.flac</t>
  </si>
  <si>
    <t>Z:\Grateful Dead\# Studio Albums #\Studio Albums - Live\2025 Enjoying the Ride\Enjoying the Ride Vol. 05 1973-03-16 Nassau Veterans Memorial Coliseum, Uniondale, NY\17 - Greatest Story Ever Told.flac</t>
  </si>
  <si>
    <t>Z:\Grateful Dead\# Studio Albums #\Studio Albums - Live\2025 Enjoying the Ride\Enjoying the Ride Vol. 05 1973-03-16 Nassau Veterans Memorial Coliseum, Uniondale, NY\18 - Loser.flac</t>
  </si>
  <si>
    <t>Z:\Grateful Dead\# Studio Albums #\Studio Albums - Live\2025 Enjoying the Ride\Enjoying the Ride Vol. 05 1973-03-16 Nassau Veterans Memorial Coliseum, Uniondale, NY\19 - Big River.flac</t>
  </si>
  <si>
    <t>Z:\Grateful Dead\# Studio Albums #\Studio Albums - Live\2025 Enjoying the Ride\Enjoying the Ride Vol. 05 1973-03-16 Nassau Veterans Memorial Coliseum, Uniondale, NY\20 - Don't Ease Me In.flac</t>
  </si>
  <si>
    <t>Z:\Grateful Dead\# Studio Albums #\Studio Albums - Live\2025 Enjoying the Ride\Enjoying the Ride Vol. 05 1973-03-16 Nassau Veterans Memorial Coliseum, Uniondale, NY\21 - Me and My Uncle.flac</t>
  </si>
  <si>
    <t>Z:\Grateful Dead\# Studio Albums #\Studio Albums - Live\2025 Enjoying the Ride\Enjoying the Ride Vol. 05 1973-03-16 Nassau Veterans Memorial Coliseum, Uniondale, NY\22 - Dark Star.flac</t>
  </si>
  <si>
    <t>Z:\Grateful Dead\# Studio Albums #\Studio Albums - Live\2025 Enjoying the Ride\Enjoying the Ride Vol. 05 1973-03-16 Nassau Veterans Memorial Coliseum, Uniondale, NY\23 - Truckin'.flac</t>
  </si>
  <si>
    <t>Z:\Grateful Dead\# Studio Albums #\Studio Albums - Live\2025 Enjoying the Ride\Enjoying the Ride Vol. 05 1973-03-16 Nassau Veterans Memorial Coliseum, Uniondale, NY\24 - Morning Dew.flac</t>
  </si>
  <si>
    <t>Z:\Grateful Dead\# Studio Albums #\Studio Albums - Live\2025 Enjoying the Ride\Enjoying the Ride Vol. 05 1973-03-16 Nassau Veterans Memorial Coliseum, Uniondale, NY\25 - Sugar Magnolia.flac</t>
  </si>
  <si>
    <t>Z:\Grateful Dead\# Studio Albums #\Studio Albums - Live\2025 Enjoying the Ride\Enjoying the Ride Vol. 06 1977-03-20 Winterland, San Francisco, CA\01 - New Minglewood Blues.flac</t>
  </si>
  <si>
    <t>Z:\Grateful Dead\# Studio Albums #\Studio Albums - Live\2025 Enjoying the Ride\Enjoying the Ride Vol. 06 1977-03-20 Winterland, San Francisco, CA\02 - Ramble on Rose.flac</t>
  </si>
  <si>
    <t>Z:\Grateful Dead\# Studio Albums #\Studio Albums - Live\2025 Enjoying the Ride\Enjoying the Ride Vol. 06 1977-03-20 Winterland, San Francisco, CA\03 - El Paso.flac</t>
  </si>
  <si>
    <t>Z:\Grateful Dead\# Studio Albums #\Studio Albums - Live\2025 Enjoying the Ride\Enjoying the Ride Vol. 06 1977-03-20 Winterland, San Francisco, CA\04 - Deal.flac</t>
  </si>
  <si>
    <t>Z:\Grateful Dead\# Studio Albums #\Studio Albums - Live\2025 Enjoying the Ride\Enjoying the Ride Vol. 06 1977-03-20 Winterland, San Francisco, CA\05 - Cassidy.flac</t>
  </si>
  <si>
    <t>(back home again in) indiana</t>
  </si>
  <si>
    <t>(Back Home Again In) Indiana</t>
  </si>
  <si>
    <t>(i'm a) road runner</t>
  </si>
  <si>
    <t>(I'm A) Road Runner</t>
  </si>
  <si>
    <t>16/16</t>
  </si>
  <si>
    <t>23rd psalm</t>
  </si>
  <si>
    <t>23rd Psalm</t>
  </si>
  <si>
    <t>3 o'clock in the morning blues</t>
  </si>
  <si>
    <t>3 O'Clock In The Morning Blues</t>
  </si>
  <si>
    <t>a cry from the cross</t>
  </si>
  <si>
    <t>A Cry From The Cross</t>
  </si>
  <si>
    <t>a day in the life</t>
  </si>
  <si>
    <t>A Day In the Life</t>
  </si>
  <si>
    <t>a good man is hard to find</t>
  </si>
  <si>
    <t>A Good Man Is Hard To Find</t>
  </si>
  <si>
    <t>a good woman's love</t>
  </si>
  <si>
    <t>A Good Woman's Love</t>
  </si>
  <si>
    <t>a hard rain's a-gonna fall</t>
  </si>
  <si>
    <t>A Hard Rain's A-Gonna Fall</t>
  </si>
  <si>
    <t>a little at a time</t>
  </si>
  <si>
    <t>A Little At A Time</t>
  </si>
  <si>
    <t>a mind to give up livin'</t>
  </si>
  <si>
    <t>A Mind To Give Up Livin'</t>
  </si>
  <si>
    <t>a strange man</t>
  </si>
  <si>
    <t>A Strange Man</t>
  </si>
  <si>
    <t>a to e-flat jam</t>
  </si>
  <si>
    <t>A To E-flat Jam</t>
  </si>
  <si>
    <t>a trip to what next</t>
  </si>
  <si>
    <t>A Trip To What Next</t>
  </si>
  <si>
    <t>a voice from on high</t>
  </si>
  <si>
    <t>A Voice From On High</t>
  </si>
  <si>
    <t>a-11</t>
  </si>
  <si>
    <t>A-11</t>
  </si>
  <si>
    <t>accidentally like a martyr</t>
  </si>
  <si>
    <t>Accidentally Like A Martyr</t>
  </si>
  <si>
    <t>across the board</t>
  </si>
  <si>
    <t>Across The Board</t>
  </si>
  <si>
    <t>after midnight</t>
  </si>
  <si>
    <t>After Midnight</t>
  </si>
  <si>
    <t>ain't gonna go to hell</t>
  </si>
  <si>
    <t>Ain't Gonna Go To Hell</t>
  </si>
  <si>
    <t>ain't no bread in the breadbox</t>
  </si>
  <si>
    <t>Ain't No Bread In The Breadbox</t>
  </si>
  <si>
    <t>ain't no more cane</t>
  </si>
  <si>
    <t>Ain't No More Cane</t>
  </si>
  <si>
    <t>ain't no mountain high enough</t>
  </si>
  <si>
    <t>Ain't No Mountain High Enough</t>
  </si>
  <si>
    <t>ain't no woman (like the one i've got)</t>
  </si>
  <si>
    <t>Ain't No Woman (Like The One I've Got)</t>
  </si>
  <si>
    <t>ain't nobody gonna miss me</t>
  </si>
  <si>
    <t>Ain't Nobody Gonna Miss Me</t>
  </si>
  <si>
    <t>ain't that lovin' you</t>
  </si>
  <si>
    <t>Ain't That Lovin' You</t>
  </si>
  <si>
    <t>ain't that peculiar</t>
  </si>
  <si>
    <t>Ain't That Peculiar</t>
  </si>
  <si>
    <t>ain't that right</t>
  </si>
  <si>
    <t>Ain't That Right</t>
  </si>
  <si>
    <t>akiwowo</t>
  </si>
  <si>
    <t>Akiwowo</t>
  </si>
  <si>
    <t>alabama bound</t>
  </si>
  <si>
    <t>Alabama Bound</t>
  </si>
  <si>
    <t>alabama getaway</t>
  </si>
  <si>
    <t>alhambra</t>
  </si>
  <si>
    <t>Alhambra</t>
  </si>
  <si>
    <t>alice d. millionaire</t>
  </si>
  <si>
    <t>all along the watchtower</t>
  </si>
  <si>
    <t>all blues</t>
  </si>
  <si>
    <t>All Blues</t>
  </si>
  <si>
    <t>all by myself</t>
  </si>
  <si>
    <t>All By Myself</t>
  </si>
  <si>
    <t>all for life</t>
  </si>
  <si>
    <t>All For Life</t>
  </si>
  <si>
    <t>all i ever wanted</t>
  </si>
  <si>
    <t>All I Ever Wanted</t>
  </si>
  <si>
    <t>all i have to do is dream</t>
  </si>
  <si>
    <t>All I Have To Do Is Dream</t>
  </si>
  <si>
    <t>all my trials</t>
  </si>
  <si>
    <t>All My Trials</t>
  </si>
  <si>
    <t>all night long</t>
  </si>
  <si>
    <t>All Night Long</t>
  </si>
  <si>
    <t>all of my love</t>
  </si>
  <si>
    <t>All Of My Love</t>
  </si>
  <si>
    <t>all the good times are past and gone</t>
  </si>
  <si>
    <t>All The Good Times Are Past And Gone</t>
  </si>
  <si>
    <t>all the things you are</t>
  </si>
  <si>
    <t>All The Things You Are</t>
  </si>
  <si>
    <t>alligator</t>
  </si>
  <si>
    <t>althea</t>
  </si>
  <si>
    <t>amazing grace</t>
  </si>
  <si>
    <t>Amazing Grace</t>
  </si>
  <si>
    <t>america the beautiful</t>
  </si>
  <si>
    <t>America The Beautiful</t>
  </si>
  <si>
    <t>american popsicle</t>
  </si>
  <si>
    <t>American Popsicle</t>
  </si>
  <si>
    <t>and it stoned me</t>
  </si>
  <si>
    <t>And It Stoned Me</t>
  </si>
  <si>
    <t>and we bid you good night</t>
  </si>
  <si>
    <t>And We Bid You Good Night</t>
  </si>
  <si>
    <t>angel band</t>
  </si>
  <si>
    <t>Angel Band</t>
  </si>
  <si>
    <t>anji</t>
  </si>
  <si>
    <t>Anji</t>
  </si>
  <si>
    <t>annie had a baby</t>
  </si>
  <si>
    <t>Annie Had A Baby</t>
  </si>
  <si>
    <t>another brick in the wall</t>
  </si>
  <si>
    <t>Another Brick In The Wall</t>
  </si>
  <si>
    <t>another star</t>
  </si>
  <si>
    <t>Another Star</t>
  </si>
  <si>
    <t>arabia</t>
  </si>
  <si>
    <t>Arabia</t>
  </si>
  <si>
    <t>are you lonely for me</t>
  </si>
  <si>
    <t>ariel</t>
  </si>
  <si>
    <t>Ariel</t>
  </si>
  <si>
    <t>arizona lightning</t>
  </si>
  <si>
    <t>Arizona Lightning</t>
  </si>
  <si>
    <t>arkansas traveler</t>
  </si>
  <si>
    <t>Arkansas Traveler</t>
  </si>
  <si>
    <t>around and around</t>
  </si>
  <si>
    <t>as tears go by</t>
  </si>
  <si>
    <t>As Tears Go By</t>
  </si>
  <si>
    <t>ashes of love</t>
  </si>
  <si>
    <t>Ashes of Love</t>
  </si>
  <si>
    <t>attics of my life</t>
  </si>
  <si>
    <t>auld lang syne</t>
  </si>
  <si>
    <t>Auld Lang Syne</t>
  </si>
  <si>
    <t>aztec march</t>
  </si>
  <si>
    <t>Aztec March</t>
  </si>
  <si>
    <t>b minor</t>
  </si>
  <si>
    <t>B Minor</t>
  </si>
  <si>
    <t>f</t>
  </si>
  <si>
    <t>F</t>
  </si>
  <si>
    <t>baby please don't go</t>
  </si>
  <si>
    <t>Baby Please Don't Go</t>
  </si>
  <si>
    <t>baby what you want me to do?</t>
  </si>
  <si>
    <t>Baby What You Want Me To Do?</t>
  </si>
  <si>
    <t>baby won't you please come home</t>
  </si>
  <si>
    <t>Baby Won't You Please Come Home</t>
  </si>
  <si>
    <t>back up and push</t>
  </si>
  <si>
    <t>Back Up And Push</t>
  </si>
  <si>
    <t>bad moon rising</t>
  </si>
  <si>
    <t>Bad Moon Rising</t>
  </si>
  <si>
    <t>bag's groove</t>
  </si>
  <si>
    <t>Bag's Groove</t>
  </si>
  <si>
    <t>ballad of a thin man</t>
  </si>
  <si>
    <t>Ballad Of A Thin Man</t>
  </si>
  <si>
    <t>ballad of casey jones</t>
  </si>
  <si>
    <t>Ballad Of Casey Jones</t>
  </si>
  <si>
    <t>ballad of the chrome nun</t>
  </si>
  <si>
    <t>Ballad Of The Chrome Nun</t>
  </si>
  <si>
    <t>banjo breakdown</t>
  </si>
  <si>
    <t>Banjo Breakdown</t>
  </si>
  <si>
    <t>banks of the ohio</t>
  </si>
  <si>
    <t>Banks Of The Ohio</t>
  </si>
  <si>
    <t>barbara allen</t>
  </si>
  <si>
    <t>Barbara Allen</t>
  </si>
  <si>
    <t>barbed wire whipping party</t>
  </si>
  <si>
    <t>Barbed Wire Whipping Party</t>
  </si>
  <si>
    <t>bare bones prelude</t>
  </si>
  <si>
    <t>Bare Bones Prelude</t>
  </si>
  <si>
    <t>barefoot nellie</t>
  </si>
  <si>
    <t>Barefoot Nellie</t>
  </si>
  <si>
    <t>battle of new orleans</t>
  </si>
  <si>
    <t>Battle Of New Orleans</t>
  </si>
  <si>
    <t>beat it on down the line</t>
  </si>
  <si>
    <t>beaumont rag</t>
  </si>
  <si>
    <t>Beaumont Rag</t>
  </si>
  <si>
    <t>beautiful jam</t>
  </si>
  <si>
    <t>Beautiful Jam</t>
  </si>
  <si>
    <t>beedle um bum</t>
  </si>
  <si>
    <t>Beedle Um Bum</t>
  </si>
  <si>
    <t>believe it or not</t>
  </si>
  <si>
    <t>Believe It Or Not</t>
  </si>
  <si>
    <t>bertha</t>
  </si>
  <si>
    <t>better off dead</t>
  </si>
  <si>
    <t>Better Off Dead</t>
  </si>
  <si>
    <t>betty and dupree</t>
  </si>
  <si>
    <t>Betty And Dupree</t>
  </si>
  <si>
    <t>big boss man</t>
  </si>
  <si>
    <t>big boy pete</t>
  </si>
  <si>
    <t>Big Boy Pete</t>
  </si>
  <si>
    <t>big breasa</t>
  </si>
  <si>
    <t>Big Breasa</t>
  </si>
  <si>
    <t>big fat woman</t>
  </si>
  <si>
    <t>Big Fat Woman</t>
  </si>
  <si>
    <t>big fool of the year</t>
  </si>
  <si>
    <t>Big Fool Of The Year</t>
  </si>
  <si>
    <t>big gar's breakdown</t>
  </si>
  <si>
    <t>Big Gar's Breakdown</t>
  </si>
  <si>
    <t>big railroad blues</t>
  </si>
  <si>
    <t>big river</t>
  </si>
  <si>
    <t>big yellow taxi</t>
  </si>
  <si>
    <t>Big Yellow Taxi</t>
  </si>
  <si>
    <t>billy grimes, the rover</t>
  </si>
  <si>
    <t>Billy Grimes, The Rover</t>
  </si>
  <si>
    <t>billy in the low ground</t>
  </si>
  <si>
    <t>Billy In The Low Ground</t>
  </si>
  <si>
    <t>biloxi</t>
  </si>
  <si>
    <t>Biloxi</t>
  </si>
  <si>
    <t>bird song</t>
  </si>
  <si>
    <t>birmingham</t>
  </si>
  <si>
    <t>Birmingham</t>
  </si>
  <si>
    <t>black mountain rag</t>
  </si>
  <si>
    <t>Black Mountain Rag</t>
  </si>
  <si>
    <t>black muddy river</t>
  </si>
  <si>
    <t>black peter</t>
  </si>
  <si>
    <t>black queen</t>
  </si>
  <si>
    <t>Black Queen</t>
  </si>
  <si>
    <t>black throated wind</t>
  </si>
  <si>
    <t>blackberry blossom</t>
  </si>
  <si>
    <t>Blackberry Blossom</t>
  </si>
  <si>
    <t>blackbird</t>
  </si>
  <si>
    <t>Blackbird</t>
  </si>
  <si>
    <t>blow away</t>
  </si>
  <si>
    <t>blow the candles out</t>
  </si>
  <si>
    <t>Blow The Candles Out</t>
  </si>
  <si>
    <t>blue grass breakdown</t>
  </si>
  <si>
    <t>Blue Grass Breakdown</t>
  </si>
  <si>
    <t>blue moon</t>
  </si>
  <si>
    <t>Blue Moon</t>
  </si>
  <si>
    <t>blue mule</t>
  </si>
  <si>
    <t>Blue Mule</t>
  </si>
  <si>
    <t>blue skies</t>
  </si>
  <si>
    <t>Blue Skies</t>
  </si>
  <si>
    <t>blue suede shoes</t>
  </si>
  <si>
    <t>Blue Suede Shoes</t>
  </si>
  <si>
    <t>blue yodel no. 9 (standing on the corner)</t>
  </si>
  <si>
    <t>Blue Yodel No. 9 (Standing On The Corner)</t>
  </si>
  <si>
    <t>bluegrass stomp</t>
  </si>
  <si>
    <t>Bluegrass Stomp</t>
  </si>
  <si>
    <t>blues for allah</t>
  </si>
  <si>
    <t>blues jam</t>
  </si>
  <si>
    <t>Blues Jam</t>
  </si>
  <si>
    <t>blues stay away from me</t>
  </si>
  <si>
    <t>Blues Stay Away From Me</t>
  </si>
  <si>
    <t>bolinas brown</t>
  </si>
  <si>
    <t>Bolinas Brown</t>
  </si>
  <si>
    <t>bondi pier</t>
  </si>
  <si>
    <t>Bondi Pier</t>
  </si>
  <si>
    <t>boodle am shake</t>
  </si>
  <si>
    <t>Boodle Am Shake</t>
  </si>
  <si>
    <t>boogie on reggae woman</t>
  </si>
  <si>
    <t>Boogie On Reggae Woman</t>
  </si>
  <si>
    <t>born cross-eyed</t>
  </si>
  <si>
    <t>born in chicago</t>
  </si>
  <si>
    <t>Born In Chicago</t>
  </si>
  <si>
    <t>born on the bayou</t>
  </si>
  <si>
    <t>Born On The Bayou</t>
  </si>
  <si>
    <t>borneo</t>
  </si>
  <si>
    <t>Borneo</t>
  </si>
  <si>
    <t>bow wow</t>
  </si>
  <si>
    <t>Bow Wow</t>
  </si>
  <si>
    <t>box of rain</t>
  </si>
  <si>
    <t>brand new shoes</t>
  </si>
  <si>
    <t>Brand New Shoes</t>
  </si>
  <si>
    <t>breaking up somebody's home</t>
  </si>
  <si>
    <t>Breaking Up Somebody's Home</t>
  </si>
  <si>
    <t>bridging the gap</t>
  </si>
  <si>
    <t>Bridging The Gap</t>
  </si>
  <si>
    <t>bright morning stars</t>
  </si>
  <si>
    <t>Bright Morning Stars</t>
  </si>
  <si>
    <t>bright side of the road</t>
  </si>
  <si>
    <t>Bright Side Of The Road</t>
  </si>
  <si>
    <t>bring me my shotgun</t>
  </si>
  <si>
    <t>Bring Me My Shotgun</t>
  </si>
  <si>
    <t>brokedown palace</t>
  </si>
  <si>
    <t>broken arrow</t>
  </si>
  <si>
    <t>Broken Arrow</t>
  </si>
  <si>
    <t>brown eyed handsome man</t>
  </si>
  <si>
    <t>Brown Eyed Handsome Man</t>
  </si>
  <si>
    <t>brown eyed women</t>
  </si>
  <si>
    <t>brown's ferry blues</t>
  </si>
  <si>
    <t>Brown's Ferry Blues</t>
  </si>
  <si>
    <t>buck dancer's choice</t>
  </si>
  <si>
    <t>Buck Dancer's Choice</t>
  </si>
  <si>
    <t>buckaroo</t>
  </si>
  <si>
    <t>Buckaroo</t>
  </si>
  <si>
    <t>bud's bounce</t>
  </si>
  <si>
    <t>Bud's Bounce</t>
  </si>
  <si>
    <t>built to last</t>
  </si>
  <si>
    <t>burning the candle</t>
  </si>
  <si>
    <t>Burning The Candle</t>
  </si>
  <si>
    <t>bury me beneath the willow</t>
  </si>
  <si>
    <t>Bury Me Beneath The Willow</t>
  </si>
  <si>
    <t>buzz buzz buzz</t>
  </si>
  <si>
    <t>Buzz Buzz Buzz</t>
  </si>
  <si>
    <t>bye bye love</t>
  </si>
  <si>
    <t>Bye Bye Love</t>
  </si>
  <si>
    <t>c.c. rider</t>
  </si>
  <si>
    <t>california earthquake</t>
  </si>
  <si>
    <t>California Earthquake</t>
  </si>
  <si>
    <t>canaan's land</t>
  </si>
  <si>
    <t>Canaan's Land</t>
  </si>
  <si>
    <t>candyman</t>
  </si>
  <si>
    <t>cannonball blues</t>
  </si>
  <si>
    <t>Cannonball Blues</t>
  </si>
  <si>
    <t>can't come down</t>
  </si>
  <si>
    <t>Can't Come Down</t>
  </si>
  <si>
    <t>can't judge a book by looking at the cover</t>
  </si>
  <si>
    <t>Can't Judge A Book By Looking At The Cover</t>
  </si>
  <si>
    <t>cardboard cowboy</t>
  </si>
  <si>
    <t>cardiac arrest</t>
  </si>
  <si>
    <t>Cardiac Arrest</t>
  </si>
  <si>
    <t>careless love</t>
  </si>
  <si>
    <t>Careless Love</t>
  </si>
  <si>
    <t>casey jones</t>
  </si>
  <si>
    <t>cassidy</t>
  </si>
  <si>
    <t>catfish john</t>
  </si>
  <si>
    <t>Catfish John</t>
  </si>
  <si>
    <t>cathy's clown</t>
  </si>
  <si>
    <t>Cathy's Clown</t>
  </si>
  <si>
    <t>cat's in the well</t>
  </si>
  <si>
    <t>Cat's In The Well</t>
  </si>
  <si>
    <t>cats under the stars</t>
  </si>
  <si>
    <t>Cats Under The Stars</t>
  </si>
  <si>
    <t>caution (do not stop on tracks)</t>
  </si>
  <si>
    <t>cecilia</t>
  </si>
  <si>
    <t>Cecilia</t>
  </si>
  <si>
    <t>cedar hill</t>
  </si>
  <si>
    <t>Cedar Hill</t>
  </si>
  <si>
    <t>centerfield</t>
  </si>
  <si>
    <t>Centerfield</t>
  </si>
  <si>
    <t>checkin' up on my baby</t>
  </si>
  <si>
    <t>Checkin' Up On My Baby</t>
  </si>
  <si>
    <t>cheyenne</t>
  </si>
  <si>
    <t>Cheyenne</t>
  </si>
  <si>
    <t>chicago is your home</t>
  </si>
  <si>
    <t>Chicago Is Your Home</t>
  </si>
  <si>
    <t>childhood's end</t>
  </si>
  <si>
    <t>Childhood's End</t>
  </si>
  <si>
    <t>children of the eighties</t>
  </si>
  <si>
    <t>Children Of The Eighties</t>
  </si>
  <si>
    <t>chimes of freedom</t>
  </si>
  <si>
    <t>Chimes Of Freedom</t>
  </si>
  <si>
    <t>china cat sunflower</t>
  </si>
  <si>
    <t>china doll</t>
  </si>
  <si>
    <t>chinatown shuffle</t>
  </si>
  <si>
    <t>chinese bones</t>
  </si>
  <si>
    <t>Chinese Bones</t>
  </si>
  <si>
    <t>christmas time's a-comin'</t>
  </si>
  <si>
    <t>Christmas Time's A-Comin'</t>
  </si>
  <si>
    <t>chug-a-lug</t>
  </si>
  <si>
    <t>Chug-A-Lug</t>
  </si>
  <si>
    <t>cigarettes and coffee</t>
  </si>
  <si>
    <t>Cigarettes And Coffee</t>
  </si>
  <si>
    <t>classified</t>
  </si>
  <si>
    <t>Classified</t>
  </si>
  <si>
    <t>clementine</t>
  </si>
  <si>
    <t>Clementine</t>
  </si>
  <si>
    <t>clinch mountain backstep</t>
  </si>
  <si>
    <t>Clinch Mountain Backstep</t>
  </si>
  <si>
    <t>close encounters</t>
  </si>
  <si>
    <t>Close Encounters</t>
  </si>
  <si>
    <t>close up the honky tonks</t>
  </si>
  <si>
    <t>Close Up The Honky Tonks</t>
  </si>
  <si>
    <t>cloud nine</t>
  </si>
  <si>
    <t>Cloud Nine</t>
  </si>
  <si>
    <t>coat of many colors</t>
  </si>
  <si>
    <t>Coat Of Many Colors</t>
  </si>
  <si>
    <t>cocaine habit blues</t>
  </si>
  <si>
    <t>Cocaine Habit Blues</t>
  </si>
  <si>
    <t>cold jordan</t>
  </si>
  <si>
    <t>cold rain and snow</t>
  </si>
  <si>
    <t>colored aristocracy</t>
  </si>
  <si>
    <t>Colored Aristocracy</t>
  </si>
  <si>
    <t>columbus stockade blues</t>
  </si>
  <si>
    <t>Columbus Stockade Blues</t>
  </si>
  <si>
    <t>come back baby</t>
  </si>
  <si>
    <t>Come Back Baby</t>
  </si>
  <si>
    <t>come on in my kitchen</t>
  </si>
  <si>
    <t>Come On In My Kitchen</t>
  </si>
  <si>
    <t>come see about me</t>
  </si>
  <si>
    <t>Come See About Me</t>
  </si>
  <si>
    <t>come together</t>
  </si>
  <si>
    <t>Come Together</t>
  </si>
  <si>
    <t>comes a time</t>
  </si>
  <si>
    <t>comin' back to me</t>
  </si>
  <si>
    <t>Comin' Back To Me</t>
  </si>
  <si>
    <t>concierto de aranjuez</t>
  </si>
  <si>
    <t>Concierto De Aranjuez</t>
  </si>
  <si>
    <t>connection</t>
  </si>
  <si>
    <t>Connection</t>
  </si>
  <si>
    <t>consider me gone</t>
  </si>
  <si>
    <t>Consider Me Gone</t>
  </si>
  <si>
    <t>contract</t>
  </si>
  <si>
    <t>Contract</t>
  </si>
  <si>
    <t>corrina</t>
  </si>
  <si>
    <t>Corrina</t>
  </si>
  <si>
    <t>cosmic charlie</t>
  </si>
  <si>
    <t>cotton-eyed joe</t>
  </si>
  <si>
    <t>Cotton-Eyed Joe</t>
  </si>
  <si>
    <t>country boy rock and roll</t>
  </si>
  <si>
    <t>Country Boy Rock And Roll</t>
  </si>
  <si>
    <t>county fair</t>
  </si>
  <si>
    <t>County Fair</t>
  </si>
  <si>
    <t>covenant woman</t>
  </si>
  <si>
    <t>Covenant Woman</t>
  </si>
  <si>
    <t>cowboy movie</t>
  </si>
  <si>
    <t>Cowboy Movie</t>
  </si>
  <si>
    <t>cowboy song</t>
  </si>
  <si>
    <t>Cowboy Song</t>
  </si>
  <si>
    <t>crawdad song</t>
  </si>
  <si>
    <t>Crawdad Song</t>
  </si>
  <si>
    <t>crazy arms</t>
  </si>
  <si>
    <t>Crazy Arms</t>
  </si>
  <si>
    <t>crazy fingers</t>
  </si>
  <si>
    <t>crazy love</t>
  </si>
  <si>
    <t>Crazy Love</t>
  </si>
  <si>
    <t>crazy words, crazy tune</t>
  </si>
  <si>
    <t>Crazy Words, Crazy Tune</t>
  </si>
  <si>
    <t>cream puff war</t>
  </si>
  <si>
    <t>creepin'</t>
  </si>
  <si>
    <t>Creepin'</t>
  </si>
  <si>
    <t>cricket on the hearth</t>
  </si>
  <si>
    <t>Cricket On The Hearth</t>
  </si>
  <si>
    <t>cripple creek</t>
  </si>
  <si>
    <t>Cripple Creek</t>
  </si>
  <si>
    <t>crooked judge</t>
  </si>
  <si>
    <t>Crooked Judge</t>
  </si>
  <si>
    <t>crossover</t>
  </si>
  <si>
    <t>Crossover</t>
  </si>
  <si>
    <t>crow black chicken</t>
  </si>
  <si>
    <t>Crow Black Chicken</t>
  </si>
  <si>
    <t>cryptical envelopment</t>
  </si>
  <si>
    <t>cucumber slumber</t>
  </si>
  <si>
    <t>Cucumber Slumber</t>
  </si>
  <si>
    <t>cumberland blues</t>
  </si>
  <si>
    <t>da birg song</t>
  </si>
  <si>
    <t>Da Birg Song</t>
  </si>
  <si>
    <t>dance a hole</t>
  </si>
  <si>
    <t>Dance A Hole</t>
  </si>
  <si>
    <t>dancin' in the moonlight</t>
  </si>
  <si>
    <t>Dancin' In The Moonlight</t>
  </si>
  <si>
    <t>dancin' in the streets</t>
  </si>
  <si>
    <t>danger man</t>
  </si>
  <si>
    <t>Danger Man</t>
  </si>
  <si>
    <t>dangerous relations</t>
  </si>
  <si>
    <t>Dangerous Relations</t>
  </si>
  <si>
    <t>darben the redd foxx</t>
  </si>
  <si>
    <t>Darben The Redd Foxx</t>
  </si>
  <si>
    <t>dark as a dungeon</t>
  </si>
  <si>
    <t>Dark As A Dungeon</t>
  </si>
  <si>
    <t>dark hollow</t>
  </si>
  <si>
    <t>dark star</t>
  </si>
  <si>
    <t>darkness, darkness jam</t>
  </si>
  <si>
    <t>Darkness, Darkness Jam</t>
  </si>
  <si>
    <t>darlin' allalee</t>
  </si>
  <si>
    <t>Darlin' Allalee</t>
  </si>
  <si>
    <t>darlin' corey</t>
  </si>
  <si>
    <t>Darlin' Corey</t>
  </si>
  <si>
    <t>david's tune (gm)</t>
  </si>
  <si>
    <t>David's Tune (Gm)</t>
  </si>
  <si>
    <t>dawgnation</t>
  </si>
  <si>
    <t>Dawgnation</t>
  </si>
  <si>
    <t>dawg's bull</t>
  </si>
  <si>
    <t>Dawg's Bull</t>
  </si>
  <si>
    <t>dawg's rag</t>
  </si>
  <si>
    <t>Dawg's Rag</t>
  </si>
  <si>
    <t>dawg's waltz</t>
  </si>
  <si>
    <t>Dawg's Waltz</t>
  </si>
  <si>
    <t>day by day</t>
  </si>
  <si>
    <t>Day By Day</t>
  </si>
  <si>
    <t>day job</t>
  </si>
  <si>
    <t>Day Job</t>
  </si>
  <si>
    <t>day tripper</t>
  </si>
  <si>
    <t>Day Tripper</t>
  </si>
  <si>
    <t>day-o</t>
  </si>
  <si>
    <t>Day-O</t>
  </si>
  <si>
    <t>dc-502</t>
  </si>
  <si>
    <t>DC-502</t>
  </si>
  <si>
    <t>de kalb blues</t>
  </si>
  <si>
    <t>De Kalb Blues</t>
  </si>
  <si>
    <t>dead man, dead man</t>
  </si>
  <si>
    <t>Dead Man, Dead Man</t>
  </si>
  <si>
    <t>dead march</t>
  </si>
  <si>
    <t>Dead March</t>
  </si>
  <si>
    <t>deal</t>
  </si>
  <si>
    <t>dear mr. fantasy</t>
  </si>
  <si>
    <t>Dear Mr. Fantasy</t>
  </si>
  <si>
    <t>dear prudence</t>
  </si>
  <si>
    <t>Dear Prudence</t>
  </si>
  <si>
    <t>death and destruction</t>
  </si>
  <si>
    <t>Death And Destruction</t>
  </si>
  <si>
    <t>death don't have no mercy</t>
  </si>
  <si>
    <t>death letter blues</t>
  </si>
  <si>
    <t>Death Letter Blues</t>
  </si>
  <si>
    <t>deep elem blues</t>
  </si>
  <si>
    <t>deep river blues</t>
  </si>
  <si>
    <t>Deep River Blues</t>
  </si>
  <si>
    <t>delilah</t>
  </si>
  <si>
    <t>Delilah</t>
  </si>
  <si>
    <t>delores the vampire</t>
  </si>
  <si>
    <t>Delores the Vampire</t>
  </si>
  <si>
    <t>delta nightingale</t>
  </si>
  <si>
    <t>Delta Nightingale</t>
  </si>
  <si>
    <t>demon in disguise</t>
  </si>
  <si>
    <t>Demon In Disguise</t>
  </si>
  <si>
    <t>desert players</t>
  </si>
  <si>
    <t>Desert Players</t>
  </si>
  <si>
    <t>desolation row</t>
  </si>
  <si>
    <t>devil in disguise</t>
  </si>
  <si>
    <t>Devil In Disguise</t>
  </si>
  <si>
    <t>devil with the blue dress</t>
  </si>
  <si>
    <t>Devil With The Blue Dress</t>
  </si>
  <si>
    <t>devilish mary</t>
  </si>
  <si>
    <t>Devilish Mary</t>
  </si>
  <si>
    <t>devil's dream</t>
  </si>
  <si>
    <t>Devil's Dream</t>
  </si>
  <si>
    <t>diamond joe</t>
  </si>
  <si>
    <t>Diamond Joe</t>
  </si>
  <si>
    <t>dim lights, thick smoke (and loud, loud music)</t>
  </si>
  <si>
    <t>Dim Lights, Thick Smoke (And Loud, Loud Music)</t>
  </si>
  <si>
    <t>dire wolf</t>
  </si>
  <si>
    <t>dirty business</t>
  </si>
  <si>
    <t>Dirty Business</t>
  </si>
  <si>
    <t>distorto</t>
  </si>
  <si>
    <t>Distorto</t>
  </si>
  <si>
    <t>dixie hoedown</t>
  </si>
  <si>
    <t>Dixie Hoedown</t>
  </si>
  <si>
    <t>do i move you</t>
  </si>
  <si>
    <t>Do I Move You</t>
  </si>
  <si>
    <t>do you wanna dance?</t>
  </si>
  <si>
    <t>Do You Wanna Dance?</t>
  </si>
  <si>
    <t>doin' that rag</t>
  </si>
  <si>
    <t>donovan's reef</t>
  </si>
  <si>
    <t>Donovan's Reef</t>
  </si>
  <si>
    <t>don't blame me</t>
  </si>
  <si>
    <t>Don't Blame Me</t>
  </si>
  <si>
    <t>don't ease me in</t>
  </si>
  <si>
    <t>don't fight it</t>
  </si>
  <si>
    <t>Don't Fight It</t>
  </si>
  <si>
    <t>don't it look like rain</t>
  </si>
  <si>
    <t>Don't It Look Like Rain</t>
  </si>
  <si>
    <t>don't it make it better</t>
  </si>
  <si>
    <t>Don't It Make It Better</t>
  </si>
  <si>
    <t>don't let go</t>
  </si>
  <si>
    <t>Don't Let Go</t>
  </si>
  <si>
    <t>don't mess up a good thing</t>
  </si>
  <si>
    <t>Don't Mess Up A Good Thing</t>
  </si>
  <si>
    <t>don't need love</t>
  </si>
  <si>
    <t>Don't Need Love</t>
  </si>
  <si>
    <t>don't say goodbye if you love me</t>
  </si>
  <si>
    <t>Don't Say Goodbye If You Love Me</t>
  </si>
  <si>
    <t>don't take any chances</t>
  </si>
  <si>
    <t>Don't Take Any Chances</t>
  </si>
  <si>
    <t>don't think twice it's alright</t>
  </si>
  <si>
    <t>Don't Think Twice It's Alright</t>
  </si>
  <si>
    <t>don't try to be your brother's keeper</t>
  </si>
  <si>
    <t>Don't Try To Be Your Brother's Keeper</t>
  </si>
  <si>
    <t>don't you hear jerusalem moan</t>
  </si>
  <si>
    <t>Don't You Hear Jerusalem Moan</t>
  </si>
  <si>
    <t>don't you worry about a thing</t>
  </si>
  <si>
    <t>Don't You Worry About A Thing</t>
  </si>
  <si>
    <t>down by the riverside</t>
  </si>
  <si>
    <t>Down By The Riverside</t>
  </si>
  <si>
    <t>down don't bother me</t>
  </si>
  <si>
    <t>Down Don't Bother Me</t>
  </si>
  <si>
    <t>down home</t>
  </si>
  <si>
    <t>Down Home</t>
  </si>
  <si>
    <t>down in the boondocks</t>
  </si>
  <si>
    <t>Down In The Boondocks</t>
  </si>
  <si>
    <t>down in the bottom</t>
  </si>
  <si>
    <t>Down In The Bottom</t>
  </si>
  <si>
    <t>down in the valley</t>
  </si>
  <si>
    <t>Down In The Valley</t>
  </si>
  <si>
    <t>down on the corner</t>
  </si>
  <si>
    <t>Down On The Corner</t>
  </si>
  <si>
    <t>down so long</t>
  </si>
  <si>
    <t>Down So Long</t>
  </si>
  <si>
    <t>down where the river bends</t>
  </si>
  <si>
    <t>Down Where The River Bends</t>
  </si>
  <si>
    <t>dreadful wind and rain</t>
  </si>
  <si>
    <t>Dreadful Wind And Rain</t>
  </si>
  <si>
    <t>drifting too far from the shore</t>
  </si>
  <si>
    <t>Drifting Too Far From The Shore</t>
  </si>
  <si>
    <t>drifting with the tide</t>
  </si>
  <si>
    <t>Drifting With The Tide</t>
  </si>
  <si>
    <t>drink up and go home</t>
  </si>
  <si>
    <t>Drink Up And Go Home</t>
  </si>
  <si>
    <t>drop down mama</t>
  </si>
  <si>
    <t>Drop Down Mama</t>
  </si>
  <si>
    <t>drown in my own tears</t>
  </si>
  <si>
    <t>Drown In My Own Tears</t>
  </si>
  <si>
    <t>drums</t>
  </si>
  <si>
    <t>duck</t>
  </si>
  <si>
    <t>Duck</t>
  </si>
  <si>
    <t>duncan and brady</t>
  </si>
  <si>
    <t>Duncan and Brady</t>
  </si>
  <si>
    <t>dupree's diamond blues</t>
  </si>
  <si>
    <t>durham's bull</t>
  </si>
  <si>
    <t>Durham's Bull</t>
  </si>
  <si>
    <t>e-a-c jam</t>
  </si>
  <si>
    <t>E-A-C Jam</t>
  </si>
  <si>
    <t>early morning rain</t>
  </si>
  <si>
    <t>Early Morning Rain</t>
  </si>
  <si>
    <t>east virginia</t>
  </si>
  <si>
    <t>East Virginia</t>
  </si>
  <si>
    <t>easy answers</t>
  </si>
  <si>
    <t>Easy Answers</t>
  </si>
  <si>
    <t>easy to love you</t>
  </si>
  <si>
    <t>easy to slip</t>
  </si>
  <si>
    <t>Easy To Slip</t>
  </si>
  <si>
    <t>easy wind</t>
  </si>
  <si>
    <t>eat my dust</t>
  </si>
  <si>
    <t>Eat My Dust</t>
  </si>
  <si>
    <t>eating out of your hand</t>
  </si>
  <si>
    <t>Eating Out Of Your Hand</t>
  </si>
  <si>
    <t>edward</t>
  </si>
  <si>
    <t>Edward</t>
  </si>
  <si>
    <t>eep hour</t>
  </si>
  <si>
    <t>Eep Hour</t>
  </si>
  <si>
    <t>eight miles high</t>
  </si>
  <si>
    <t>Eight Miles High</t>
  </si>
  <si>
    <t>eighth of january</t>
  </si>
  <si>
    <t>Eighth Of January</t>
  </si>
  <si>
    <t>el paso</t>
  </si>
  <si>
    <t>eleanor rigby jam</t>
  </si>
  <si>
    <t>Eleanor Rigby Jam</t>
  </si>
  <si>
    <t>electricity blues</t>
  </si>
  <si>
    <t>Electricity Blues</t>
  </si>
  <si>
    <t>empty heart</t>
  </si>
  <si>
    <t>Empty Heart</t>
  </si>
  <si>
    <t>empty pages</t>
  </si>
  <si>
    <t>equinox</t>
  </si>
  <si>
    <t>Equinox</t>
  </si>
  <si>
    <t>eskimo blue day</t>
  </si>
  <si>
    <t>Eskimo Blue Day</t>
  </si>
  <si>
    <t>estimated prophet</t>
  </si>
  <si>
    <t>eternity</t>
  </si>
  <si>
    <t>Eternity</t>
  </si>
  <si>
    <t>evangeline</t>
  </si>
  <si>
    <t>Evangeline</t>
  </si>
  <si>
    <t>evening in marin</t>
  </si>
  <si>
    <t>Evening In Marin</t>
  </si>
  <si>
    <t>ever so</t>
  </si>
  <si>
    <t>Ever So</t>
  </si>
  <si>
    <t>every day i have the blues</t>
  </si>
  <si>
    <t>Every Day I Have The Blues</t>
  </si>
  <si>
    <t>every time you go away</t>
  </si>
  <si>
    <t>Every Time You Go Away</t>
  </si>
  <si>
    <t>every word you say</t>
  </si>
  <si>
    <t>Every Word You Say</t>
  </si>
  <si>
    <t>everybody loves saturday night</t>
  </si>
  <si>
    <t>Everybody Loves Saturday Night</t>
  </si>
  <si>
    <t>everybody needs somebody to love</t>
  </si>
  <si>
    <t>Everybody Needs Somebody To Love</t>
  </si>
  <si>
    <t>expressway (to your heart)</t>
  </si>
  <si>
    <t>Expressway (To Your Heart)</t>
  </si>
  <si>
    <t>eyes of the world</t>
  </si>
  <si>
    <t>fair chance to know</t>
  </si>
  <si>
    <t>Fair Chance To Know</t>
  </si>
  <si>
    <t>fair ellender</t>
  </si>
  <si>
    <t>Fair Ellender</t>
  </si>
  <si>
    <t>fandango</t>
  </si>
  <si>
    <t>Fandango</t>
  </si>
  <si>
    <t>fannie mae</t>
  </si>
  <si>
    <t>Fannie Mae</t>
  </si>
  <si>
    <t>fanny hill</t>
  </si>
  <si>
    <t>Fanny Hill</t>
  </si>
  <si>
    <t>far from me</t>
  </si>
  <si>
    <t>farewell blues</t>
  </si>
  <si>
    <t>Farewell Blues</t>
  </si>
  <si>
    <t>farewell jack</t>
  </si>
  <si>
    <t>Farewell Jack</t>
  </si>
  <si>
    <t>farewell, angelina</t>
  </si>
  <si>
    <t>Farewell, Angelina</t>
  </si>
  <si>
    <t>fast tone</t>
  </si>
  <si>
    <t>Fast Tone</t>
  </si>
  <si>
    <t>fat</t>
  </si>
  <si>
    <t>Fat</t>
  </si>
  <si>
    <t>favela</t>
  </si>
  <si>
    <t>Favela</t>
  </si>
  <si>
    <t>feedback</t>
  </si>
  <si>
    <t>feel like a stranger</t>
  </si>
  <si>
    <t>fever</t>
  </si>
  <si>
    <t>Fever</t>
  </si>
  <si>
    <t>fï¿½r elise</t>
  </si>
  <si>
    <t>Fï¿½r Elise</t>
  </si>
  <si>
    <t>fields have turned brown</t>
  </si>
  <si>
    <t>Fields Have Turned Brown</t>
  </si>
  <si>
    <t>fifty states of freedom</t>
  </si>
  <si>
    <t>Fifty States Of Freedom</t>
  </si>
  <si>
    <t>fighting for madge</t>
  </si>
  <si>
    <t>Fighting For Madge</t>
  </si>
  <si>
    <t>find a rainbow</t>
  </si>
  <si>
    <t>Find A Rainbow</t>
  </si>
  <si>
    <t>finders keepers</t>
  </si>
  <si>
    <t>Finders Keepers</t>
  </si>
  <si>
    <t>fire in the city</t>
  </si>
  <si>
    <t>Fire In The City</t>
  </si>
  <si>
    <t>fire on the mountain</t>
  </si>
  <si>
    <t>fireball mail</t>
  </si>
  <si>
    <t>Fireball Mail</t>
  </si>
  <si>
    <t>first whippoorwill</t>
  </si>
  <si>
    <t>First Whippoorwill</t>
  </si>
  <si>
    <t>fishman</t>
  </si>
  <si>
    <t>Fishman</t>
  </si>
  <si>
    <t>five feet high and rising</t>
  </si>
  <si>
    <t>Five Feet High And Rising</t>
  </si>
  <si>
    <t>five long years</t>
  </si>
  <si>
    <t>Five Long Years</t>
  </si>
  <si>
    <t>flint hill special</t>
  </si>
  <si>
    <t>Flint Hill Special</t>
  </si>
  <si>
    <t>flotation</t>
  </si>
  <si>
    <t>Flotation</t>
  </si>
  <si>
    <t>flying</t>
  </si>
  <si>
    <t>Flying</t>
  </si>
  <si>
    <t>foggy mountain breakdown</t>
  </si>
  <si>
    <t>Foggy Mountain Breakdown</t>
  </si>
  <si>
    <t>foggy mountain top</t>
  </si>
  <si>
    <t>Foggy Mountain Top</t>
  </si>
  <si>
    <t>follow the drinking gourd</t>
  </si>
  <si>
    <t>Follow The Drinking Gourd</t>
  </si>
  <si>
    <t>folsom prison blues</t>
  </si>
  <si>
    <t>Folsom Prison Blues</t>
  </si>
  <si>
    <t>foolish heart</t>
  </si>
  <si>
    <t>for what it's worth</t>
  </si>
  <si>
    <t>For What It's Worth</t>
  </si>
  <si>
    <t>forever young</t>
  </si>
  <si>
    <t>Forever Young</t>
  </si>
  <si>
    <t>forever yours</t>
  </si>
  <si>
    <t>Forever Yours</t>
  </si>
  <si>
    <t>fortunate son</t>
  </si>
  <si>
    <t>Fortunate Son</t>
  </si>
  <si>
    <t>foxy lady jam</t>
  </si>
  <si>
    <t>Foxy Lady Jam</t>
  </si>
  <si>
    <t>france</t>
  </si>
  <si>
    <t>franklin's tower</t>
  </si>
  <si>
    <t>free flight</t>
  </si>
  <si>
    <t>Free Flight</t>
  </si>
  <si>
    <t>freedom jazz dance</t>
  </si>
  <si>
    <t>Freedom Jazz Dance</t>
  </si>
  <si>
    <t>freight train</t>
  </si>
  <si>
    <t>Freight Train</t>
  </si>
  <si>
    <t>freight train boogie</t>
  </si>
  <si>
    <t>Freight Train Boogie</t>
  </si>
  <si>
    <t>friend of the devil</t>
  </si>
  <si>
    <t>frog drain rock</t>
  </si>
  <si>
    <t>Frog Drain Rock</t>
  </si>
  <si>
    <t>from a jack to a king</t>
  </si>
  <si>
    <t>From A Jack To A King</t>
  </si>
  <si>
    <t>from the heart of me</t>
  </si>
  <si>
    <t>frozen logger</t>
  </si>
  <si>
    <t>Frozen Logger</t>
  </si>
  <si>
    <t>fun fun fun</t>
  </si>
  <si>
    <t>Fun Fun Fun</t>
  </si>
  <si>
    <t>funeral march of a marionette</t>
  </si>
  <si>
    <t>Funeral March Of A Marionette</t>
  </si>
  <si>
    <t>further on up the road</t>
  </si>
  <si>
    <t>Further On Up The Road</t>
  </si>
  <si>
    <t>games people play</t>
  </si>
  <si>
    <t>Games People Play</t>
  </si>
  <si>
    <t>gangster of love</t>
  </si>
  <si>
    <t>Gangster Of Love</t>
  </si>
  <si>
    <t>garden of eden</t>
  </si>
  <si>
    <t>Garden Of Eden</t>
  </si>
  <si>
    <t>gathering flowers for the master's bouquet</t>
  </si>
  <si>
    <t>gee baby ain't i good to you</t>
  </si>
  <si>
    <t>Gee Baby Ain't I Good To You</t>
  </si>
  <si>
    <t>gentlemen start your engines</t>
  </si>
  <si>
    <t>Gentlemen Start Your Engines</t>
  </si>
  <si>
    <t>georgia on my mind</t>
  </si>
  <si>
    <t>Georgia On My Mind</t>
  </si>
  <si>
    <t>georgia slop</t>
  </si>
  <si>
    <t>Georgia Slop</t>
  </si>
  <si>
    <t>get back</t>
  </si>
  <si>
    <t>Get Back</t>
  </si>
  <si>
    <t>get down mama</t>
  </si>
  <si>
    <t>Get Down Mama</t>
  </si>
  <si>
    <t>get funky brother</t>
  </si>
  <si>
    <t>Get Funky Brother</t>
  </si>
  <si>
    <t>get married</t>
  </si>
  <si>
    <t>Get Married</t>
  </si>
  <si>
    <t>get out of my life woman</t>
  </si>
  <si>
    <t>Get Out Of My Life Woman</t>
  </si>
  <si>
    <t>get together</t>
  </si>
  <si>
    <t>Get Together</t>
  </si>
  <si>
    <t>get uppa</t>
  </si>
  <si>
    <t>Get Uppa</t>
  </si>
  <si>
    <t>ghost riders in the sky</t>
  </si>
  <si>
    <t>Ghost Riders In The Sky</t>
  </si>
  <si>
    <t>gimme some lovin'</t>
  </si>
  <si>
    <t>Gimme Some Lovin'</t>
  </si>
  <si>
    <t>girl from mill valley</t>
  </si>
  <si>
    <t>Girl From Mill Valley</t>
  </si>
  <si>
    <t>girl of the north country</t>
  </si>
  <si>
    <t>Girl Of The North Country</t>
  </si>
  <si>
    <t>glendale train</t>
  </si>
  <si>
    <t>Glendale Train</t>
  </si>
  <si>
    <t>gloria</t>
  </si>
  <si>
    <t>go ahead baby</t>
  </si>
  <si>
    <t>Go Ahead Baby</t>
  </si>
  <si>
    <t>go climb a mountain</t>
  </si>
  <si>
    <t>Go Climb A Mountain</t>
  </si>
  <si>
    <t>god rest ye merry gentlemen</t>
  </si>
  <si>
    <t>God Rest Ye Merry Gentlemen</t>
  </si>
  <si>
    <t>god save the queen</t>
  </si>
  <si>
    <t>God Save The Queen</t>
  </si>
  <si>
    <t>goin' down the road feelin' bad</t>
  </si>
  <si>
    <t>going down</t>
  </si>
  <si>
    <t>Going Down</t>
  </si>
  <si>
    <t>going on my way</t>
  </si>
  <si>
    <t>Going On My Way</t>
  </si>
  <si>
    <t>going round the horn</t>
  </si>
  <si>
    <t>Going Round The Horn</t>
  </si>
  <si>
    <t>going to chicago</t>
  </si>
  <si>
    <t>Going To Chicago</t>
  </si>
  <si>
    <t>going to the races</t>
  </si>
  <si>
    <t>Going To The Races</t>
  </si>
  <si>
    <t>going up the country</t>
  </si>
  <si>
    <t>Going Up The Country</t>
  </si>
  <si>
    <t>going, going, gone</t>
  </si>
  <si>
    <t>Going, Going, Gone</t>
  </si>
  <si>
    <t>gold watch and chain</t>
  </si>
  <si>
    <t>Gold Watch And Chain</t>
  </si>
  <si>
    <t>golden road to unlimited devotion</t>
  </si>
  <si>
    <t>Golden Road To Unlimited Devotion</t>
  </si>
  <si>
    <t>gomorrah</t>
  </si>
  <si>
    <t>Gomorrah</t>
  </si>
  <si>
    <t>gone home</t>
  </si>
  <si>
    <t>Gone Home</t>
  </si>
  <si>
    <t>gonna change my way of thinking</t>
  </si>
  <si>
    <t>Gonna Change My Way Of Thinking</t>
  </si>
  <si>
    <t>good golly miss molly</t>
  </si>
  <si>
    <t>Good Golly Miss Molly</t>
  </si>
  <si>
    <t>good lovin'</t>
  </si>
  <si>
    <t>good morning little schoolgirl</t>
  </si>
  <si>
    <t>good shepherd</t>
  </si>
  <si>
    <t>Good Shepherd</t>
  </si>
  <si>
    <t>good time blues</t>
  </si>
  <si>
    <t>Good Time Blues</t>
  </si>
  <si>
    <t>goodbye old pal</t>
  </si>
  <si>
    <t>Goodbye Old Pal</t>
  </si>
  <si>
    <t>goodnight irene</t>
  </si>
  <si>
    <t>Goodnight Irene</t>
  </si>
  <si>
    <t>got leavin' on her mind</t>
  </si>
  <si>
    <t>Got Leavin' On Her Mind</t>
  </si>
  <si>
    <t>gotta serve somebody</t>
  </si>
  <si>
    <t>Gotta Serve Somebody</t>
  </si>
  <si>
    <t>grateful dawg</t>
  </si>
  <si>
    <t>Grateful Dawg</t>
  </si>
  <si>
    <t>greatest story ever told</t>
  </si>
  <si>
    <t>green green grass of home</t>
  </si>
  <si>
    <t>Green Green Grass Of Home</t>
  </si>
  <si>
    <t>green onions</t>
  </si>
  <si>
    <t>Green Onions</t>
  </si>
  <si>
    <t>green river</t>
  </si>
  <si>
    <t>Green River</t>
  </si>
  <si>
    <t>groove #1</t>
  </si>
  <si>
    <t>Groove #1</t>
  </si>
  <si>
    <t>groove #2</t>
  </si>
  <si>
    <t>Groove #2</t>
  </si>
  <si>
    <t>ground speed</t>
  </si>
  <si>
    <t>Ground Speed</t>
  </si>
  <si>
    <t>groupie</t>
  </si>
  <si>
    <t>Groupie</t>
  </si>
  <si>
    <t>guilty</t>
  </si>
  <si>
    <t>Guilty</t>
  </si>
  <si>
    <t>gypsy woman</t>
  </si>
  <si>
    <t>Gypsy Woman</t>
  </si>
  <si>
    <t>hallelujah</t>
  </si>
  <si>
    <t>Hallelujah</t>
  </si>
  <si>
    <t>handsome cabin boy</t>
  </si>
  <si>
    <t>Handsome Cabin Boy</t>
  </si>
  <si>
    <t>handsome cabin boy jam</t>
  </si>
  <si>
    <t>Handsome Cabin Boy Jam</t>
  </si>
  <si>
    <t>handsome cabin boy waltz</t>
  </si>
  <si>
    <t>Handsome Cabin Boy Waltz</t>
  </si>
  <si>
    <t>handsome molly</t>
  </si>
  <si>
    <t>Handsome Molly</t>
  </si>
  <si>
    <t>happiness is drumming</t>
  </si>
  <si>
    <t>Happiness Is Drumming</t>
  </si>
  <si>
    <t>happy birthday</t>
  </si>
  <si>
    <t>Happy Birthday</t>
  </si>
  <si>
    <t>hard hearted</t>
  </si>
  <si>
    <t>Hard Hearted</t>
  </si>
  <si>
    <t>hard to handle</t>
  </si>
  <si>
    <t>harder they come</t>
  </si>
  <si>
    <t>Harder They Come</t>
  </si>
  <si>
    <t>harlequin maiden waltz</t>
  </si>
  <si>
    <t>Harlequin Maiden Waltz</t>
  </si>
  <si>
    <t>he ain't give you none</t>
  </si>
  <si>
    <t>He Ain't Give You None</t>
  </si>
  <si>
    <t>he was a friend of mine</t>
  </si>
  <si>
    <t>He Was A Friend Of Mine</t>
  </si>
  <si>
    <t>heads up</t>
  </si>
  <si>
    <t>Heads Up</t>
  </si>
  <si>
    <t>heart of fire</t>
  </si>
  <si>
    <t>Heart Of Fire</t>
  </si>
  <si>
    <t>heart of mine</t>
  </si>
  <si>
    <t>Heart Of Mine</t>
  </si>
  <si>
    <t>heartbreak (i want to know)</t>
  </si>
  <si>
    <t>Heartbreak (I Want To Know)</t>
  </si>
  <si>
    <t>heartbreak hotel</t>
  </si>
  <si>
    <t>Heartbreak Hotel</t>
  </si>
  <si>
    <t>heaven help the fool</t>
  </si>
  <si>
    <t>Heaven Help The Fool</t>
  </si>
  <si>
    <t>heavens to betsy</t>
  </si>
  <si>
    <t>Heavens To Betsy</t>
  </si>
  <si>
    <t>hell in a bucket</t>
  </si>
  <si>
    <t>hello</t>
  </si>
  <si>
    <t>Hello</t>
  </si>
  <si>
    <t>hello mary lou</t>
  </si>
  <si>
    <t>Hello Mary Lou</t>
  </si>
  <si>
    <t>hello trouble</t>
  </si>
  <si>
    <t>Hello Trouble</t>
  </si>
  <si>
    <t>help me</t>
  </si>
  <si>
    <t>Help Me</t>
  </si>
  <si>
    <t>help me rhonda</t>
  </si>
  <si>
    <t>Help Me Rhonda</t>
  </si>
  <si>
    <t>help on the way</t>
  </si>
  <si>
    <t>henry</t>
  </si>
  <si>
    <t>Henry</t>
  </si>
  <si>
    <t>here comes sunshine</t>
  </si>
  <si>
    <t>here there and everywhere</t>
  </si>
  <si>
    <t>Here There And Everywhere</t>
  </si>
  <si>
    <t>heroes gone</t>
  </si>
  <si>
    <t>Heroes Gone</t>
  </si>
  <si>
    <t>he's gone</t>
  </si>
  <si>
    <t>hesitation blues</t>
  </si>
  <si>
    <t>Hesitation Blues</t>
  </si>
  <si>
    <t>hey bo diddley</t>
  </si>
  <si>
    <t>hey jude</t>
  </si>
  <si>
    <t>Hey Jude</t>
  </si>
  <si>
    <t>hey jude reprise</t>
  </si>
  <si>
    <t>Hey Jude Reprise</t>
  </si>
  <si>
    <t>hey little one</t>
  </si>
  <si>
    <t>hey melinda</t>
  </si>
  <si>
    <t>Hey Melinda</t>
  </si>
  <si>
    <t>hey pocky way</t>
  </si>
  <si>
    <t>Hey Pocky Way</t>
  </si>
  <si>
    <t>hickory days</t>
  </si>
  <si>
    <t>Hickory Days</t>
  </si>
  <si>
    <t>hideaway</t>
  </si>
  <si>
    <t>Hideaway</t>
  </si>
  <si>
    <t>high time</t>
  </si>
  <si>
    <t>highway 61 revisited</t>
  </si>
  <si>
    <t>Highway 61 Revisited</t>
  </si>
  <si>
    <t>hi-heel sneakers</t>
  </si>
  <si>
    <t>Hi-Heel Sneakers</t>
  </si>
  <si>
    <t>hit parade of love</t>
  </si>
  <si>
    <t>Hit Parade Of Love</t>
  </si>
  <si>
    <t>hobo song</t>
  </si>
  <si>
    <t>Hobo Song</t>
  </si>
  <si>
    <t>hoedown</t>
  </si>
  <si>
    <t>Hoedown</t>
  </si>
  <si>
    <t>hog for you baby</t>
  </si>
  <si>
    <t>Hog For You Baby</t>
  </si>
  <si>
    <t>hold the woodpile down</t>
  </si>
  <si>
    <t>Hold the Woodpile Down</t>
  </si>
  <si>
    <t>hollywood cantata</t>
  </si>
  <si>
    <t>Hollywood Cantata</t>
  </si>
  <si>
    <t>home is where the heart is</t>
  </si>
  <si>
    <t>Home Is Where The Heart Is</t>
  </si>
  <si>
    <t>homestead on the farm</t>
  </si>
  <si>
    <t>Homestead On The Farm</t>
  </si>
  <si>
    <t>homeward through the haze</t>
  </si>
  <si>
    <t>Homeward Through The Haze</t>
  </si>
  <si>
    <t>honey babe</t>
  </si>
  <si>
    <t>Honey Babe</t>
  </si>
  <si>
    <t>honey chile</t>
  </si>
  <si>
    <t>Honey Chile</t>
  </si>
  <si>
    <t>honky tonk women</t>
  </si>
  <si>
    <t>Honky Tonk Women</t>
  </si>
  <si>
    <t>honky tonkin' (i guess i done me some)</t>
  </si>
  <si>
    <t>Honky Tonkin' (I Guess I Done Me Some)</t>
  </si>
  <si>
    <t>hoochie coochie man</t>
  </si>
  <si>
    <t>Hoochie Coochie Man</t>
  </si>
  <si>
    <t>hop along peter</t>
  </si>
  <si>
    <t>Hop Along Peter</t>
  </si>
  <si>
    <t>hop high ladies</t>
  </si>
  <si>
    <t>Hop High Ladies</t>
  </si>
  <si>
    <t>horse named bill</t>
  </si>
  <si>
    <t>Horse Named Bill</t>
  </si>
  <si>
    <t>hot corn, cold corn</t>
  </si>
  <si>
    <t>Hot Corn, Cold Corn</t>
  </si>
  <si>
    <t>house of the rising sun</t>
  </si>
  <si>
    <t>House Of The Rising Sun</t>
  </si>
  <si>
    <t>how do you feel</t>
  </si>
  <si>
    <t>How Do You Feel</t>
  </si>
  <si>
    <t>how high the moon</t>
  </si>
  <si>
    <t>How High The Moon</t>
  </si>
  <si>
    <t>how long</t>
  </si>
  <si>
    <t>How Long</t>
  </si>
  <si>
    <t>how long blues</t>
  </si>
  <si>
    <t>How Long Blues</t>
  </si>
  <si>
    <t>how mountain girls can love</t>
  </si>
  <si>
    <t>How Mountain Girls Can Love</t>
  </si>
  <si>
    <t>how sweet it is (to be loved by you)</t>
  </si>
  <si>
    <t>How Sweet It Is (To Be Loved By You)</t>
  </si>
  <si>
    <t>hully gully</t>
  </si>
  <si>
    <t>Hully Gully</t>
  </si>
  <si>
    <t>hungry hash house</t>
  </si>
  <si>
    <t>Hungry Hash House</t>
  </si>
  <si>
    <t>hurts me too</t>
  </si>
  <si>
    <t>i ain't broke but i'm badly bent</t>
  </si>
  <si>
    <t>I Ain't Broke But I'm Badly Bent</t>
  </si>
  <si>
    <t>i ain't never</t>
  </si>
  <si>
    <t>I Ain't Never</t>
  </si>
  <si>
    <t>i ain't superstitious</t>
  </si>
  <si>
    <t>I Ain't Superstitious</t>
  </si>
  <si>
    <t>i am your man</t>
  </si>
  <si>
    <t>I Am Your Man</t>
  </si>
  <si>
    <t>i can't do it baby</t>
  </si>
  <si>
    <t>I Can't Do It Baby</t>
  </si>
  <si>
    <t>i can't help myself (sugar pie honey bunch)</t>
  </si>
  <si>
    <t>I Can't Help Myself (Sugar Pie Honey Bunch)</t>
  </si>
  <si>
    <t>i can't turn you loose</t>
  </si>
  <si>
    <t>I Can't Turn You Loose</t>
  </si>
  <si>
    <t>i couldn't marry juana</t>
  </si>
  <si>
    <t>I Couldn't Marry Juana</t>
  </si>
  <si>
    <t>i don't care (just as long as you love me)</t>
  </si>
  <si>
    <t>I Don't Care (Just As Long As You Love Me)</t>
  </si>
  <si>
    <t>i don't know you</t>
  </si>
  <si>
    <t>I Don't Know You</t>
  </si>
  <si>
    <t>i don't need no doctor</t>
  </si>
  <si>
    <t>I Don't Need No Doctor</t>
  </si>
  <si>
    <t>i feel like dynamite</t>
  </si>
  <si>
    <t>I Feel Like Dynamite</t>
  </si>
  <si>
    <t>i fought the law</t>
  </si>
  <si>
    <t>I Fought The Law</t>
  </si>
  <si>
    <t>i got my mojo workin'</t>
  </si>
  <si>
    <t>I Got My Mojo Workin'</t>
  </si>
  <si>
    <t>i heard it through the grapevine</t>
  </si>
  <si>
    <t>I Heard It Through The Grapevine</t>
  </si>
  <si>
    <t>i heard you been layin' my old lady</t>
  </si>
  <si>
    <t>I Heard You Been Layin' My Old Lady</t>
  </si>
  <si>
    <t>i hope it won't be this way, always</t>
  </si>
  <si>
    <t>I Hope It Won't Be This Way, Always</t>
  </si>
  <si>
    <t>i just wanna stop</t>
  </si>
  <si>
    <t>I Just Wanna Stop</t>
  </si>
  <si>
    <t>i just want to make love to you</t>
  </si>
  <si>
    <t>I Just Want To Make Love To You</t>
  </si>
  <si>
    <t>i know it's a sin</t>
  </si>
  <si>
    <t>I Know It's A Sin</t>
  </si>
  <si>
    <t>i know you rider</t>
  </si>
  <si>
    <t>i need a miracle</t>
  </si>
  <si>
    <t>i saw her standing there</t>
  </si>
  <si>
    <t>I Saw Her Standing There</t>
  </si>
  <si>
    <t>i second that emotion</t>
  </si>
  <si>
    <t>i shall be released</t>
  </si>
  <si>
    <t>I Shall Be Released</t>
  </si>
  <si>
    <t>i still miss someone</t>
  </si>
  <si>
    <t>I Still Miss Someone</t>
  </si>
  <si>
    <t>i truly understand</t>
  </si>
  <si>
    <t>I Truly Understand</t>
  </si>
  <si>
    <t>i used to be a king</t>
  </si>
  <si>
    <t>I Used To Be A King</t>
  </si>
  <si>
    <t>i want to tell you</t>
  </si>
  <si>
    <t>I Want To Tell You</t>
  </si>
  <si>
    <t>i want you</t>
  </si>
  <si>
    <t>I Want You</t>
  </si>
  <si>
    <t>i was born ten thousand years ago</t>
  </si>
  <si>
    <t>I Was Born Ten Thousand Years Ago</t>
  </si>
  <si>
    <t>i was made to love her</t>
  </si>
  <si>
    <t>I Was Made To Love Her</t>
  </si>
  <si>
    <t>i will take you home</t>
  </si>
  <si>
    <t>i wish that i could be the rain</t>
  </si>
  <si>
    <t>I Wish That I Could Be The Rain</t>
  </si>
  <si>
    <t>i wonder where you are tonight</t>
  </si>
  <si>
    <t>I Wonder Where You Are Tonight</t>
  </si>
  <si>
    <t>idiot wind</t>
  </si>
  <si>
    <t>Idiot Wind</t>
  </si>
  <si>
    <t>if i had the world to give</t>
  </si>
  <si>
    <t>if i lose</t>
  </si>
  <si>
    <t>If I Lose</t>
  </si>
  <si>
    <t>if not for you</t>
  </si>
  <si>
    <t>If Not For You</t>
  </si>
  <si>
    <t>if the shoe fits</t>
  </si>
  <si>
    <t>If The Shoe Fits</t>
  </si>
  <si>
    <t>if you hear me when i'm leaving</t>
  </si>
  <si>
    <t>If You Hear Me When I'm Leaving</t>
  </si>
  <si>
    <t>if you want to run</t>
  </si>
  <si>
    <t>If You Want To Run</t>
  </si>
  <si>
    <t>ife l'oju l'aiye</t>
  </si>
  <si>
    <t>Ife L'Oju L'Aiye</t>
  </si>
  <si>
    <t>iiere</t>
  </si>
  <si>
    <t>Iiere</t>
  </si>
  <si>
    <t>iko iko</t>
  </si>
  <si>
    <t>i'll be a gambler if you deal the cards</t>
  </si>
  <si>
    <t>I'll Be A Gambler If You Deal The Cards</t>
  </si>
  <si>
    <t>i'll be with thee</t>
  </si>
  <si>
    <t>I'll Be With Thee</t>
  </si>
  <si>
    <t>i'll be your baby tonight</t>
  </si>
  <si>
    <t>I'll Be Your Baby Tonight</t>
  </si>
  <si>
    <t>i'll change your flat tire merle</t>
  </si>
  <si>
    <t>I'll Change Your Flat Tire Merle</t>
  </si>
  <si>
    <t>i'll forget you</t>
  </si>
  <si>
    <t>I'll Forget You</t>
  </si>
  <si>
    <t>i'll go crazy</t>
  </si>
  <si>
    <t>I'll Go Crazy</t>
  </si>
  <si>
    <t>i'll never make you blue</t>
  </si>
  <si>
    <t>I'll Never Make You Blue</t>
  </si>
  <si>
    <t>i'll take a melody</t>
  </si>
  <si>
    <t>I'll Take A Melody</t>
  </si>
  <si>
    <t>i'm a king bee</t>
  </si>
  <si>
    <t>i'm a lovin' man</t>
  </si>
  <si>
    <t>I'm A Lovin' Man</t>
  </si>
  <si>
    <t>i'm a man</t>
  </si>
  <si>
    <t>i'm blue, i'm lonesome</t>
  </si>
  <si>
    <t>I'm Blue, I'm Lonesome</t>
  </si>
  <si>
    <t>i'm free</t>
  </si>
  <si>
    <t>I'm Free</t>
  </si>
  <si>
    <t>i'm gone, long gone</t>
  </si>
  <si>
    <t>I'm Gone, Long Gone</t>
  </si>
  <si>
    <t>i'm here to get my baby out of jail</t>
  </si>
  <si>
    <t>I'm Here To Get My Baby Out Of Jail</t>
  </si>
  <si>
    <t>i'm in love with you</t>
  </si>
  <si>
    <t>I'm In Love With You</t>
  </si>
  <si>
    <t>i'm my own grandpa</t>
  </si>
  <si>
    <t>I'm My Own Grandpa</t>
  </si>
  <si>
    <t>i'm on my way back to the old home</t>
  </si>
  <si>
    <t>I'm On My Way Back To The Old Home</t>
  </si>
  <si>
    <t>i'm so lonesome i could cry</t>
  </si>
  <si>
    <t>I'm So Lonesome I Could Cry</t>
  </si>
  <si>
    <t>i'm tore down</t>
  </si>
  <si>
    <t>I'm Tore Down</t>
  </si>
  <si>
    <t>i'm troubled</t>
  </si>
  <si>
    <t>I'm Troubled</t>
  </si>
  <si>
    <t>imagine</t>
  </si>
  <si>
    <t>Imagine</t>
  </si>
  <si>
    <t>in despair</t>
  </si>
  <si>
    <t>In Despair</t>
  </si>
  <si>
    <t>in the jailhouse now</t>
  </si>
  <si>
    <t>In the Jailhouse Now</t>
  </si>
  <si>
    <t>in the morning</t>
  </si>
  <si>
    <t>In The Morning</t>
  </si>
  <si>
    <t>in the pines</t>
  </si>
  <si>
    <t>In The Pines</t>
  </si>
  <si>
    <t>in the summertime</t>
  </si>
  <si>
    <t>In The Summertime</t>
  </si>
  <si>
    <t>into the mystic</t>
  </si>
  <si>
    <t>Into The Mystic</t>
  </si>
  <si>
    <t>is anybody going to san antone</t>
  </si>
  <si>
    <t>Is Anybody Going To San Antone</t>
  </si>
  <si>
    <t>is it really monday</t>
  </si>
  <si>
    <t>Is It Really Monday</t>
  </si>
  <si>
    <t>isis of luma</t>
  </si>
  <si>
    <t>Isis Of Luma</t>
  </si>
  <si>
    <t>it ain't no use</t>
  </si>
  <si>
    <t>It Ain't No Use</t>
  </si>
  <si>
    <t>it comes right down to you</t>
  </si>
  <si>
    <t>It Comes Right Down To You</t>
  </si>
  <si>
    <t>it must have been the roses</t>
  </si>
  <si>
    <t>it takes a lot to laugh, it takes a train to cry</t>
  </si>
  <si>
    <t>It Takes A Lot To Laugh, It Takes A Train To Cry</t>
  </si>
  <si>
    <t>it's a long, long way to the top of the world</t>
  </si>
  <si>
    <t>It's A Long, Long Way To The Top Of The World</t>
  </si>
  <si>
    <t>it's a man's world</t>
  </si>
  <si>
    <t>It's A Man's World</t>
  </si>
  <si>
    <t>it's all over now</t>
  </si>
  <si>
    <t>it's all over now, baby blue</t>
  </si>
  <si>
    <t>it's all too much</t>
  </si>
  <si>
    <t>It's All Too Much</t>
  </si>
  <si>
    <t>it's alright with me</t>
  </si>
  <si>
    <t>It's Alright With Me</t>
  </si>
  <si>
    <t>it's only a paper moon</t>
  </si>
  <si>
    <t>It's Only A Paper Moon</t>
  </si>
  <si>
    <t>it's raining here this morning</t>
  </si>
  <si>
    <t>It's Raining Here This Morning</t>
  </si>
  <si>
    <t>it's too late</t>
  </si>
  <si>
    <t>It's Too Late</t>
  </si>
  <si>
    <t>i've been all around this world</t>
  </si>
  <si>
    <t>i've got a home in that rock</t>
  </si>
  <si>
    <t>I've Got A Home In That Rock</t>
  </si>
  <si>
    <t>i've got a tiger by the tail</t>
  </si>
  <si>
    <t>I've Got a Tiger By The Tail</t>
  </si>
  <si>
    <t>i've got jesus</t>
  </si>
  <si>
    <t>I've Got Jesus</t>
  </si>
  <si>
    <t>i've got news for you</t>
  </si>
  <si>
    <t>I've Got News For You</t>
  </si>
  <si>
    <t>i've just seen a face</t>
  </si>
  <si>
    <t>I've Just Seen A Face</t>
  </si>
  <si>
    <t>i've seen them all</t>
  </si>
  <si>
    <t>j.p.p. mcstep blues</t>
  </si>
  <si>
    <t>J.P.P. McStep Blues</t>
  </si>
  <si>
    <t>jack straw</t>
  </si>
  <si>
    <t>jack-a-roe</t>
  </si>
  <si>
    <t>jailbait gets you busted</t>
  </si>
  <si>
    <t>Jailbait Gets You Busted</t>
  </si>
  <si>
    <t>jam</t>
  </si>
  <si>
    <t>jambalaya</t>
  </si>
  <si>
    <t>Jambalaya</t>
  </si>
  <si>
    <t>jenny jenkins</t>
  </si>
  <si>
    <t>Jenny Jenkins</t>
  </si>
  <si>
    <t>jerry's breakdown (1963)</t>
  </si>
  <si>
    <t>Jerry's Breakdown (1963)</t>
  </si>
  <si>
    <t>jerry's breakdown (1973)</t>
  </si>
  <si>
    <t>Jerry's Breakdown (1973)</t>
  </si>
  <si>
    <t>jesse james</t>
  </si>
  <si>
    <t>Jesse James</t>
  </si>
  <si>
    <t>jesus loves his mandolin player</t>
  </si>
  <si>
    <t>Jesus Loves His Mandolin Player</t>
  </si>
  <si>
    <t>jesus loves his mandolin player #35</t>
  </si>
  <si>
    <t>Jesus Loves His Mandolin Player #35</t>
  </si>
  <si>
    <t>jesus loves his mandolin player #36</t>
  </si>
  <si>
    <t>Jesus Loves His Mandolin Player #36</t>
  </si>
  <si>
    <t>jingle bells</t>
  </si>
  <si>
    <t>Jingle Bells</t>
  </si>
  <si>
    <t>joey</t>
  </si>
  <si>
    <t>Joey</t>
  </si>
  <si>
    <t>john brown</t>
  </si>
  <si>
    <t>John Brown</t>
  </si>
  <si>
    <t>john hardy</t>
  </si>
  <si>
    <t>John Hardy</t>
  </si>
  <si>
    <t>john henry</t>
  </si>
  <si>
    <t>John Henry</t>
  </si>
  <si>
    <t>johnny b. goode</t>
  </si>
  <si>
    <t>johnny too bad</t>
  </si>
  <si>
    <t>Johnny Too Bad</t>
  </si>
  <si>
    <t>john's other</t>
  </si>
  <si>
    <t>John's Other</t>
  </si>
  <si>
    <t>jorma and jerry jam</t>
  </si>
  <si>
    <t>Jorma And Jerry Jam</t>
  </si>
  <si>
    <t>judah street jam</t>
  </si>
  <si>
    <t>Judah Street Jam</t>
  </si>
  <si>
    <t>juke</t>
  </si>
  <si>
    <t>Juke</t>
  </si>
  <si>
    <t>julie</t>
  </si>
  <si>
    <t>Julie</t>
  </si>
  <si>
    <t>junco partner</t>
  </si>
  <si>
    <t>Junco Partner</t>
  </si>
  <si>
    <t>just a closer walk with thee</t>
  </si>
  <si>
    <t>Just A Closer Walk With Thee</t>
  </si>
  <si>
    <t>just a little light</t>
  </si>
  <si>
    <t>just a tramp on the street</t>
  </si>
  <si>
    <t>Just A Tramp On The Street</t>
  </si>
  <si>
    <t>just kissed my baby</t>
  </si>
  <si>
    <t>Just Kissed My Baby</t>
  </si>
  <si>
    <t>just like a fool</t>
  </si>
  <si>
    <t>Just Like a Fool</t>
  </si>
  <si>
    <t>just like a woman</t>
  </si>
  <si>
    <t>Just Like A Woman</t>
  </si>
  <si>
    <t>just like tom thumb's blues</t>
  </si>
  <si>
    <t>kansas city</t>
  </si>
  <si>
    <t>Kansas City</t>
  </si>
  <si>
    <t>katie cruel</t>
  </si>
  <si>
    <t>Katie Cruel</t>
  </si>
  <si>
    <t>katie dear</t>
  </si>
  <si>
    <t>Katie Dear</t>
  </si>
  <si>
    <t>katie kline</t>
  </si>
  <si>
    <t>Katie Kline</t>
  </si>
  <si>
    <t>katie mae</t>
  </si>
  <si>
    <t>katy hill</t>
  </si>
  <si>
    <t>Katy Hill</t>
  </si>
  <si>
    <t>kaw-liga</t>
  </si>
  <si>
    <t>Kaw-Liga</t>
  </si>
  <si>
    <t>kc moan</t>
  </si>
  <si>
    <t>KC Moan</t>
  </si>
  <si>
    <t>keep on growing</t>
  </si>
  <si>
    <t>Keep On Growing</t>
  </si>
  <si>
    <t>keep rolling by</t>
  </si>
  <si>
    <t>Keep Rolling By</t>
  </si>
  <si>
    <t>keno the rent man</t>
  </si>
  <si>
    <t>Keno The Rent Man</t>
  </si>
  <si>
    <t>kentucky waltz</t>
  </si>
  <si>
    <t>Kentucky Waltz</t>
  </si>
  <si>
    <t>key to the highway</t>
  </si>
  <si>
    <t>Key To The Highway</t>
  </si>
  <si>
    <t>keystone korner jam</t>
  </si>
  <si>
    <t>Keystone Korner Jam</t>
  </si>
  <si>
    <t>king solomon's marbles</t>
  </si>
  <si>
    <t>kissimee kid</t>
  </si>
  <si>
    <t>Kissimee Kid</t>
  </si>
  <si>
    <t>knock on wood</t>
  </si>
  <si>
    <t>Knock On Wood</t>
  </si>
  <si>
    <t>knockin' on heaven's door</t>
  </si>
  <si>
    <t>Knockin' On Heaven's Door</t>
  </si>
  <si>
    <t>knockin' on your door</t>
  </si>
  <si>
    <t>Knockin' On Your Door</t>
  </si>
  <si>
    <t>ksan jingle</t>
  </si>
  <si>
    <t>KSAN Jingle</t>
  </si>
  <si>
    <t>la bamba</t>
  </si>
  <si>
    <t>La Bamba</t>
  </si>
  <si>
    <t>la di da day</t>
  </si>
  <si>
    <t>La Di Da Day</t>
  </si>
  <si>
    <t>lady came from baltimore</t>
  </si>
  <si>
    <t>Lady Came From Baltimore</t>
  </si>
  <si>
    <t>lady di</t>
  </si>
  <si>
    <t>Lady Di</t>
  </si>
  <si>
    <t>lady mine</t>
  </si>
  <si>
    <t>Lady Mine</t>
  </si>
  <si>
    <t>lady sleeps</t>
  </si>
  <si>
    <t>Lady Sleeps</t>
  </si>
  <si>
    <t>lady with the lamp</t>
  </si>
  <si>
    <t>Lady With The Lamp</t>
  </si>
  <si>
    <t>la-la</t>
  </si>
  <si>
    <t>La-La</t>
  </si>
  <si>
    <t>land of the navajo</t>
  </si>
  <si>
    <t>Land Of The Navajo</t>
  </si>
  <si>
    <t>last flash of rock 'n' roll</t>
  </si>
  <si>
    <t>Last Flash Of Rock 'N' Roll</t>
  </si>
  <si>
    <t>last lonely eagle</t>
  </si>
  <si>
    <t>Last Lonely Eagle</t>
  </si>
  <si>
    <t>last train from poor valley</t>
  </si>
  <si>
    <t>Last Train From Poor Valley</t>
  </si>
  <si>
    <t>late for supper</t>
  </si>
  <si>
    <t>Late For Supper</t>
  </si>
  <si>
    <t>late last night when willie came home</t>
  </si>
  <si>
    <t>Late Last Night When Willie Came Home</t>
  </si>
  <si>
    <t>laughing</t>
  </si>
  <si>
    <t>Laughing</t>
  </si>
  <si>
    <t>lay down sally</t>
  </si>
  <si>
    <t>Lay Down Sally</t>
  </si>
  <si>
    <t>lay lady lay</t>
  </si>
  <si>
    <t>Lay Lady Lay</t>
  </si>
  <si>
    <t>lazy bones</t>
  </si>
  <si>
    <t>Lazy Bones</t>
  </si>
  <si>
    <t>lazy lightning</t>
  </si>
  <si>
    <t>lazy river road</t>
  </si>
  <si>
    <t>Lazy River Road</t>
  </si>
  <si>
    <t>leather winged bat</t>
  </si>
  <si>
    <t>Leather Winged Bat</t>
  </si>
  <si>
    <t>leave me alone with the blues</t>
  </si>
  <si>
    <t>Leave Me Alone With The Blues</t>
  </si>
  <si>
    <t>leave the little girl alone</t>
  </si>
  <si>
    <t>Leave The Little Girl Alone</t>
  </si>
  <si>
    <t>leave well enough alone</t>
  </si>
  <si>
    <t>Leave Well Enough Alone</t>
  </si>
  <si>
    <t>legend of the johnson boys</t>
  </si>
  <si>
    <t>Legend Of The Johnson Boys</t>
  </si>
  <si>
    <t>let it be me</t>
  </si>
  <si>
    <t>Let It Be Me</t>
  </si>
  <si>
    <t>let it grow</t>
  </si>
  <si>
    <t>let it rock</t>
  </si>
  <si>
    <t>let me in</t>
  </si>
  <si>
    <t>Let Me In</t>
  </si>
  <si>
    <t>let me roll it</t>
  </si>
  <si>
    <t>Let Me Roll It</t>
  </si>
  <si>
    <t>let me sing your blues away</t>
  </si>
  <si>
    <t>let me wrap you in my warm and tender love</t>
  </si>
  <si>
    <t>Let Me Wrap You In My Warm And Tender Love</t>
  </si>
  <si>
    <t>let the good times roll</t>
  </si>
  <si>
    <t>Let The Good Times Roll</t>
  </si>
  <si>
    <t>let the good times roll (shirley and lee song)</t>
  </si>
  <si>
    <t>Let the Good Times Roll (Shirley and Lee song)</t>
  </si>
  <si>
    <t>let's go get stoned</t>
  </si>
  <si>
    <t>Let's Go Get Stoned</t>
  </si>
  <si>
    <t>let's go together</t>
  </si>
  <si>
    <t>Let's Go Together</t>
  </si>
  <si>
    <t>let's spend the night together</t>
  </si>
  <si>
    <t>Let's Spend The Night Together</t>
  </si>
  <si>
    <t>liberty</t>
  </si>
  <si>
    <t>Liberty</t>
  </si>
  <si>
    <t>life's railway to heaven</t>
  </si>
  <si>
    <t>Life's Railway To Heaven</t>
  </si>
  <si>
    <t>like a road leading home</t>
  </si>
  <si>
    <t>Like A Road Leading Home</t>
  </si>
  <si>
    <t>like a rolling stone</t>
  </si>
  <si>
    <t>Like A Rolling Stone</t>
  </si>
  <si>
    <t>lilith</t>
  </si>
  <si>
    <t>Lilith</t>
  </si>
  <si>
    <t>limehouse blues</t>
  </si>
  <si>
    <t>Limehouse Blues</t>
  </si>
  <si>
    <t>linda chicana</t>
  </si>
  <si>
    <t>Linda Chicana</t>
  </si>
  <si>
    <t>linda lou</t>
  </si>
  <si>
    <t>Linda Lou</t>
  </si>
  <si>
    <t>lindy</t>
  </si>
  <si>
    <t>little bessie</t>
  </si>
  <si>
    <t>Little Bessie</t>
  </si>
  <si>
    <t>little birdie</t>
  </si>
  <si>
    <t>Little Birdie</t>
  </si>
  <si>
    <t>little bit of righteousness</t>
  </si>
  <si>
    <t>Little Bit Of Righteousness</t>
  </si>
  <si>
    <t>little boy</t>
  </si>
  <si>
    <t>Little Boy</t>
  </si>
  <si>
    <t>little georgia rose</t>
  </si>
  <si>
    <t>Little Georgia Rose</t>
  </si>
  <si>
    <t>little glass of wine</t>
  </si>
  <si>
    <t>Little Glass Of Wine</t>
  </si>
  <si>
    <t>little liza jane</t>
  </si>
  <si>
    <t>Little Liza Jane</t>
  </si>
  <si>
    <t>little maggie</t>
  </si>
  <si>
    <t>Little Maggie</t>
  </si>
  <si>
    <t>little red rooster</t>
  </si>
  <si>
    <t>little sadie</t>
  </si>
  <si>
    <t>little star</t>
  </si>
  <si>
    <t>little sunflower</t>
  </si>
  <si>
    <t>Little Sunflower</t>
  </si>
  <si>
    <t>live and let live</t>
  </si>
  <si>
    <t>Live And Let Live</t>
  </si>
  <si>
    <t>livin' the life on the farm</t>
  </si>
  <si>
    <t>Livin' The Life On The Farm</t>
  </si>
  <si>
    <t>lochinvar</t>
  </si>
  <si>
    <t>Lochinvar</t>
  </si>
  <si>
    <t>lodi</t>
  </si>
  <si>
    <t>Lodi</t>
  </si>
  <si>
    <t>lonely avenue</t>
  </si>
  <si>
    <t>Lonely Avenue</t>
  </si>
  <si>
    <t>lonesome and a long way from home</t>
  </si>
  <si>
    <t>Lonesome And A Long Way From Home</t>
  </si>
  <si>
    <t>lonesome fiddle blues</t>
  </si>
  <si>
    <t>Lonesome Fiddle Blues</t>
  </si>
  <si>
    <t>lonesome l.a. cowboy</t>
  </si>
  <si>
    <t>Lonesome L.A. Cowboy</t>
  </si>
  <si>
    <t>lonesome road blues</t>
  </si>
  <si>
    <t>Lonesome Road Blues</t>
  </si>
  <si>
    <t>lonesome town</t>
  </si>
  <si>
    <t>Lonesome Town</t>
  </si>
  <si>
    <t>long ago (and far away)</t>
  </si>
  <si>
    <t>Long Ago (And Far Away)</t>
  </si>
  <si>
    <t>long black limousine</t>
  </si>
  <si>
    <t>long black veil</t>
  </si>
  <si>
    <t>Long Black Veil</t>
  </si>
  <si>
    <t>long lonesome road</t>
  </si>
  <si>
    <t>Long Lonesome Road</t>
  </si>
  <si>
    <t>long tall sally</t>
  </si>
  <si>
    <t>Long Tall Sally</t>
  </si>
  <si>
    <t>long train running</t>
  </si>
  <si>
    <t>Long Train Running</t>
  </si>
  <si>
    <t>look on yonder's wall</t>
  </si>
  <si>
    <t>Look On Yonder's Wall</t>
  </si>
  <si>
    <t>looks like rain</t>
  </si>
  <si>
    <t>loose lucy</t>
  </si>
  <si>
    <t>loser</t>
  </si>
  <si>
    <t>lost</t>
  </si>
  <si>
    <t>Lost</t>
  </si>
  <si>
    <t>lost sailor</t>
  </si>
  <si>
    <t>louie louie</t>
  </si>
  <si>
    <t>Louie Louie</t>
  </si>
  <si>
    <t>louis collins</t>
  </si>
  <si>
    <t>Louis Collins</t>
  </si>
  <si>
    <t>louisiana lady</t>
  </si>
  <si>
    <t>Louisiana Lady</t>
  </si>
  <si>
    <t>love and wealth</t>
  </si>
  <si>
    <t>Love And Wealth</t>
  </si>
  <si>
    <t>love having you around</t>
  </si>
  <si>
    <t>Love Having You Around</t>
  </si>
  <si>
    <t>love in the afternoon</t>
  </si>
  <si>
    <t>Love In The Afternoon</t>
  </si>
  <si>
    <t>love please come home</t>
  </si>
  <si>
    <t>Love Please Come Home</t>
  </si>
  <si>
    <t>love scene improvisation</t>
  </si>
  <si>
    <t>Love Scene Improvisation</t>
  </si>
  <si>
    <t>love the one you're with</t>
  </si>
  <si>
    <t>Love The One You're With</t>
  </si>
  <si>
    <t>loveable</t>
  </si>
  <si>
    <t>Loveable</t>
  </si>
  <si>
    <t>lovely bunch of coconuts tuning</t>
  </si>
  <si>
    <t>Lovely Bunch Of Coconuts Tuning</t>
  </si>
  <si>
    <t>lovely night for dancing</t>
  </si>
  <si>
    <t>Lovely Night For Dancing</t>
  </si>
  <si>
    <t>lover man (oh, where can you be?)</t>
  </si>
  <si>
    <t>Lover Man (Oh, Where Can You Be?)</t>
  </si>
  <si>
    <t>loving sky</t>
  </si>
  <si>
    <t>Loving Sky</t>
  </si>
  <si>
    <t>low down payment</t>
  </si>
  <si>
    <t>Low Down Payment</t>
  </si>
  <si>
    <t>loyin loyin</t>
  </si>
  <si>
    <t>Loyin Loyin</t>
  </si>
  <si>
    <t>lucifer's eyes</t>
  </si>
  <si>
    <t>Lucifer's Eyes</t>
  </si>
  <si>
    <t>lucy in the sky with diamonds</t>
  </si>
  <si>
    <t>Lucy In The Sky With Diamonds</t>
  </si>
  <si>
    <t>mack the knife tease</t>
  </si>
  <si>
    <t>Mack The Knife Tease</t>
  </si>
  <si>
    <t>maggie's farm</t>
  </si>
  <si>
    <t>Maggie's Farm</t>
  </si>
  <si>
    <t>magnificent sanctuary band</t>
  </si>
  <si>
    <t>Magnificent Sanctuary Band</t>
  </si>
  <si>
    <t>maiden's prayer</t>
  </si>
  <si>
    <t>Maiden's Prayer</t>
  </si>
  <si>
    <t>main street moan</t>
  </si>
  <si>
    <t>Main Street Moan</t>
  </si>
  <si>
    <t>make me a pallet on your floor</t>
  </si>
  <si>
    <t>Make Me A Pallet On Your Floor</t>
  </si>
  <si>
    <t>mama don't you cry</t>
  </si>
  <si>
    <t>Mama Don't You Cry</t>
  </si>
  <si>
    <t>mama tried</t>
  </si>
  <si>
    <t>man of constant sorrow</t>
  </si>
  <si>
    <t>Man Of Constant Sorrow</t>
  </si>
  <si>
    <t>man of peace</t>
  </si>
  <si>
    <t>Man Of Peace</t>
  </si>
  <si>
    <t>man smart (woman smarter)</t>
  </si>
  <si>
    <t>Man Smart (Woman Smarter)</t>
  </si>
  <si>
    <t>man-child</t>
  </si>
  <si>
    <t>Man-Child</t>
  </si>
  <si>
    <t>mandela</t>
  </si>
  <si>
    <t>Mandela</t>
  </si>
  <si>
    <t>mannish boy (i'm a man)</t>
  </si>
  <si>
    <t>Mannish Boy (I'm A Man)</t>
  </si>
  <si>
    <t>marriott usa</t>
  </si>
  <si>
    <t>Marriott USA</t>
  </si>
  <si>
    <t>mason's children</t>
  </si>
  <si>
    <t>matilda</t>
  </si>
  <si>
    <t>Matilda</t>
  </si>
  <si>
    <t>matty groves</t>
  </si>
  <si>
    <t>Matty Groves</t>
  </si>
  <si>
    <t>mau mau</t>
  </si>
  <si>
    <t>Mau Mau</t>
  </si>
  <si>
    <t>maybe she's a bluebird</t>
  </si>
  <si>
    <t>Maybe She's A Bluebird</t>
  </si>
  <si>
    <t>maybe you know</t>
  </si>
  <si>
    <t>maybe you will change your mind</t>
  </si>
  <si>
    <t>Maybe You Will Change Your Mind</t>
  </si>
  <si>
    <t>maybellene</t>
  </si>
  <si>
    <t>Maybellene</t>
  </si>
  <si>
    <t>me and bobby mcgee</t>
  </si>
  <si>
    <t>me and my chauffeur blues</t>
  </si>
  <si>
    <t>Me And My Chauffeur Blues</t>
  </si>
  <si>
    <t>me and my uncle</t>
  </si>
  <si>
    <t>mean woman blues</t>
  </si>
  <si>
    <t>Mean Woman Blues</t>
  </si>
  <si>
    <t>memories of mother and dad</t>
  </si>
  <si>
    <t>Memories Of Mother And Dad</t>
  </si>
  <si>
    <t>memphis</t>
  </si>
  <si>
    <t>Memphis</t>
  </si>
  <si>
    <t>mercy, mercy, mercy</t>
  </si>
  <si>
    <t>Mercy, Mercy, Mercy</t>
  </si>
  <si>
    <t>merl's tune</t>
  </si>
  <si>
    <t>Merl's Tune</t>
  </si>
  <si>
    <t>methodist preacher</t>
  </si>
  <si>
    <t>Methodist Preacher</t>
  </si>
  <si>
    <t>mexicali blues</t>
  </si>
  <si>
    <t>michael, row the boat ashore</t>
  </si>
  <si>
    <t>Michael, Row the Boat Ashore</t>
  </si>
  <si>
    <t>mickey mouse theme</t>
  </si>
  <si>
    <t>Mickey Mouse Theme</t>
  </si>
  <si>
    <t>midnight at the oasis</t>
  </si>
  <si>
    <t>Midnight At The Oasis</t>
  </si>
  <si>
    <t>midnight getaway</t>
  </si>
  <si>
    <t>Midnight Getaway</t>
  </si>
  <si>
    <t>midnight hour</t>
  </si>
  <si>
    <t>Midnight Hour</t>
  </si>
  <si>
    <t>midnight moonlight</t>
  </si>
  <si>
    <t>Midnight Moonlight</t>
  </si>
  <si>
    <t>midnight on the stormy deep</t>
  </si>
  <si>
    <t>Midnight On The Stormy Deep</t>
  </si>
  <si>
    <t>midnight special</t>
  </si>
  <si>
    <t>Midnight Special</t>
  </si>
  <si>
    <t>midnight town</t>
  </si>
  <si>
    <t>Midnight Town</t>
  </si>
  <si>
    <t>might as well</t>
  </si>
  <si>
    <t>mighty time</t>
  </si>
  <si>
    <t>Mighty Time</t>
  </si>
  <si>
    <t>milestones</t>
  </si>
  <si>
    <t>Milestones</t>
  </si>
  <si>
    <t>mind left body jam</t>
  </si>
  <si>
    <t>mind your own business</t>
  </si>
  <si>
    <t>Mind Your Own Business</t>
  </si>
  <si>
    <t>mindbender</t>
  </si>
  <si>
    <t>Mindbender</t>
  </si>
  <si>
    <t>minglewood blues</t>
  </si>
  <si>
    <t>mission in the rain</t>
  </si>
  <si>
    <t>Mission In The Rain</t>
  </si>
  <si>
    <t>mississippi half-step uptown toodeloo</t>
  </si>
  <si>
    <t>mississippi moon</t>
  </si>
  <si>
    <t>Mississippi Moon</t>
  </si>
  <si>
    <t>mohican and the great spirit</t>
  </si>
  <si>
    <t>Mohican And The Great Spirit</t>
  </si>
  <si>
    <t>mojo worker</t>
  </si>
  <si>
    <t>Mojo Worker</t>
  </si>
  <si>
    <t>molly dee</t>
  </si>
  <si>
    <t>Molly Dee</t>
  </si>
  <si>
    <t>mona</t>
  </si>
  <si>
    <t>money honey</t>
  </si>
  <si>
    <t>Money Honey</t>
  </si>
  <si>
    <t>money money</t>
  </si>
  <si>
    <t>monkey and the engineer</t>
  </si>
  <si>
    <t>monroe's hornpipe</t>
  </si>
  <si>
    <t>Monroe's Hornpipe</t>
  </si>
  <si>
    <t>monsoon</t>
  </si>
  <si>
    <t>Monsoon</t>
  </si>
  <si>
    <t>moonlight bay</t>
  </si>
  <si>
    <t>Moonlight Bay</t>
  </si>
  <si>
    <t>moonlight mile</t>
  </si>
  <si>
    <t>Moonlight Mile</t>
  </si>
  <si>
    <t>moonlight waltz</t>
  </si>
  <si>
    <t>Moonlight Waltz</t>
  </si>
  <si>
    <t>morning dew</t>
  </si>
  <si>
    <t>morning in marin</t>
  </si>
  <si>
    <t>Morning In Marin</t>
  </si>
  <si>
    <t>mother nature's son</t>
  </si>
  <si>
    <t>Mother Nature's Son</t>
  </si>
  <si>
    <t>motherless children</t>
  </si>
  <si>
    <t>Motherless Children</t>
  </si>
  <si>
    <t>mother's not dead</t>
  </si>
  <si>
    <t>Mother's Not Dead</t>
  </si>
  <si>
    <t>mountain jam</t>
  </si>
  <si>
    <t>Mountain Jam</t>
  </si>
  <si>
    <t>mountain song</t>
  </si>
  <si>
    <t>Mountain Song</t>
  </si>
  <si>
    <t>mountains of the moon</t>
  </si>
  <si>
    <t>move on down</t>
  </si>
  <si>
    <t>Move On Down</t>
  </si>
  <si>
    <t>mr. charlie</t>
  </si>
  <si>
    <t>mr. clean</t>
  </si>
  <si>
    <t>Mr. Clean</t>
  </si>
  <si>
    <t>mr. tambourine man</t>
  </si>
  <si>
    <t>Mr. Tambourine Man</t>
  </si>
  <si>
    <t>muddy water</t>
  </si>
  <si>
    <t>Muddy Water</t>
  </si>
  <si>
    <t>muevete</t>
  </si>
  <si>
    <t>Muevete</t>
  </si>
  <si>
    <t>mule skinner blues</t>
  </si>
  <si>
    <t>Mule Skinner Blues</t>
  </si>
  <si>
    <t>my babe</t>
  </si>
  <si>
    <t>My Babe</t>
  </si>
  <si>
    <t>my baby left me</t>
  </si>
  <si>
    <t>My Baby Left Me</t>
  </si>
  <si>
    <t>my baby thinks he's a train</t>
  </si>
  <si>
    <t>My Baby Thinks He's A Train</t>
  </si>
  <si>
    <t>my blues</t>
  </si>
  <si>
    <t>My Blues</t>
  </si>
  <si>
    <t>my brother esau</t>
  </si>
  <si>
    <t>my funny valentine</t>
  </si>
  <si>
    <t>My Funny Valentine</t>
  </si>
  <si>
    <t>my gal</t>
  </si>
  <si>
    <t>My Gal</t>
  </si>
  <si>
    <t>my love for you</t>
  </si>
  <si>
    <t>My Love For You</t>
  </si>
  <si>
    <t>my own fault</t>
  </si>
  <si>
    <t>My Own Fault</t>
  </si>
  <si>
    <t>my plastic banana is not stupid</t>
  </si>
  <si>
    <t>My Plastic Banana Is Not Stupid</t>
  </si>
  <si>
    <t>my problems got problems</t>
  </si>
  <si>
    <t>My Problems Got Problems</t>
  </si>
  <si>
    <t>my sisters and brothers</t>
  </si>
  <si>
    <t>My Sisters And Brothers</t>
  </si>
  <si>
    <t>mystery train</t>
  </si>
  <si>
    <t>Mystery Train</t>
  </si>
  <si>
    <t>neighbor, neighbor</t>
  </si>
  <si>
    <t>Neighbor, Neighbor</t>
  </si>
  <si>
    <t>neighborhood girls</t>
  </si>
  <si>
    <t>Neighborhood Girls</t>
  </si>
  <si>
    <t>nessa</t>
  </si>
  <si>
    <t>Nessa</t>
  </si>
  <si>
    <t>never been to heaven</t>
  </si>
  <si>
    <t>Never Been To Heaven</t>
  </si>
  <si>
    <t>never tomorrow</t>
  </si>
  <si>
    <t>Never Tomorrow</t>
  </si>
  <si>
    <t>new camptown races</t>
  </si>
  <si>
    <t>New Camptown Races</t>
  </si>
  <si>
    <t>new orleans</t>
  </si>
  <si>
    <t>New Orleans</t>
  </si>
  <si>
    <t>new potato caboose</t>
  </si>
  <si>
    <t>new river train</t>
  </si>
  <si>
    <t>New River Train</t>
  </si>
  <si>
    <t>new speedway boogie</t>
  </si>
  <si>
    <t>new train</t>
  </si>
  <si>
    <t>New Train</t>
  </si>
  <si>
    <t>new york city</t>
  </si>
  <si>
    <t>New York City</t>
  </si>
  <si>
    <t>next time you see me</t>
  </si>
  <si>
    <t>nica's dream</t>
  </si>
  <si>
    <t>Nica's Dream</t>
  </si>
  <si>
    <t>night in tunisia</t>
  </si>
  <si>
    <t>Night In Tunisia</t>
  </si>
  <si>
    <t>nine pound hammer</t>
  </si>
  <si>
    <t>Nine Pound Hammer</t>
  </si>
  <si>
    <t>no entry</t>
  </si>
  <si>
    <t>No Entry</t>
  </si>
  <si>
    <t>no it ain't</t>
  </si>
  <si>
    <t>No It Ain't</t>
  </si>
  <si>
    <t>no lie</t>
  </si>
  <si>
    <t>No Lie</t>
  </si>
  <si>
    <t>no time</t>
  </si>
  <si>
    <t>No Time</t>
  </si>
  <si>
    <t>noah's breakdown</t>
  </si>
  <si>
    <t>Noah's Breakdown</t>
  </si>
  <si>
    <t>nobody's fault but mine</t>
  </si>
  <si>
    <t>nobody's spoonful jam</t>
  </si>
  <si>
    <t>Nobody's Spoonful Jam</t>
  </si>
  <si>
    <t>non-improvisation</t>
  </si>
  <si>
    <t>Non-Improvisation</t>
  </si>
  <si>
    <t>not fade away</t>
  </si>
  <si>
    <t>nowhere man</t>
  </si>
  <si>
    <t>Nowhere Man</t>
  </si>
  <si>
    <t>ocean of diamonds</t>
  </si>
  <si>
    <t>Ocean Of Diamonds</t>
  </si>
  <si>
    <t>octopus's garden</t>
  </si>
  <si>
    <t>Octopus's Garden</t>
  </si>
  <si>
    <t>ode for billie dean</t>
  </si>
  <si>
    <t>Ode For Billie Dean</t>
  </si>
  <si>
    <t>off to sea once more</t>
  </si>
  <si>
    <t>Off To Sea Once More</t>
  </si>
  <si>
    <t>oh babe, it ain't no lie</t>
  </si>
  <si>
    <t>Oh Babe, It Ain't No Lie</t>
  </si>
  <si>
    <t>oh boy</t>
  </si>
  <si>
    <t>Oh Boy</t>
  </si>
  <si>
    <t>oh mommy</t>
  </si>
  <si>
    <t>Oh Mommy</t>
  </si>
  <si>
    <t>oh what a beautiful city</t>
  </si>
  <si>
    <t>Oh What A Beautiful City</t>
  </si>
  <si>
    <t>oh, mary don't you weep</t>
  </si>
  <si>
    <t>Oh, Mary Don't You Weep</t>
  </si>
  <si>
    <t>okie from muskogee</t>
  </si>
  <si>
    <t>Okie From Muskogee</t>
  </si>
  <si>
    <t>old and in the way</t>
  </si>
  <si>
    <t>Old And In The Way</t>
  </si>
  <si>
    <t>old and in the way breakdown</t>
  </si>
  <si>
    <t>Old And In The Way Breakdown</t>
  </si>
  <si>
    <t>old joe clark</t>
  </si>
  <si>
    <t>Old Joe Clark</t>
  </si>
  <si>
    <t>old man river</t>
  </si>
  <si>
    <t>Old Man River</t>
  </si>
  <si>
    <t>old old house</t>
  </si>
  <si>
    <t>Old Old House</t>
  </si>
  <si>
    <t>ollin arageed</t>
  </si>
  <si>
    <t>Ollin Arageed</t>
  </si>
  <si>
    <t>om sri ram jai ram jai jai ram</t>
  </si>
  <si>
    <t>Om Sri Ram Jai Ram Jai Jai Ram</t>
  </si>
  <si>
    <t>on and on</t>
  </si>
  <si>
    <t>On And On</t>
  </si>
  <si>
    <t>on the amazon</t>
  </si>
  <si>
    <t>On The Amazon</t>
  </si>
  <si>
    <t>on the road again</t>
  </si>
  <si>
    <t>on top of old smoky</t>
  </si>
  <si>
    <t>On Top Of Old Smoky</t>
  </si>
  <si>
    <t>once more</t>
  </si>
  <si>
    <t>Once More</t>
  </si>
  <si>
    <t>one a. m. approach</t>
  </si>
  <si>
    <t>One A. M. Approach</t>
  </si>
  <si>
    <t>one kind favor</t>
  </si>
  <si>
    <t>one mint julep</t>
  </si>
  <si>
    <t>One Mint Julep</t>
  </si>
  <si>
    <t>one more saturday night</t>
  </si>
  <si>
    <t>one thing to try</t>
  </si>
  <si>
    <t>One Thing To Try</t>
  </si>
  <si>
    <t>one too many stories</t>
  </si>
  <si>
    <t>One Too Many Stories</t>
  </si>
  <si>
    <t>one way out</t>
  </si>
  <si>
    <t>One Way Out</t>
  </si>
  <si>
    <t>only a fool</t>
  </si>
  <si>
    <t>Only A Fool</t>
  </si>
  <si>
    <t>only daddy that'll walk the line</t>
  </si>
  <si>
    <t>Only Daddy That'll Walk the Line</t>
  </si>
  <si>
    <t>operator</t>
  </si>
  <si>
    <t>orange blossom special</t>
  </si>
  <si>
    <t>Orange Blossom Special</t>
  </si>
  <si>
    <t>orpheus</t>
  </si>
  <si>
    <t>Orpheus</t>
  </si>
  <si>
    <t>outside clover</t>
  </si>
  <si>
    <t>Outside Clover</t>
  </si>
  <si>
    <t>over jordan</t>
  </si>
  <si>
    <t>Over Jordan</t>
  </si>
  <si>
    <t>overseas stomp</t>
  </si>
  <si>
    <t>Overseas Stomp</t>
  </si>
  <si>
    <t>paddy on the turnpike</t>
  </si>
  <si>
    <t>Paddy On The Turnpike</t>
  </si>
  <si>
    <t>pain in my heart</t>
  </si>
  <si>
    <t>Pain In My Heart</t>
  </si>
  <si>
    <t>palm sunday</t>
  </si>
  <si>
    <t>Palm Sunday</t>
  </si>
  <si>
    <t>panama red</t>
  </si>
  <si>
    <t>Panama Red</t>
  </si>
  <si>
    <t>panhandle country</t>
  </si>
  <si>
    <t>Panhandle Country</t>
  </si>
  <si>
    <t>paperback writer</t>
  </si>
  <si>
    <t>Paperback Writer</t>
  </si>
  <si>
    <t>parchman farm</t>
  </si>
  <si>
    <t>Parchman Farm</t>
  </si>
  <si>
    <t>passenger</t>
  </si>
  <si>
    <t>paul siebel's song</t>
  </si>
  <si>
    <t>Paul Siebel's Song</t>
  </si>
  <si>
    <t>pay me my money down</t>
  </si>
  <si>
    <t>Pay Me My Money Down</t>
  </si>
  <si>
    <t>peace and happiness</t>
  </si>
  <si>
    <t>Peace And Happiness</t>
  </si>
  <si>
    <t>peanut butter</t>
  </si>
  <si>
    <t>Peanut Butter</t>
  </si>
  <si>
    <t>peggy sue</t>
  </si>
  <si>
    <t>Peggy Sue</t>
  </si>
  <si>
    <t>peggy-o</t>
  </si>
  <si>
    <t>pennies from heaven</t>
  </si>
  <si>
    <t>Pennies From Heaven</t>
  </si>
  <si>
    <t>people make the world go round</t>
  </si>
  <si>
    <t>People Make The World Go Round</t>
  </si>
  <si>
    <t>philadelphia lawyer</t>
  </si>
  <si>
    <t>Philadelphia Lawyer</t>
  </si>
  <si>
    <t>picasso moon</t>
  </si>
  <si>
    <t>pick a bale of cotton</t>
  </si>
  <si>
    <t>Pick A Bale Of Cotton</t>
  </si>
  <si>
    <t>pig in a pen</t>
  </si>
  <si>
    <t>Pig In A Pen</t>
  </si>
  <si>
    <t>pig's boogie</t>
  </si>
  <si>
    <t>Pig's Boogie</t>
  </si>
  <si>
    <t>pike county breakdown</t>
  </si>
  <si>
    <t>Pike County Breakdown</t>
  </si>
  <si>
    <t>pistol packing mama</t>
  </si>
  <si>
    <t>Pistol Packing Mama</t>
  </si>
  <si>
    <t>plastic fantastic lover</t>
  </si>
  <si>
    <t>Plastic Fantastic Lover</t>
  </si>
  <si>
    <t>playing in the band</t>
  </si>
  <si>
    <t>playing in the band reprise</t>
  </si>
  <si>
    <t>Playing In The Band Reprise</t>
  </si>
  <si>
    <t>please send me someone to love</t>
  </si>
  <si>
    <t>Please Send Me Someone To Love</t>
  </si>
  <si>
    <t>please, please, please</t>
  </si>
  <si>
    <t>Please, Please, Please</t>
  </si>
  <si>
    <t>pledging my time</t>
  </si>
  <si>
    <t>Pledging My Time</t>
  </si>
  <si>
    <t>poison glass of wine</t>
  </si>
  <si>
    <t>Poison Glass Of Wine</t>
  </si>
  <si>
    <t>poland pay</t>
  </si>
  <si>
    <t>Poland Pay</t>
  </si>
  <si>
    <t>pollution</t>
  </si>
  <si>
    <t>Pollution</t>
  </si>
  <si>
    <t>poor ellen smith</t>
  </si>
  <si>
    <t>Poor Ellen Smith</t>
  </si>
  <si>
    <t>poor paddy works on the railway</t>
  </si>
  <si>
    <t>Poor Paddy Works On The Railway</t>
  </si>
  <si>
    <t>portland woman</t>
  </si>
  <si>
    <t>Portland Woman</t>
  </si>
  <si>
    <t>positively 4th street</t>
  </si>
  <si>
    <t>Positively 4th Street</t>
  </si>
  <si>
    <t>pranam</t>
  </si>
  <si>
    <t>Pranam</t>
  </si>
  <si>
    <t>pride of cucamonga</t>
  </si>
  <si>
    <t>prisoner of love</t>
  </si>
  <si>
    <t>Prisoner Of Love</t>
  </si>
  <si>
    <t>promised land</t>
  </si>
  <si>
    <t>promontory rider</t>
  </si>
  <si>
    <t>Promontory Rider</t>
  </si>
  <si>
    <t>proto 18 proper</t>
  </si>
  <si>
    <t>Proto 18 Proper</t>
  </si>
  <si>
    <t>proud mary</t>
  </si>
  <si>
    <t>Proud Mary</t>
  </si>
  <si>
    <t>queen jane approximately</t>
  </si>
  <si>
    <t>quinn the eskimo</t>
  </si>
  <si>
    <t>Quinn The Eskimo</t>
  </si>
  <si>
    <t>rabbit chase</t>
  </si>
  <si>
    <t>Rabbit Chase</t>
  </si>
  <si>
    <t>ragged but right</t>
  </si>
  <si>
    <t>Ragged But Right</t>
  </si>
  <si>
    <t>raging sea, how it roars (the mermaid)</t>
  </si>
  <si>
    <t>Raging Sea, How It Roars (The Mermaid)</t>
  </si>
  <si>
    <t>railroad bill</t>
  </si>
  <si>
    <t>Railroad Bill</t>
  </si>
  <si>
    <t>railroading across the great divide</t>
  </si>
  <si>
    <t>Railroading Across The Great Divide</t>
  </si>
  <si>
    <t>rain</t>
  </si>
  <si>
    <t>Rain</t>
  </si>
  <si>
    <t>rain (donna godchaux)</t>
  </si>
  <si>
    <t>Rain (Donna Godchaux)</t>
  </si>
  <si>
    <t>rainbow</t>
  </si>
  <si>
    <t>Rainbow</t>
  </si>
  <si>
    <t>rainy day women #12 and 35</t>
  </si>
  <si>
    <t>Rainy Day Women #12 and 35</t>
  </si>
  <si>
    <t>rake and rambling boy</t>
  </si>
  <si>
    <t>Rake And Rambling Boy</t>
  </si>
  <si>
    <t>ramble on rose</t>
  </si>
  <si>
    <t>raunchy</t>
  </si>
  <si>
    <t>Raunchy</t>
  </si>
  <si>
    <t>raw hide</t>
  </si>
  <si>
    <t>Raw Hide</t>
  </si>
  <si>
    <t>reach high</t>
  </si>
  <si>
    <t>Reach High</t>
  </si>
  <si>
    <t>red rocking chair</t>
  </si>
  <si>
    <t>Red Rocking Chair</t>
  </si>
  <si>
    <t>red wing</t>
  </si>
  <si>
    <t>Red Wing</t>
  </si>
  <si>
    <t>refugee blues</t>
  </si>
  <si>
    <t>Refugee Blues</t>
  </si>
  <si>
    <t>reuben and cherise</t>
  </si>
  <si>
    <t>Reuben And Cherise</t>
  </si>
  <si>
    <t>revelation</t>
  </si>
  <si>
    <t>Revelation</t>
  </si>
  <si>
    <t>revolution</t>
  </si>
  <si>
    <t>Revolution</t>
  </si>
  <si>
    <t>revolutionary hamstrung blues</t>
  </si>
  <si>
    <t>Revolutionary Hamstrung Blues</t>
  </si>
  <si>
    <t>rhapsody in red</t>
  </si>
  <si>
    <t>Rhapsody In Red</t>
  </si>
  <si>
    <t>ride mighty high</t>
  </si>
  <si>
    <t>Ride Mighty High</t>
  </si>
  <si>
    <t>ridin' high</t>
  </si>
  <si>
    <t>Ridin' High</t>
  </si>
  <si>
    <t>riding on that midnight train</t>
  </si>
  <si>
    <t>Riding On That Midnight Train</t>
  </si>
  <si>
    <t>right now is the hour</t>
  </si>
  <si>
    <t>Right Now Is The Hour</t>
  </si>
  <si>
    <t>right place, wrong time</t>
  </si>
  <si>
    <t>Right Place, Wrong Time</t>
  </si>
  <si>
    <t>riot in cell block #9</t>
  </si>
  <si>
    <t>Riot In Cell Block #9</t>
  </si>
  <si>
    <t>rip it up</t>
  </si>
  <si>
    <t>Rip It Up</t>
  </si>
  <si>
    <t>ripple</t>
  </si>
  <si>
    <t>river deep, mountain high</t>
  </si>
  <si>
    <t>River Deep, Mountain High</t>
  </si>
  <si>
    <t>roanoke</t>
  </si>
  <si>
    <t>Roanoke</t>
  </si>
  <si>
    <t>roberta</t>
  </si>
  <si>
    <t>Roberta</t>
  </si>
  <si>
    <t>rock and roll girls</t>
  </si>
  <si>
    <t>Rock And Roll Girls</t>
  </si>
  <si>
    <t>rockin' chair</t>
  </si>
  <si>
    <t>Rockin' Chair</t>
  </si>
  <si>
    <t>rockin' pneumonia</t>
  </si>
  <si>
    <t>Rockin' Pneumonia</t>
  </si>
  <si>
    <t>rockingham mill</t>
  </si>
  <si>
    <t>Rockingham Mill</t>
  </si>
  <si>
    <t>roll in my sweet baby's arms</t>
  </si>
  <si>
    <t>Roll In My Sweet Baby's Arms</t>
  </si>
  <si>
    <t>roll on buddy</t>
  </si>
  <si>
    <t>Roll On Buddy</t>
  </si>
  <si>
    <t>roll over beethoven</t>
  </si>
  <si>
    <t>Roll Over Beethoven</t>
  </si>
  <si>
    <t>rollin' and tumblin'</t>
  </si>
  <si>
    <t>Rollin' And Tumblin'</t>
  </si>
  <si>
    <t>rosa lee mcfall</t>
  </si>
  <si>
    <t>rose of sharon</t>
  </si>
  <si>
    <t>Rose Of Sharon</t>
  </si>
  <si>
    <t>rosemary</t>
  </si>
  <si>
    <t>roving gambler</t>
  </si>
  <si>
    <t>Roving Gambler</t>
  </si>
  <si>
    <t>row jimmy</t>
  </si>
  <si>
    <t>run for the roses</t>
  </si>
  <si>
    <t>Run For The Roses</t>
  </si>
  <si>
    <t>run mountain</t>
  </si>
  <si>
    <t>Run Mountain</t>
  </si>
  <si>
    <t>run rudolph run</t>
  </si>
  <si>
    <t>runnin' back to you</t>
  </si>
  <si>
    <t>Runnin' Back To You</t>
  </si>
  <si>
    <t>russian lullaby</t>
  </si>
  <si>
    <t>Russian Lullaby</t>
  </si>
  <si>
    <t>sage and spirit</t>
  </si>
  <si>
    <t>Sage And Spirit</t>
  </si>
  <si>
    <t>sailin'</t>
  </si>
  <si>
    <t>Sailin'</t>
  </si>
  <si>
    <t>sailor's hornpipe</t>
  </si>
  <si>
    <t>Sailor's Hornpipe</t>
  </si>
  <si>
    <t>saint of circumstance</t>
  </si>
  <si>
    <t>saint stephen</t>
  </si>
  <si>
    <t>sally goodin</t>
  </si>
  <si>
    <t>Sally Goodin</t>
  </si>
  <si>
    <t>sally let your bangs hang down</t>
  </si>
  <si>
    <t>Sally Let Your Bangs Hang Down</t>
  </si>
  <si>
    <t>salt creek</t>
  </si>
  <si>
    <t>Salt Creek</t>
  </si>
  <si>
    <t>salt lake city</t>
  </si>
  <si>
    <t>Salt Lake City</t>
  </si>
  <si>
    <t>salty dog blues</t>
  </si>
  <si>
    <t>Salty Dog Blues</t>
  </si>
  <si>
    <t>sama layuca</t>
  </si>
  <si>
    <t>Sama Layuca</t>
  </si>
  <si>
    <t>samba in the rain</t>
  </si>
  <si>
    <t>Samba In The Rain</t>
  </si>
  <si>
    <t>samson and delilah</t>
  </si>
  <si>
    <t>san francisco bay blues</t>
  </si>
  <si>
    <t>San Francisco Bay Blues</t>
  </si>
  <si>
    <t>santy anno</t>
  </si>
  <si>
    <t>Santy Anno</t>
  </si>
  <si>
    <t>satin doll</t>
  </si>
  <si>
    <t>Satin Doll</t>
  </si>
  <si>
    <t>satisfaction</t>
  </si>
  <si>
    <t>Satisfaction</t>
  </si>
  <si>
    <t>saturday night shuffle</t>
  </si>
  <si>
    <t>Saturday Night Shuffle</t>
  </si>
  <si>
    <t>save mother earth</t>
  </si>
  <si>
    <t>Save Mother Earth</t>
  </si>
  <si>
    <t>save my life</t>
  </si>
  <si>
    <t>Save My Life</t>
  </si>
  <si>
    <t>sawmill</t>
  </si>
  <si>
    <t>Sawmill</t>
  </si>
  <si>
    <t>say boss man</t>
  </si>
  <si>
    <t>Say Boss Man</t>
  </si>
  <si>
    <t>scarlet begonias</t>
  </si>
  <si>
    <t>school days</t>
  </si>
  <si>
    <t>School Days</t>
  </si>
  <si>
    <t>se eni a fe l'amo - kere kere</t>
  </si>
  <si>
    <t>Se Eni A Fe L'Amo - Kere Kere</t>
  </si>
  <si>
    <t>sea child</t>
  </si>
  <si>
    <t>Sea Child</t>
  </si>
  <si>
    <t>sea cruise</t>
  </si>
  <si>
    <t>Sea Cruise</t>
  </si>
  <si>
    <t>searchin'</t>
  </si>
  <si>
    <t>Searchin'</t>
  </si>
  <si>
    <t>seasons of my heart</t>
  </si>
  <si>
    <t>Seasons Of My Heart</t>
  </si>
  <si>
    <t>seastones</t>
  </si>
  <si>
    <t>see what love can do</t>
  </si>
  <si>
    <t>See What Love Can Do</t>
  </si>
  <si>
    <t>seï¿½or (tales of yankee power)</t>
  </si>
  <si>
    <t>Seï¿½or (Tales Of Yankee Power)</t>
  </si>
  <si>
    <t>set me free</t>
  </si>
  <si>
    <t>Set Me Free</t>
  </si>
  <si>
    <t>shady grove</t>
  </si>
  <si>
    <t>Shady Grove</t>
  </si>
  <si>
    <t>shake a hand</t>
  </si>
  <si>
    <t>Shake A Hand</t>
  </si>
  <si>
    <t>shake rattle and roll</t>
  </si>
  <si>
    <t>Shake Rattle And Roll</t>
  </si>
  <si>
    <t>shake that thing</t>
  </si>
  <si>
    <t>Shake That Thing</t>
  </si>
  <si>
    <t>shakedown street</t>
  </si>
  <si>
    <t>sharon</t>
  </si>
  <si>
    <t>Sharon</t>
  </si>
  <si>
    <t>she belongs to me</t>
  </si>
  <si>
    <t>She Belongs To Me</t>
  </si>
  <si>
    <t>she even woke me up to say goodbye</t>
  </si>
  <si>
    <t>She Even Woke Me Up To Say Goodbye</t>
  </si>
  <si>
    <t>she once lived here</t>
  </si>
  <si>
    <t>She Once Lived Here</t>
  </si>
  <si>
    <t>sheik of araby</t>
  </si>
  <si>
    <t>Sheik Of Araby</t>
  </si>
  <si>
    <t>shelter from the storm</t>
  </si>
  <si>
    <t>Shelter From The Storm</t>
  </si>
  <si>
    <t>shenandoah</t>
  </si>
  <si>
    <t>Shenandoah</t>
  </si>
  <si>
    <t>she's got charisma</t>
  </si>
  <si>
    <t>She's Got Charisma</t>
  </si>
  <si>
    <t>she's mine</t>
  </si>
  <si>
    <t>She's Mine</t>
  </si>
  <si>
    <t>she's more to be pitied</t>
  </si>
  <si>
    <t>She's More To Be Pitied</t>
  </si>
  <si>
    <t>she's no angel</t>
  </si>
  <si>
    <t>She's No Angel</t>
  </si>
  <si>
    <t>shine on love</t>
  </si>
  <si>
    <t>Shine On Love</t>
  </si>
  <si>
    <t>shining star</t>
  </si>
  <si>
    <t>Shining Star</t>
  </si>
  <si>
    <t>ship of fools</t>
  </si>
  <si>
    <t>short life of trouble</t>
  </si>
  <si>
    <t>Short Life Of Trouble</t>
  </si>
  <si>
    <t>showboat</t>
  </si>
  <si>
    <t>Showboat</t>
  </si>
  <si>
    <t>sick and tired</t>
  </si>
  <si>
    <t>Sick And Tired</t>
  </si>
  <si>
    <t>sidewalks of new york</t>
  </si>
  <si>
    <t>silver dagger</t>
  </si>
  <si>
    <t>Silver Dagger</t>
  </si>
  <si>
    <t>silver rainbow</t>
  </si>
  <si>
    <t>Silver Rainbow</t>
  </si>
  <si>
    <t>silver threads and golden needles</t>
  </si>
  <si>
    <t>Silver Threads And Golden Needles</t>
  </si>
  <si>
    <t>simple twist of fate</t>
  </si>
  <si>
    <t>Simple Twist Of Fate</t>
  </si>
  <si>
    <t>since i met you baby</t>
  </si>
  <si>
    <t>Since I Met You Baby</t>
  </si>
  <si>
    <t>sing me back home</t>
  </si>
  <si>
    <t>sing me goodbye</t>
  </si>
  <si>
    <t>Sing Me Goodbye</t>
  </si>
  <si>
    <t>singing in the shower</t>
  </si>
  <si>
    <t>Singing In The Shower</t>
  </si>
  <si>
    <t>sitting in limbo</t>
  </si>
  <si>
    <t>Sitting In Limbo</t>
  </si>
  <si>
    <t>sitting on top of the world</t>
  </si>
  <si>
    <t>six days on the road</t>
  </si>
  <si>
    <t>Six Days On the Road</t>
  </si>
  <si>
    <t>six white horses</t>
  </si>
  <si>
    <t>Six White Horses</t>
  </si>
  <si>
    <t>sketches of china</t>
  </si>
  <si>
    <t>Sketches Of China</t>
  </si>
  <si>
    <t>sleigh ride</t>
  </si>
  <si>
    <t>Sleigh Ride</t>
  </si>
  <si>
    <t>slewfoot</t>
  </si>
  <si>
    <t>Slewfoot</t>
  </si>
  <si>
    <t>slipknot!</t>
  </si>
  <si>
    <t>slippin' into darkness</t>
  </si>
  <si>
    <t>Slippin' Into Darkness</t>
  </si>
  <si>
    <t>slipping into christmas</t>
  </si>
  <si>
    <t>Slipping Into Christmas</t>
  </si>
  <si>
    <t>slow glider</t>
  </si>
  <si>
    <t>Slow Glider</t>
  </si>
  <si>
    <t>slow train coming</t>
  </si>
  <si>
    <t>Slow Train Coming</t>
  </si>
  <si>
    <t>slowly but surely</t>
  </si>
  <si>
    <t>Slowly But Surely</t>
  </si>
  <si>
    <t>small walk-in box</t>
  </si>
  <si>
    <t>Small Walk-In Box</t>
  </si>
  <si>
    <t>smoke gets in your eyes</t>
  </si>
  <si>
    <t>Smoke Gets In Your Eyes</t>
  </si>
  <si>
    <t>smokestack lightning</t>
  </si>
  <si>
    <t>so far from time</t>
  </si>
  <si>
    <t>So Far From Time</t>
  </si>
  <si>
    <t>so many roads</t>
  </si>
  <si>
    <t>So Many Roads</t>
  </si>
  <si>
    <t>so sad (to see good love go bad)</t>
  </si>
  <si>
    <t>So Sad (To See Good Love Go Bad)</t>
  </si>
  <si>
    <t>so what?</t>
  </si>
  <si>
    <t>So What?</t>
  </si>
  <si>
    <t>soldier's joy</t>
  </si>
  <si>
    <t>Soldier's Joy</t>
  </si>
  <si>
    <t>solid rock</t>
  </si>
  <si>
    <t>Solid Rock</t>
  </si>
  <si>
    <t>some enchanted evening</t>
  </si>
  <si>
    <t>Some Enchanted Evening</t>
  </si>
  <si>
    <t>somebody loves you</t>
  </si>
  <si>
    <t>Somebody Loves You</t>
  </si>
  <si>
    <t>somebody touched me</t>
  </si>
  <si>
    <t>Somebody Touched Me</t>
  </si>
  <si>
    <t>someday baby</t>
  </si>
  <si>
    <t>Someday Baby</t>
  </si>
  <si>
    <t>someone else's blues</t>
  </si>
  <si>
    <t>Someone Else's Blues</t>
  </si>
  <si>
    <t>something</t>
  </si>
  <si>
    <t>Something</t>
  </si>
  <si>
    <t>something you've got</t>
  </si>
  <si>
    <t>Something You've Got</t>
  </si>
  <si>
    <t>song with no words (tree with no leaves)</t>
  </si>
  <si>
    <t>Song With No Words (Tree With No Leaves)</t>
  </si>
  <si>
    <t>soul fascination</t>
  </si>
  <si>
    <t>Soul Fascination</t>
  </si>
  <si>
    <t>soul fever</t>
  </si>
  <si>
    <t>Soul Fever</t>
  </si>
  <si>
    <t>soul roach</t>
  </si>
  <si>
    <t>Soul Roach</t>
  </si>
  <si>
    <t>sourwood mountain</t>
  </si>
  <si>
    <t>Sourwood Mountain</t>
  </si>
  <si>
    <t>southbound train</t>
  </si>
  <si>
    <t>Southbound Train</t>
  </si>
  <si>
    <t>southside strut</t>
  </si>
  <si>
    <t>Southside Strut</t>
  </si>
  <si>
    <t>space</t>
  </si>
  <si>
    <t>space funk</t>
  </si>
  <si>
    <t>Space Funk</t>
  </si>
  <si>
    <t>spanish jam</t>
  </si>
  <si>
    <t>spike driver blues</t>
  </si>
  <si>
    <t>Spike Driver Blues</t>
  </si>
  <si>
    <t>spoonful</t>
  </si>
  <si>
    <t>Spoonful</t>
  </si>
  <si>
    <t>squib cakes</t>
  </si>
  <si>
    <t>Squib Cakes</t>
  </si>
  <si>
    <t>stagger lee</t>
  </si>
  <si>
    <t>stagolee</t>
  </si>
  <si>
    <t>Stagolee</t>
  </si>
  <si>
    <t>stander on the mountain</t>
  </si>
  <si>
    <t>Stander On The Mountain</t>
  </si>
  <si>
    <t>standing in the need of prayer</t>
  </si>
  <si>
    <t>Standing In The Need Of Prayer</t>
  </si>
  <si>
    <t>standing on the corner</t>
  </si>
  <si>
    <t>standing on the moon</t>
  </si>
  <si>
    <t>star spangled banner</t>
  </si>
  <si>
    <t>Star Spangled Banner</t>
  </si>
  <si>
    <t>starlite jamboree</t>
  </si>
  <si>
    <t>Starlite Jamboree</t>
  </si>
  <si>
    <t>starship</t>
  </si>
  <si>
    <t>Starship</t>
  </si>
  <si>
    <t>starship ride</t>
  </si>
  <si>
    <t>Starship Ride</t>
  </si>
  <si>
    <t>start me up</t>
  </si>
  <si>
    <t>Start Me Up</t>
  </si>
  <si>
    <t>stayin' alive jam</t>
  </si>
  <si>
    <t>Stayin' Alive Jam</t>
  </si>
  <si>
    <t>stealin'</t>
  </si>
  <si>
    <t>stella blue</t>
  </si>
  <si>
    <t>stir it up</t>
  </si>
  <si>
    <t>Stir It Up</t>
  </si>
  <si>
    <t>stoney creek</t>
  </si>
  <si>
    <t>Stoney Creek</t>
  </si>
  <si>
    <t>stop that train</t>
  </si>
  <si>
    <t>Stop That Train</t>
  </si>
  <si>
    <t>stormy monday</t>
  </si>
  <si>
    <t>Stormy Monday</t>
  </si>
  <si>
    <t>straight life</t>
  </si>
  <si>
    <t>Straight Life</t>
  </si>
  <si>
    <t>strange way</t>
  </si>
  <si>
    <t>Strange Way</t>
  </si>
  <si>
    <t>strangers on a train</t>
  </si>
  <si>
    <t>Strangers On A Train</t>
  </si>
  <si>
    <t>streamlined cannonball</t>
  </si>
  <si>
    <t>Streamlined Cannonball</t>
  </si>
  <si>
    <t>stronger than dirt</t>
  </si>
  <si>
    <t>Stronger Than Dirt</t>
  </si>
  <si>
    <t>struggling man</t>
  </si>
  <si>
    <t>Struggling Man</t>
  </si>
  <si>
    <t>stuck inside of mobile with the memphis blues again</t>
  </si>
  <si>
    <t>Stuck Inside Of Mobile With The Memphis Blues Again</t>
  </si>
  <si>
    <t>stuck on you</t>
  </si>
  <si>
    <t>Stuck On You</t>
  </si>
  <si>
    <t>sugar baby</t>
  </si>
  <si>
    <t>Sugar Baby</t>
  </si>
  <si>
    <t>sugar magnolia</t>
  </si>
  <si>
    <t>sugaree</t>
  </si>
  <si>
    <t>sugarfoot rag</t>
  </si>
  <si>
    <t>Sugarfoot Rag</t>
  </si>
  <si>
    <t>summertime</t>
  </si>
  <si>
    <t>Summertime</t>
  </si>
  <si>
    <t>sunrise</t>
  </si>
  <si>
    <t>sunshine daydream</t>
  </si>
  <si>
    <t>sunshine of my life</t>
  </si>
  <si>
    <t>Sunshine Of My Life</t>
  </si>
  <si>
    <t>superman</t>
  </si>
  <si>
    <t>Superman</t>
  </si>
  <si>
    <t>supplication</t>
  </si>
  <si>
    <t>sutter's mill</t>
  </si>
  <si>
    <t>Sutter's Mill</t>
  </si>
  <si>
    <t>suzie q</t>
  </si>
  <si>
    <t>Suzie Q</t>
  </si>
  <si>
    <t>sweet adeline</t>
  </si>
  <si>
    <t>Sweet Adeline</t>
  </si>
  <si>
    <t>sweet baby</t>
  </si>
  <si>
    <t>Sweet Baby</t>
  </si>
  <si>
    <t>sweet cocaine</t>
  </si>
  <si>
    <t>Sweet Cocaine</t>
  </si>
  <si>
    <t>sweet georgia brown</t>
  </si>
  <si>
    <t>Sweet Georgia Brown</t>
  </si>
  <si>
    <t>sweet little angel</t>
  </si>
  <si>
    <t>Sweet Little Angel</t>
  </si>
  <si>
    <t>sweet lovin' one</t>
  </si>
  <si>
    <t>Sweet Lovin' One</t>
  </si>
  <si>
    <t>sweet sixteen</t>
  </si>
  <si>
    <t>Sweet Sixteen</t>
  </si>
  <si>
    <t>sweet sunny south</t>
  </si>
  <si>
    <t>Sweet Sunny South</t>
  </si>
  <si>
    <t>sweetheart you done me wrong</t>
  </si>
  <si>
    <t>Sweetheart You Done Me Wrong</t>
  </si>
  <si>
    <t>swing '42</t>
  </si>
  <si>
    <t>Swing '42</t>
  </si>
  <si>
    <t>swing low, sweet chariot</t>
  </si>
  <si>
    <t>Swing Low, Sweet Chariot</t>
  </si>
  <si>
    <t>swing warm ups</t>
  </si>
  <si>
    <t>Swing Warm Ups</t>
  </si>
  <si>
    <t>swinging doors</t>
  </si>
  <si>
    <t>Swinging Doors</t>
  </si>
  <si>
    <t>t for texas (blue yodel #1)</t>
  </si>
  <si>
    <t>T For Texas (Blue Yodel #1)</t>
  </si>
  <si>
    <t>take a letter maria</t>
  </si>
  <si>
    <t>Take A Letter Maria</t>
  </si>
  <si>
    <t>take it all off</t>
  </si>
  <si>
    <t>Take It All Off</t>
  </si>
  <si>
    <t>take me</t>
  </si>
  <si>
    <t>Take Me</t>
  </si>
  <si>
    <t>take me home country roads</t>
  </si>
  <si>
    <t>Take Me Home Country Roads</t>
  </si>
  <si>
    <t>take me to the river</t>
  </si>
  <si>
    <t>Take Me To The River</t>
  </si>
  <si>
    <t>talkin' 'bout you</t>
  </si>
  <si>
    <t>Talkin' 'Bout You</t>
  </si>
  <si>
    <t>tall timber</t>
  </si>
  <si>
    <t>Tall Timber</t>
  </si>
  <si>
    <t>tamalpais high (at about 3)</t>
  </si>
  <si>
    <t>Tamalpais High (At About 3)</t>
  </si>
  <si>
    <t>tangled up in blue</t>
  </si>
  <si>
    <t>Tangled Up In Blue</t>
  </si>
  <si>
    <t>tastebud</t>
  </si>
  <si>
    <t>tea in the sahara</t>
  </si>
  <si>
    <t>Tea In The Sahara</t>
  </si>
  <si>
    <t>teach your children</t>
  </si>
  <si>
    <t>Teach Your Children</t>
  </si>
  <si>
    <t>teardrops in my eyes</t>
  </si>
  <si>
    <t>Teardrops In My Eyes</t>
  </si>
  <si>
    <t>tears of rage</t>
  </si>
  <si>
    <t>Tears Of Rage</t>
  </si>
  <si>
    <t>teddy bear's picnic</t>
  </si>
  <si>
    <t>Teddy Bear's Picnic</t>
  </si>
  <si>
    <t>teddy bear's picnic tuning</t>
  </si>
  <si>
    <t>Teddy Bear's Picnic Tuning</t>
  </si>
  <si>
    <t>tell it to me</t>
  </si>
  <si>
    <t>Tell It To Me</t>
  </si>
  <si>
    <t>tell mama</t>
  </si>
  <si>
    <t>Tell Mama</t>
  </si>
  <si>
    <t>tellin' my friends about you</t>
  </si>
  <si>
    <t>Tellin' My Friends About You</t>
  </si>
  <si>
    <t>tennessee blues</t>
  </si>
  <si>
    <t>Tennessee Blues</t>
  </si>
  <si>
    <t>tennessee jed</t>
  </si>
  <si>
    <t>tequila</t>
  </si>
  <si>
    <t>Tequila</t>
  </si>
  <si>
    <t>terrapin station</t>
  </si>
  <si>
    <t>that high lonesome sound</t>
  </si>
  <si>
    <t>That High Lonesome Sound</t>
  </si>
  <si>
    <t>that lucky old sun (just rolls around heaven all day)</t>
  </si>
  <si>
    <t>That Lucky Old Sun (Just Rolls Around Heaven All Day)</t>
  </si>
  <si>
    <t>that train</t>
  </si>
  <si>
    <t>That Train</t>
  </si>
  <si>
    <t>that would be something</t>
  </si>
  <si>
    <t>That Would Be Something</t>
  </si>
  <si>
    <t>that'll be the day</t>
  </si>
  <si>
    <t>That'll Be The Day</t>
  </si>
  <si>
    <t>that'll teach 'em</t>
  </si>
  <si>
    <t>That'll Teach 'Em</t>
  </si>
  <si>
    <t>that's a touch i like</t>
  </si>
  <si>
    <t>That's A Touch I Like</t>
  </si>
  <si>
    <t>that's all right</t>
  </si>
  <si>
    <t>That's All Right</t>
  </si>
  <si>
    <t>that's alright mama</t>
  </si>
  <si>
    <t>That's Alright Mama</t>
  </si>
  <si>
    <t>that's how i can count on you</t>
  </si>
  <si>
    <t>That's How I Can Count On You</t>
  </si>
  <si>
    <t>that's what love will make you do</t>
  </si>
  <si>
    <t>That's What Love Will Make You Do</t>
  </si>
  <si>
    <t>the african queen meets the holy ghost</t>
  </si>
  <si>
    <t>The African Queen Meets the Holy Ghost</t>
  </si>
  <si>
    <t>the ascent</t>
  </si>
  <si>
    <t>The Ascent</t>
  </si>
  <si>
    <t>the ballad of frankie lee and judas priest</t>
  </si>
  <si>
    <t>The Ballad Of Frankie Lee And Judas Priest</t>
  </si>
  <si>
    <t>the ballad of ira hayes</t>
  </si>
  <si>
    <t>The Ballad Of Ira Hayes</t>
  </si>
  <si>
    <t>the beat of my drum</t>
  </si>
  <si>
    <t>The Beat Of My Drum</t>
  </si>
  <si>
    <t>the bottle let me down</t>
  </si>
  <si>
    <t>The Bottle Let Me Down</t>
  </si>
  <si>
    <t>the boxer</t>
  </si>
  <si>
    <t>The Boxer</t>
  </si>
  <si>
    <t>the boy in the bubble</t>
  </si>
  <si>
    <t>The Boy In The Bubble</t>
  </si>
  <si>
    <t>the cuckoo</t>
  </si>
  <si>
    <t>The Cuckoo</t>
  </si>
  <si>
    <t>the days between</t>
  </si>
  <si>
    <t>The Days Between</t>
  </si>
  <si>
    <t>the eleven</t>
  </si>
  <si>
    <t>the entertainer</t>
  </si>
  <si>
    <t>The Entertainer</t>
  </si>
  <si>
    <t>the farm</t>
  </si>
  <si>
    <t>The Farm</t>
  </si>
  <si>
    <t>the french girl</t>
  </si>
  <si>
    <t>The French Girl</t>
  </si>
  <si>
    <t>the girl at the crossroads bar</t>
  </si>
  <si>
    <t>The Girl At The Crossroads Bar</t>
  </si>
  <si>
    <t>the girl from ipanema</t>
  </si>
  <si>
    <t>The Girl From Ipanema</t>
  </si>
  <si>
    <t>the girl who knew everything</t>
  </si>
  <si>
    <t>The Girl Who Knew Everything</t>
  </si>
  <si>
    <t>the great pretender</t>
  </si>
  <si>
    <t>The Great Pretender</t>
  </si>
  <si>
    <t>the groom's still waiting at the altar</t>
  </si>
  <si>
    <t>The Groom's Still Waiting At The Altar</t>
  </si>
  <si>
    <t>the holdup</t>
  </si>
  <si>
    <t>The Holdup</t>
  </si>
  <si>
    <t>the hunter gets captured by the game</t>
  </si>
  <si>
    <t>The Hunter Gets Captured By The Game</t>
  </si>
  <si>
    <t>the jealous kind</t>
  </si>
  <si>
    <t>The Jealous Kind</t>
  </si>
  <si>
    <t>the last time</t>
  </si>
  <si>
    <t>The Last Time</t>
  </si>
  <si>
    <t>the little sparrow</t>
  </si>
  <si>
    <t>The Little Sparrow</t>
  </si>
  <si>
    <t>the main ten</t>
  </si>
  <si>
    <t>the maker</t>
  </si>
  <si>
    <t>The Maker</t>
  </si>
  <si>
    <t>the man who wrote home sweet home never was a married man</t>
  </si>
  <si>
    <t>The Man Who Wrote Home Sweet Home Never Was a Married Man</t>
  </si>
  <si>
    <t>the mighty flood</t>
  </si>
  <si>
    <t>The Mighty Flood</t>
  </si>
  <si>
    <t>the miller's will</t>
  </si>
  <si>
    <t>The Miller's Will</t>
  </si>
  <si>
    <t>the music never stopped</t>
  </si>
  <si>
    <t>the next in line</t>
  </si>
  <si>
    <t>The Next In Line</t>
  </si>
  <si>
    <t>the night they drove old dixie down</t>
  </si>
  <si>
    <t>The Night They Drove Old Dixie Down</t>
  </si>
  <si>
    <t>the old crossroads</t>
  </si>
  <si>
    <t>The Old Crossroads</t>
  </si>
  <si>
    <t>the only time is now</t>
  </si>
  <si>
    <t>The Only Time Is Now</t>
  </si>
  <si>
    <t>the other one</t>
  </si>
  <si>
    <t>the race is on</t>
  </si>
  <si>
    <t>the rub</t>
  </si>
  <si>
    <t>The Rub</t>
  </si>
  <si>
    <t>the same thing</t>
  </si>
  <si>
    <t>the seven</t>
  </si>
  <si>
    <t>The Seven</t>
  </si>
  <si>
    <t>the system</t>
  </si>
  <si>
    <t>The System</t>
  </si>
  <si>
    <t>the things i used to do</t>
  </si>
  <si>
    <t>The Things I Used To Do</t>
  </si>
  <si>
    <t>the wagoner's lad</t>
  </si>
  <si>
    <t>The Wagoner's Lad</t>
  </si>
  <si>
    <t>the wall song</t>
  </si>
  <si>
    <t>The Wall Song</t>
  </si>
  <si>
    <t>the way you do the things you do</t>
  </si>
  <si>
    <t>The Way You Do The Things You Do</t>
  </si>
  <si>
    <t>the weight</t>
  </si>
  <si>
    <t>the wheel</t>
  </si>
  <si>
    <t>the willow garden</t>
  </si>
  <si>
    <t>The Willow Garden</t>
  </si>
  <si>
    <t>the world is waiting for the sunrise</t>
  </si>
  <si>
    <t>The World Is Waiting For The Sunrise</t>
  </si>
  <si>
    <t>theme from san francisco</t>
  </si>
  <si>
    <t>Theme From San Francisco</t>
  </si>
  <si>
    <t>there ain't no bugs on me</t>
  </si>
  <si>
    <t>There Ain't No Bugs On Me</t>
  </si>
  <si>
    <t>there's something on your mind</t>
  </si>
  <si>
    <t>There's Something On Your Mind</t>
  </si>
  <si>
    <t>these men of god</t>
  </si>
  <si>
    <t>These Men Of God</t>
  </si>
  <si>
    <t>they killed him</t>
  </si>
  <si>
    <t>They Killed Him</t>
  </si>
  <si>
    <t>they love each other</t>
  </si>
  <si>
    <t>think</t>
  </si>
  <si>
    <t>Think</t>
  </si>
  <si>
    <t>think of what you've done</t>
  </si>
  <si>
    <t>Think Of What You've Done</t>
  </si>
  <si>
    <t>thirsty in the rain</t>
  </si>
  <si>
    <t>Thirsty In The Rain</t>
  </si>
  <si>
    <t>thirty days (to come back home)</t>
  </si>
  <si>
    <t>Thirty Days (To Come Back Home)</t>
  </si>
  <si>
    <t>this land is your land</t>
  </si>
  <si>
    <t>This Land Is Your Land</t>
  </si>
  <si>
    <t>this my destiny</t>
  </si>
  <si>
    <t>This My Destiny</t>
  </si>
  <si>
    <t>this time forever</t>
  </si>
  <si>
    <t>This Time Forever</t>
  </si>
  <si>
    <t>those lonely, lonely nights</t>
  </si>
  <si>
    <t>Those Lonely, Lonely Nights</t>
  </si>
  <si>
    <t>three men went a-hunting</t>
  </si>
  <si>
    <t>Three Men Went A-Hunting</t>
  </si>
  <si>
    <t>three wishes</t>
  </si>
  <si>
    <t>Three Wishes</t>
  </si>
  <si>
    <t>thrill is gone</t>
  </si>
  <si>
    <t>Thrill Is Gone</t>
  </si>
  <si>
    <t>throw out the life line</t>
  </si>
  <si>
    <t>Throw Out The Life Line</t>
  </si>
  <si>
    <t>throwing stones</t>
  </si>
  <si>
    <t>tico-tico no fubï¿½</t>
  </si>
  <si>
    <t>Tico-Tico No Fubï¿½</t>
  </si>
  <si>
    <t>tiger by the tail</t>
  </si>
  <si>
    <t>Tiger By The Tail</t>
  </si>
  <si>
    <t>tiger rose</t>
  </si>
  <si>
    <t>Tiger Rose</t>
  </si>
  <si>
    <t>till the end of the world rolls round</t>
  </si>
  <si>
    <t>Till The End Of The World Rolls Round</t>
  </si>
  <si>
    <t>till the morning comes</t>
  </si>
  <si>
    <t>times they are a changin'</t>
  </si>
  <si>
    <t>Times They Are A Changin'</t>
  </si>
  <si>
    <t>to have the hurting end</t>
  </si>
  <si>
    <t>To Have the Hurting End</t>
  </si>
  <si>
    <t>to lay me down</t>
  </si>
  <si>
    <t>to ramona</t>
  </si>
  <si>
    <t>To Ramona</t>
  </si>
  <si>
    <t>today</t>
  </si>
  <si>
    <t>Today</t>
  </si>
  <si>
    <t>today i started loving you again</t>
  </si>
  <si>
    <t>Today I Started Loving You Again</t>
  </si>
  <si>
    <t>together</t>
  </si>
  <si>
    <t>Together</t>
  </si>
  <si>
    <t>together again</t>
  </si>
  <si>
    <t>Together Again</t>
  </si>
  <si>
    <t>tom dooley</t>
  </si>
  <si>
    <t>tomorrow is a long time</t>
  </si>
  <si>
    <t>Tomorrow Is A Long Time</t>
  </si>
  <si>
    <t>tomorrow is forever</t>
  </si>
  <si>
    <t>Tomorrow Is Forever</t>
  </si>
  <si>
    <t>tomorrow never knows</t>
  </si>
  <si>
    <t>tons of steel</t>
  </si>
  <si>
    <t>topsy part 1</t>
  </si>
  <si>
    <t>Topsy Part 1</t>
  </si>
  <si>
    <t>tore up over you</t>
  </si>
  <si>
    <t>Tore Up Over You</t>
  </si>
  <si>
    <t>touch of grey</t>
  </si>
  <si>
    <t>tough as nails</t>
  </si>
  <si>
    <t>Tough As Nails</t>
  </si>
  <si>
    <t>tough mama</t>
  </si>
  <si>
    <t>Tough Mama</t>
  </si>
  <si>
    <t>toy heart</t>
  </si>
  <si>
    <t>Toy Heart</t>
  </si>
  <si>
    <t>tragedy</t>
  </si>
  <si>
    <t>Tragedy</t>
  </si>
  <si>
    <t>tragic romance</t>
  </si>
  <si>
    <t>Tragic Romance</t>
  </si>
  <si>
    <t>triad</t>
  </si>
  <si>
    <t>Triad</t>
  </si>
  <si>
    <t>trouble in mind</t>
  </si>
  <si>
    <t>Trouble In Mind</t>
  </si>
  <si>
    <t>truck drivin' man</t>
  </si>
  <si>
    <t>Truck Drivin' Man</t>
  </si>
  <si>
    <t>truckin'</t>
  </si>
  <si>
    <t>true life blues</t>
  </si>
  <si>
    <t>True Life Blues</t>
  </si>
  <si>
    <t>true religion</t>
  </si>
  <si>
    <t>True Religion</t>
  </si>
  <si>
    <t>tupelo honey</t>
  </si>
  <si>
    <t>Tupelo Honey</t>
  </si>
  <si>
    <t>turkey in the straw</t>
  </si>
  <si>
    <t>Turkey In The Straw</t>
  </si>
  <si>
    <t>turn on the bright lights</t>
  </si>
  <si>
    <t>Turn On The Bright Lights</t>
  </si>
  <si>
    <t>turn on your lovelight</t>
  </si>
  <si>
    <t>turnaround</t>
  </si>
  <si>
    <t>Turnaround</t>
  </si>
  <si>
    <t>turtle dove</t>
  </si>
  <si>
    <t>Turtle Dove</t>
  </si>
  <si>
    <t>twilight</t>
  </si>
  <si>
    <t>Twilight</t>
  </si>
  <si>
    <t>twist and shout</t>
  </si>
  <si>
    <t>Twist And Shout</t>
  </si>
  <si>
    <t>two little boys</t>
  </si>
  <si>
    <t>Two Little Boys</t>
  </si>
  <si>
    <t>two soldiers</t>
  </si>
  <si>
    <t>Two Soldiers</t>
  </si>
  <si>
    <t>two souls in communion</t>
  </si>
  <si>
    <t>Two Souls In Communion</t>
  </si>
  <si>
    <t>u short</t>
  </si>
  <si>
    <t>U Short</t>
  </si>
  <si>
    <t>u.s. blues</t>
  </si>
  <si>
    <t>unbroken chain</t>
  </si>
  <si>
    <t>uncle john's band</t>
  </si>
  <si>
    <t>uncle martin's</t>
  </si>
  <si>
    <t>Uncle Martin's</t>
  </si>
  <si>
    <t>uncle pen</t>
  </si>
  <si>
    <t>Uncle Pen</t>
  </si>
  <si>
    <t>uncle sam blues</t>
  </si>
  <si>
    <t>Uncle Sam Blues</t>
  </si>
  <si>
    <t>under your spell</t>
  </si>
  <si>
    <t>Under Your Spell</t>
  </si>
  <si>
    <t>unidentified-19660309-01</t>
  </si>
  <si>
    <t>unidentified-19660312-02 (blues instrumental)</t>
  </si>
  <si>
    <t>unidentified-19660325-01</t>
  </si>
  <si>
    <t>unidentified-19670409-01 (blues)</t>
  </si>
  <si>
    <t>unidentified-19681008-01 (blues shuffle in a)</t>
  </si>
  <si>
    <t>unidentified-19681008-01 (blues shuffle in A)</t>
  </si>
  <si>
    <t>unidentified-19681008-02 (blues instrumental)</t>
  </si>
  <si>
    <t>unidentified-19681008-03 (blues instrumental)</t>
  </si>
  <si>
    <t>unidentified-19681008-04 (blues instrumental)</t>
  </si>
  <si>
    <t>unidentified-19681010-01 (blues shuffle in a)</t>
  </si>
  <si>
    <t>unidentified-19681010-01 (blues shuffle in A)</t>
  </si>
  <si>
    <t>unidentified-19681030-01 (instrumental)</t>
  </si>
  <si>
    <t>unidentified-19681030-02 (blues)</t>
  </si>
  <si>
    <t>unidentified-19690219-01</t>
  </si>
  <si>
    <t>unidentified-19690507-01</t>
  </si>
  <si>
    <t>unidentified-19690517-01</t>
  </si>
  <si>
    <t>unidentified-19690917-01 (blues)</t>
  </si>
  <si>
    <t>unidentified-19701021-01</t>
  </si>
  <si>
    <t>unidentified-19701021-02</t>
  </si>
  <si>
    <t>unidentified-19701021-03</t>
  </si>
  <si>
    <t>unidentified-19701021-04</t>
  </si>
  <si>
    <t>unidentified-19701120-01</t>
  </si>
  <si>
    <t>unidentified-19710111-01 (slide jam)</t>
  </si>
  <si>
    <t>unidentified-19710111-02 (jorma and jerry)</t>
  </si>
  <si>
    <t>unidentified-19710111-02 (Jorma and Jerry)</t>
  </si>
  <si>
    <t>unidentified-19710520-01</t>
  </si>
  <si>
    <t>unidentified-19710520-02</t>
  </si>
  <si>
    <t>unidentified-19711209-01</t>
  </si>
  <si>
    <t>unidentified-19720126-01 (jazzy dm)</t>
  </si>
  <si>
    <t>unidentified-19720126-01 (jazzy Dm)</t>
  </si>
  <si>
    <t>unidentified-19720126-02 (blues rock em)</t>
  </si>
  <si>
    <t>unidentified-19720126-02 (blues rock Em)</t>
  </si>
  <si>
    <t>unidentified-19720126-03 (funk g)</t>
  </si>
  <si>
    <t>unidentified-19720126-03 (funk G)</t>
  </si>
  <si>
    <t>unidentified-19720126-04 (blues g)</t>
  </si>
  <si>
    <t>unidentified-19720126-04 (blues G)</t>
  </si>
  <si>
    <t>unidentified-19720126-05 (space rock g)</t>
  </si>
  <si>
    <t>unidentified-19720126-05 (space rock G)</t>
  </si>
  <si>
    <t>unidentified-19720212-01 (instrumental)</t>
  </si>
  <si>
    <t>unidentified-19720212-01 (Instrumental)</t>
  </si>
  <si>
    <t>unidentified-19720219-01 (instrumental)</t>
  </si>
  <si>
    <t>unidentified-19720219-01 (Instrumental)</t>
  </si>
  <si>
    <t>unidentified-19720219-02 (instrumental)</t>
  </si>
  <si>
    <t>unidentified-19720219-02 (Instrumental)</t>
  </si>
  <si>
    <t>unidentified-19721228-01</t>
  </si>
  <si>
    <t>unidentified-19730307-01</t>
  </si>
  <si>
    <t>unidentified-19730413-01 (instrumental)</t>
  </si>
  <si>
    <t>unidentified-19730413-01 (Instrumental)</t>
  </si>
  <si>
    <t>unidentified-19730508 (statler brothers)</t>
  </si>
  <si>
    <t>unidentified-19730508 (Statler Brothers)</t>
  </si>
  <si>
    <t>unidentified-19730715-01 (instrumental)</t>
  </si>
  <si>
    <t>unidentified-19730715-01 (Instrumental)</t>
  </si>
  <si>
    <t>unidentified-19730718-01 (instrumental)</t>
  </si>
  <si>
    <t>unidentified-19730718-01 (Instrumental)</t>
  </si>
  <si>
    <t>unidentified-19730723-01 (instrumental)</t>
  </si>
  <si>
    <t>unidentified-19730723-01 (Instrumental)</t>
  </si>
  <si>
    <t>unidentified-19731005-01 (instrumental)</t>
  </si>
  <si>
    <t>unidentified-19731005-01 (Instrumental)</t>
  </si>
  <si>
    <t>unidentified-19731105-01 (jellyroll blues instrumental)</t>
  </si>
  <si>
    <t>unidentified-19731105-01 (Jellyroll Blues Instrumental)</t>
  </si>
  <si>
    <t>unidentified-19740605-01 (instrumental)</t>
  </si>
  <si>
    <t>unidentified-19740605-01 (Instrumental)</t>
  </si>
  <si>
    <t>unidentified-19740701-01 (instrumental)</t>
  </si>
  <si>
    <t>unidentified-19740701-01 (Instrumental)</t>
  </si>
  <si>
    <t>unidentified-19740901-01 (instrumental)</t>
  </si>
  <si>
    <t>unidentified-19740901-01 (Instrumental)</t>
  </si>
  <si>
    <t>unidentified-19740901-02 (instrumental)</t>
  </si>
  <si>
    <t>unidentified-19740901-02 (Instrumental)</t>
  </si>
  <si>
    <t>unidentified-19750518-01 (instrumental)</t>
  </si>
  <si>
    <t>unidentified-19750518-01 (Instrumental)</t>
  </si>
  <si>
    <t>unidentified-19750518-02 (instrumental)</t>
  </si>
  <si>
    <t>unidentified-19750518-02 (Instrumental)</t>
  </si>
  <si>
    <t>unidentified-19751123-01 (hopkins instrumental)</t>
  </si>
  <si>
    <t>unidentified-19751123-01 (Hopkins instrumental)</t>
  </si>
  <si>
    <t>unidentified-19751123-02</t>
  </si>
  <si>
    <t>unidentified-19751219-01 (hopkins instrumental)</t>
  </si>
  <si>
    <t>unidentified-19751219-01 (Hopkins instrumental)</t>
  </si>
  <si>
    <t>unidentified-19760506 (instrumental)</t>
  </si>
  <si>
    <t>unidentified-19780626-01 (instrumental)</t>
  </si>
  <si>
    <t>unidentified-19780626-01 (Instrumental)</t>
  </si>
  <si>
    <t>unidentified-19780811-01 (middle eastern instrumental)</t>
  </si>
  <si>
    <t>unidentified-19780811-01 (Middle Eastern Instrumental)</t>
  </si>
  <si>
    <t>unidentified-19781011-scarlett</t>
  </si>
  <si>
    <t>unidentified-19781011-Scarlett</t>
  </si>
  <si>
    <t>unidentified-19781102-scarlett</t>
  </si>
  <si>
    <t>unidentified-19781102-Scarlett</t>
  </si>
  <si>
    <t>unidentified-19790314-01</t>
  </si>
  <si>
    <t>unidentified-19790426-01 (instrumental)</t>
  </si>
  <si>
    <t>unidentified-19790426-01 (Instrumental)</t>
  </si>
  <si>
    <t>unidentified-19790426-02 (instrumental)</t>
  </si>
  <si>
    <t>unidentified-19790426-02 (Instrumental)</t>
  </si>
  <si>
    <t>unidentified-19790426-03 (instrumental)</t>
  </si>
  <si>
    <t>unidentified-19790426-03 (Instrumental)</t>
  </si>
  <si>
    <t>unidentified-19790426-04 (instrumental)</t>
  </si>
  <si>
    <t>unidentified-19790426-04 (Instrumental)</t>
  </si>
  <si>
    <t>unidentified-19860428-01</t>
  </si>
  <si>
    <t>unidentified-19900520-01 (instrumental)</t>
  </si>
  <si>
    <t>unidentified-19900520-01 (Instrumental)</t>
  </si>
  <si>
    <t>union sundown</t>
  </si>
  <si>
    <t>Union Sundown</t>
  </si>
  <si>
    <t>united our thing will stand</t>
  </si>
  <si>
    <t>United Our Thing Will Stand</t>
  </si>
  <si>
    <t>up against the wall, redneck mother</t>
  </si>
  <si>
    <t>Up Against the Wall, Redneck Mother</t>
  </si>
  <si>
    <t>up from the desert</t>
  </si>
  <si>
    <t>Up From The Desert</t>
  </si>
  <si>
    <t>valdez in the country</t>
  </si>
  <si>
    <t>Valdez In The Country</t>
  </si>
  <si>
    <t>valerie</t>
  </si>
  <si>
    <t>Valerie</t>
  </si>
  <si>
    <t>valley road</t>
  </si>
  <si>
    <t>vassar's tune</t>
  </si>
  <si>
    <t>Vassar's Tune</t>
  </si>
  <si>
    <t>venutian blues</t>
  </si>
  <si>
    <t>Venutian Blues</t>
  </si>
  <si>
    <t>venutian lady</t>
  </si>
  <si>
    <t>Venutian Lady</t>
  </si>
  <si>
    <t>victim of a volcano</t>
  </si>
  <si>
    <t>Victim of a Volcano</t>
  </si>
  <si>
    <t>victim or the crime</t>
  </si>
  <si>
    <t>viola lee blues</t>
  </si>
  <si>
    <t>visions of johanna</t>
  </si>
  <si>
    <t>Visions Of Johanna</t>
  </si>
  <si>
    <t>wabash cannonball</t>
  </si>
  <si>
    <t>Wabash Cannonball</t>
  </si>
  <si>
    <t>waiting for a miracle</t>
  </si>
  <si>
    <t>Waiting For A Miracle</t>
  </si>
  <si>
    <t>waiting for a train</t>
  </si>
  <si>
    <t>Waiting For A Train</t>
  </si>
  <si>
    <t>wake up little susie</t>
  </si>
  <si>
    <t>wales' boogie</t>
  </si>
  <si>
    <t>Wales' Boogie</t>
  </si>
  <si>
    <t>walk right in</t>
  </si>
  <si>
    <t>Walk Right In</t>
  </si>
  <si>
    <t>walkin'</t>
  </si>
  <si>
    <t>Walkin'</t>
  </si>
  <si>
    <t>walkin' blues</t>
  </si>
  <si>
    <t>walkin' boss</t>
  </si>
  <si>
    <t>Walkin' Boss</t>
  </si>
  <si>
    <t>walkin' down the line</t>
  </si>
  <si>
    <t>Walkin' Down The Line</t>
  </si>
  <si>
    <t>walkin' down the road</t>
  </si>
  <si>
    <t>Walkin' Down The Road</t>
  </si>
  <si>
    <t>walkin' in the mountains</t>
  </si>
  <si>
    <t>Walkin' In The Mountains</t>
  </si>
  <si>
    <t>walkin' one and only</t>
  </si>
  <si>
    <t>Walkin' One And Only</t>
  </si>
  <si>
    <t>walkin' the dog</t>
  </si>
  <si>
    <t>Walkin' The Dog</t>
  </si>
  <si>
    <t>walking on the moon</t>
  </si>
  <si>
    <t>Walking On The Moon</t>
  </si>
  <si>
    <t>walking the dog</t>
  </si>
  <si>
    <t>Walking The Dog</t>
  </si>
  <si>
    <t>walls of time</t>
  </si>
  <si>
    <t>Walls Of Time</t>
  </si>
  <si>
    <t>waltzing matilda</t>
  </si>
  <si>
    <t>Waltzing Matilda</t>
  </si>
  <si>
    <t>wandering man</t>
  </si>
  <si>
    <t>Wandering Man</t>
  </si>
  <si>
    <t>wang dang doodle</t>
  </si>
  <si>
    <t>warriors of the sun</t>
  </si>
  <si>
    <t>Warriors Of The Sun</t>
  </si>
  <si>
    <t>wasn't that a time?</t>
  </si>
  <si>
    <t>Wasn't That A Time?</t>
  </si>
  <si>
    <t>watchin' the wheels</t>
  </si>
  <si>
    <t>Watchin' The Wheels</t>
  </si>
  <si>
    <t>watching the river flow</t>
  </si>
  <si>
    <t>Watching The River Flow</t>
  </si>
  <si>
    <t>waterline</t>
  </si>
  <si>
    <t>Waterline</t>
  </si>
  <si>
    <t>wave that flag</t>
  </si>
  <si>
    <t>wave to the wind</t>
  </si>
  <si>
    <t>Wave To The Wind</t>
  </si>
  <si>
    <t>way downtown</t>
  </si>
  <si>
    <t>Way Downtown</t>
  </si>
  <si>
    <t>way to go home</t>
  </si>
  <si>
    <t>Way To Go Home</t>
  </si>
  <si>
    <t>we can run</t>
  </si>
  <si>
    <t>we shall not be moved</t>
  </si>
  <si>
    <t>We Shall Not Be Moved</t>
  </si>
  <si>
    <t>weather report suite part 1</t>
  </si>
  <si>
    <t>Weather Report Suite Part 1</t>
  </si>
  <si>
    <t>weather report suite prelude</t>
  </si>
  <si>
    <t>weather report suite prelude &gt; weather report suite part 1</t>
  </si>
  <si>
    <t>Weather Report Suite Prelude &gt; Weather Report Suite Part 1</t>
  </si>
  <si>
    <t>welcome to the basement</t>
  </si>
  <si>
    <t>Welcome To The Basement</t>
  </si>
  <si>
    <t>werewolves of london</t>
  </si>
  <si>
    <t>west l.a. fadeaway</t>
  </si>
  <si>
    <t>wharf rat</t>
  </si>
  <si>
    <t>what a wonderful world</t>
  </si>
  <si>
    <t>What A Wonderful World</t>
  </si>
  <si>
    <t>what are their names</t>
  </si>
  <si>
    <t>What Are Their Names</t>
  </si>
  <si>
    <t>what goes around</t>
  </si>
  <si>
    <t>What Goes Around</t>
  </si>
  <si>
    <t>what is hip</t>
  </si>
  <si>
    <t>What Is Hip</t>
  </si>
  <si>
    <t>what you won't do for love</t>
  </si>
  <si>
    <t>What You Won't Do For Love</t>
  </si>
  <si>
    <t>whatcha gonna do</t>
  </si>
  <si>
    <t>Whatcha Gonna Do</t>
  </si>
  <si>
    <t>whatever the old man does (is always right)</t>
  </si>
  <si>
    <t>Whatever The Old Man Does (Is Always Right)</t>
  </si>
  <si>
    <t>what'll you raise</t>
  </si>
  <si>
    <t>What'll You Raise</t>
  </si>
  <si>
    <t>what's become of the baby</t>
  </si>
  <si>
    <t>what's going on</t>
  </si>
  <si>
    <t>What's Going On</t>
  </si>
  <si>
    <t>what's made milwaukee famous</t>
  </si>
  <si>
    <t>What's Made Milwaukee Famous</t>
  </si>
  <si>
    <t>when a man loves a woman</t>
  </si>
  <si>
    <t>When A Man Loves A Woman</t>
  </si>
  <si>
    <t>when first unto this country</t>
  </si>
  <si>
    <t>When First Unto This Country</t>
  </si>
  <si>
    <t>when i die</t>
  </si>
  <si>
    <t>When I Die</t>
  </si>
  <si>
    <t>when i paint my masterpiece</t>
  </si>
  <si>
    <t>when my blue moon turns to gold again</t>
  </si>
  <si>
    <t>When My Blue Moon Turns To Gold Again</t>
  </si>
  <si>
    <t>when push comes to shove</t>
  </si>
  <si>
    <t>when you gonna wake up</t>
  </si>
  <si>
    <t>When You Gonna Wake Up</t>
  </si>
  <si>
    <t>whipping post jam</t>
  </si>
  <si>
    <t>Whipping Post Jam</t>
  </si>
  <si>
    <t>whiskey</t>
  </si>
  <si>
    <t>Whiskey</t>
  </si>
  <si>
    <t>whiskey in the jar</t>
  </si>
  <si>
    <t>Whiskey In The Jar</t>
  </si>
  <si>
    <t>white boy (transcaucasian airmachine blues)</t>
  </si>
  <si>
    <t>White Boy (Transcaucasian Airmachine Blues)</t>
  </si>
  <si>
    <t>white dove</t>
  </si>
  <si>
    <t>White Dove</t>
  </si>
  <si>
    <t>white house blues</t>
  </si>
  <si>
    <t>White House Blues</t>
  </si>
  <si>
    <t>who do you love</t>
  </si>
  <si>
    <t>who was john?</t>
  </si>
  <si>
    <t>Who Was John?</t>
  </si>
  <si>
    <t>who will buy the wine</t>
  </si>
  <si>
    <t>Who Will Buy The Wine</t>
  </si>
  <si>
    <t>who will sing for me?</t>
  </si>
  <si>
    <t>Who Will Sing For Me?</t>
  </si>
  <si>
    <t>whose shoulder will you cry on</t>
  </si>
  <si>
    <t>Whose Shoulder Will You Cry On</t>
  </si>
  <si>
    <t>why don't we do it in the road</t>
  </si>
  <si>
    <t>Why Don't We Do It In The Road</t>
  </si>
  <si>
    <t>why don't you love me</t>
  </si>
  <si>
    <t>Why Don't You Love Me</t>
  </si>
  <si>
    <t>wicked messenger</t>
  </si>
  <si>
    <t>Wicked Messenger</t>
  </si>
  <si>
    <t>wicked path of sin</t>
  </si>
  <si>
    <t>Wicked Path Of Sin</t>
  </si>
  <si>
    <t>wild horses</t>
  </si>
  <si>
    <t>Wild Horses</t>
  </si>
  <si>
    <t>wild side of life</t>
  </si>
  <si>
    <t>Wild Side Of Life</t>
  </si>
  <si>
    <t>wildwood flower</t>
  </si>
  <si>
    <t>Wildwood Flower</t>
  </si>
  <si>
    <t>will the circle be unbroken</t>
  </si>
  <si>
    <t>Will The Circle Be Unbroken</t>
  </si>
  <si>
    <t>will the weaver</t>
  </si>
  <si>
    <t>Will The Weaver</t>
  </si>
  <si>
    <t>will you be loving another man</t>
  </si>
  <si>
    <t>Will You Be Loving Another Man</t>
  </si>
  <si>
    <t>willie and the hand jive</t>
  </si>
  <si>
    <t>Willie And The Hand Jive</t>
  </si>
  <si>
    <t>winin' boy blues</t>
  </si>
  <si>
    <t>Winin' Boy Blues</t>
  </si>
  <si>
    <t>wipe out</t>
  </si>
  <si>
    <t>Wipe Out</t>
  </si>
  <si>
    <t>without love (there is nothing)</t>
  </si>
  <si>
    <t>Without Love (There Is Nothing)</t>
  </si>
  <si>
    <t>wonderful world</t>
  </si>
  <si>
    <t>Wonderful World</t>
  </si>
  <si>
    <t>wondering why</t>
  </si>
  <si>
    <t>Wondering Why</t>
  </si>
  <si>
    <t>woody's rag</t>
  </si>
  <si>
    <t>Woody's Rag</t>
  </si>
  <si>
    <t>workin' man blues</t>
  </si>
  <si>
    <t>Workin' Man Blues</t>
  </si>
  <si>
    <t>working on a building</t>
  </si>
  <si>
    <t>Working On A Building</t>
  </si>
  <si>
    <t>world is a ghetto</t>
  </si>
  <si>
    <t>World Is A Ghetto</t>
  </si>
  <si>
    <t>would you leave me</t>
  </si>
  <si>
    <t>Would You Leave Me</t>
  </si>
  <si>
    <t>w-p-l-j</t>
  </si>
  <si>
    <t>W-P-L-J</t>
  </si>
  <si>
    <t>yakety axe</t>
  </si>
  <si>
    <t>Yakety Axe</t>
  </si>
  <si>
    <t>yellow bird</t>
  </si>
  <si>
    <t>Yellow Bird</t>
  </si>
  <si>
    <t>yellow moon</t>
  </si>
  <si>
    <t>Yellow Moon</t>
  </si>
  <si>
    <t>yes she do, no she don't</t>
  </si>
  <si>
    <t>Yes She Do, No She Don't</t>
  </si>
  <si>
    <t>you ain't woman enough</t>
  </si>
  <si>
    <t>you are my sunshine</t>
  </si>
  <si>
    <t>You Are My Sunshine</t>
  </si>
  <si>
    <t>you can leave your hat on</t>
  </si>
  <si>
    <t>You Can Leave Your Hat On</t>
  </si>
  <si>
    <t>you can't judge a book by its cover</t>
  </si>
  <si>
    <t>You Can't Judge A Book By Its Cover</t>
  </si>
  <si>
    <t>you don't have to ask</t>
  </si>
  <si>
    <t>you don't love me</t>
  </si>
  <si>
    <t>You Don't Love Me</t>
  </si>
  <si>
    <t>you know i love you</t>
  </si>
  <si>
    <t>You Know I Love You</t>
  </si>
  <si>
    <t>you never can tell</t>
  </si>
  <si>
    <t>You Never Can Tell</t>
  </si>
  <si>
    <t>you see a broken heart</t>
  </si>
  <si>
    <t>You See A Broken Heart</t>
  </si>
  <si>
    <t>you should have seen me running</t>
  </si>
  <si>
    <t>You Should Have Seen Me Running</t>
  </si>
  <si>
    <t>you sit there</t>
  </si>
  <si>
    <t>You Sit There</t>
  </si>
  <si>
    <t>you upset me baby</t>
  </si>
  <si>
    <t>You Upset Me Baby</t>
  </si>
  <si>
    <t>you win again</t>
  </si>
  <si>
    <t>you'll find her name written there</t>
  </si>
  <si>
    <t>You'll Find Her Name Written There</t>
  </si>
  <si>
    <t>young blood</t>
  </si>
  <si>
    <t>Young Blood</t>
  </si>
  <si>
    <t>your mind has left your body</t>
  </si>
  <si>
    <t>Your Mind Has Left Your Body</t>
  </si>
  <si>
    <t>your sons and daughters</t>
  </si>
  <si>
    <t>Your Sons and Daughters</t>
  </si>
  <si>
    <t>you've been runnin' round round</t>
  </si>
  <si>
    <t>You've Been Runnin' Round Round</t>
  </si>
  <si>
    <t>you've got to hide your love away</t>
  </si>
  <si>
    <t>You've Got To Hide Your Love Away</t>
  </si>
  <si>
    <t>zebra dun</t>
  </si>
  <si>
    <t>Zebra Dun</t>
  </si>
  <si>
    <t>zillionaire</t>
  </si>
  <si>
    <t>Zillionaire</t>
  </si>
  <si>
    <t>orig</t>
  </si>
  <si>
    <t>path</t>
  </si>
  <si>
    <t>song_orig</t>
  </si>
  <si>
    <t>segue</t>
  </si>
  <si>
    <t>song1</t>
  </si>
  <si>
    <t>song2</t>
  </si>
  <si>
    <t>weather report suite</t>
  </si>
  <si>
    <t>funiculì funicula</t>
  </si>
  <si>
    <t>intro by zacherle</t>
  </si>
  <si>
    <t>wood green jam</t>
  </si>
  <si>
    <t>no msg jam</t>
  </si>
  <si>
    <t>lunatic preserve</t>
  </si>
  <si>
    <t>playing jam</t>
  </si>
  <si>
    <t>beer barrel polka</t>
  </si>
  <si>
    <t>weather report suite- prelude-pt. 1-pt. 2 let it grow</t>
  </si>
  <si>
    <t>weather report suite (into)</t>
  </si>
  <si>
    <t>introduction</t>
  </si>
  <si>
    <t>boston clam jam</t>
  </si>
  <si>
    <t>orange tango jam</t>
  </si>
  <si>
    <t>baba o'riley</t>
  </si>
  <si>
    <t>drums &gt; not fade away (filler - 77-10-11)</t>
  </si>
  <si>
    <t>phil solo</t>
  </si>
  <si>
    <t>take a step back</t>
  </si>
  <si>
    <t>rhythm devils</t>
  </si>
  <si>
    <t>james gang introduction</t>
  </si>
  <si>
    <t>the yellow dog story</t>
  </si>
  <si>
    <t>weather report suite- prelude</t>
  </si>
  <si>
    <t>rhythm devils *</t>
  </si>
  <si>
    <t>wolfman jack introduction</t>
  </si>
  <si>
    <t>rosemary (1971 mix)</t>
  </si>
  <si>
    <t>not fade away &gt; goin' down the road feeling bad (live at the fillmore east, new york, ny, april 5, 1971)</t>
  </si>
  <si>
    <t>epilogue</t>
  </si>
  <si>
    <t>prelude</t>
  </si>
  <si>
    <t>rockin pneumonia and the boogie woogie flu</t>
  </si>
  <si>
    <t>rockin' pneumonia and the boogie woogie flu</t>
  </si>
  <si>
    <t>mexican hat dance</t>
  </si>
  <si>
    <t>weather report suite (2023 remaster)</t>
  </si>
  <si>
    <t>i am the rain (weather report suite) [take 2] [slated] (8/7/73)</t>
  </si>
  <si>
    <t>i am the rain (weather report suite) [take 23] [slated] (8/7/73)</t>
  </si>
  <si>
    <t>i am the rain (weather report suite) [take 4] [slated] (8/7/73)</t>
  </si>
  <si>
    <t>weather report suite (take 10) [not slated] (8/16/73)</t>
  </si>
  <si>
    <t>weather report suite (take 11) [not slated] (8/16/73)</t>
  </si>
  <si>
    <t>weather report suite (take 16) [not slated] (8/16/73)</t>
  </si>
  <si>
    <t>weather report suite (take 8) [slated] (8/17/73)</t>
  </si>
  <si>
    <t>side two - anthem of the sun remix (1971)</t>
  </si>
  <si>
    <t>no man is perfect</t>
  </si>
  <si>
    <t>radio ad</t>
  </si>
  <si>
    <t>not fade away-goin' down the road feeling bad</t>
  </si>
  <si>
    <t>sand castles &amp; glass camels</t>
  </si>
  <si>
    <t>unusual occurences in the desert</t>
  </si>
  <si>
    <t>serengetti</t>
  </si>
  <si>
    <t>antwerp's placebo (the plumber)</t>
  </si>
  <si>
    <t>corrina - 1994-10-14 msg</t>
  </si>
  <si>
    <t>help on the way / slipknot!</t>
  </si>
  <si>
    <t>bob's dog story</t>
  </si>
  <si>
    <t>weather report suite 09-11-73</t>
  </si>
  <si>
    <t>song3</t>
  </si>
  <si>
    <t/>
  </si>
  <si>
    <t>song4</t>
  </si>
  <si>
    <t>Minglewood blues</t>
  </si>
  <si>
    <t>I've been all around this world</t>
  </si>
  <si>
    <t>&gt;</t>
  </si>
  <si>
    <t>China Cat Sunflower &gt; I Know You Rider</t>
  </si>
  <si>
    <t>corinna</t>
  </si>
  <si>
    <t>Corinna</t>
  </si>
  <si>
    <t>days between</t>
  </si>
  <si>
    <t>Drums &gt; Not Fade Away</t>
  </si>
  <si>
    <t>Funiculi, Funicula</t>
  </si>
  <si>
    <t>Help On The Way &gt; Slipknot!</t>
  </si>
  <si>
    <t>Weather Report Suite Prelude &gt; Part 1 &gt; Part 2</t>
  </si>
  <si>
    <t xml:space="preserve">joey </t>
  </si>
  <si>
    <t>Not Fade Away &gt; Goin' Down The Road Feelin' Bad</t>
  </si>
  <si>
    <t>Sand Castles And Glass Camels</t>
  </si>
  <si>
    <t>anthem of the sun</t>
  </si>
  <si>
    <t>Anthem Of The Sun</t>
  </si>
  <si>
    <t>slow train</t>
  </si>
  <si>
    <t>Slow Train</t>
  </si>
  <si>
    <t>only game in town</t>
  </si>
  <si>
    <t>walk in the sunshine</t>
  </si>
  <si>
    <t>Walk In The Sunshine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</si>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</sst>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D011-257B-4E83-8EF2-3C3C26232491}">
  <dimension ref="A1:H3912"/>
  <sheetViews>
    <sheetView tabSelected="1" workbookViewId="0"/>
  </sheetViews>
  <sheetFormatPr defaultRowHeight="15" x14ac:dyDescent="0.25"/>
  <cols>
    <col min="2" max="2" width="80.42578125" customWidth="1"/>
    <col min="3" max="3" width="41.85546875" customWidth="1"/>
    <col min="5" max="5" width="42" customWidth="1"/>
    <col min="6" max="6" width="90" bestFit="1" customWidth="1"/>
    <col min="7" max="8" width="40.28515625" bestFit="1" customWidth="1"/>
  </cols>
  <sheetData>
    <row r="1" spans="1:8" x14ac:dyDescent="0.25">
      <c r="A1" t="s">
        <v>7810</v>
      </c>
      <c r="B1" t="s">
        <v>7811</v>
      </c>
      <c r="C1" t="s">
        <v>7812</v>
      </c>
      <c r="D1" t="s">
        <v>7813</v>
      </c>
      <c r="E1" t="s">
        <v>7814</v>
      </c>
      <c r="F1" t="s">
        <v>7815</v>
      </c>
      <c r="G1" t="s">
        <v>7866</v>
      </c>
      <c r="H1" t="s">
        <v>7868</v>
      </c>
    </row>
    <row r="2" spans="1:8" x14ac:dyDescent="0.25">
      <c r="A2">
        <v>1</v>
      </c>
      <c r="B2" t="s">
        <v>0</v>
      </c>
      <c r="C2" t="s">
        <v>1</v>
      </c>
      <c r="D2" t="str">
        <f>IF(RIGHT(TRIM(C2),2)="-&gt;","&gt;",IF(RIGHT(TRIM(C2),1)="&gt;","&gt;",""))</f>
        <v/>
      </c>
      <c r="E2" t="str">
        <f>LOWER(TRIM(SUBSTITUTE(IF(RIGHT(TRIM(C2),2)="-&gt;",LEFT(TRIM(C2),LEN(TRIM(C2))-2),IF(RIGHT(TRIM(C2),1)="&gt;",LEFT(TRIM(C2),LEN(TRIM(C2))-1),C2)),"//","")))</f>
        <v>here comes sunshine</v>
      </c>
      <c r="F2" t="s">
        <v>5898</v>
      </c>
      <c r="G2" t="str">
        <f>_xlfn.IFNA(VLOOKUP(F2,songs!$B$1:$C$1539, 2, FALSE),"")</f>
        <v>Here Comes Sunshine</v>
      </c>
      <c r="H2" t="s">
        <v>1</v>
      </c>
    </row>
    <row r="3" spans="1:8" x14ac:dyDescent="0.25">
      <c r="A3">
        <v>2</v>
      </c>
      <c r="B3" t="s">
        <v>2</v>
      </c>
      <c r="C3" t="s">
        <v>3</v>
      </c>
      <c r="D3" t="str">
        <f t="shared" ref="D3" si="0">IF(RIGHT(TRIM(C3),2)="-&gt;","&gt;",IF(RIGHT(TRIM(C3),1)="&gt;","&gt;",""))</f>
        <v/>
      </c>
      <c r="E3" t="str">
        <f t="shared" ref="E3" si="1">LOWER(TRIM(SUBSTITUTE(IF(RIGHT(TRIM(C3),2)="-&gt;",LEFT(TRIM(C3),LEN(TRIM(C3))-2),IF(RIGHT(TRIM(C3),1)="&gt;",LEFT(TRIM(C3),LEN(TRIM(C3))-1),C3)),"//","")))</f>
        <v>big river</v>
      </c>
      <c r="F3" t="s">
        <v>5175</v>
      </c>
      <c r="G3" t="str">
        <f>_xlfn.IFNA(VLOOKUP(F3,songs!$B$1:$C$1539, 2, FALSE),"")</f>
        <v>Big River</v>
      </c>
      <c r="H3" t="s">
        <v>3</v>
      </c>
    </row>
    <row r="4" spans="1:8" x14ac:dyDescent="0.25">
      <c r="A4">
        <v>3</v>
      </c>
      <c r="B4" t="s">
        <v>4</v>
      </c>
      <c r="C4" t="s">
        <v>5</v>
      </c>
      <c r="D4" t="str">
        <f t="shared" ref="D4:D67" si="2">IF(RIGHT(TRIM(C4),2)="-&gt;","&gt;",IF(RIGHT(TRIM(C4),1)="&gt;","&gt;",""))</f>
        <v/>
      </c>
      <c r="E4" t="str">
        <f t="shared" ref="E4:E67" si="3">LOWER(TRIM(SUBSTITUTE(IF(RIGHT(TRIM(C4),2)="-&gt;",LEFT(TRIM(C4),LEN(TRIM(C4))-2),IF(RIGHT(TRIM(C4),1)="&gt;",LEFT(TRIM(C4),LEN(TRIM(C4))-1),C4)),"//","")))</f>
        <v>mississippi half-step uptown toodleloo</v>
      </c>
      <c r="F4" t="s">
        <v>6531</v>
      </c>
      <c r="G4" t="str">
        <f>_xlfn.IFNA(VLOOKUP(F4,songs!$B$1:$C$1539, 2, FALSE),"")</f>
        <v>Mississippi Half-Step Uptown Toodeloo</v>
      </c>
      <c r="H4" t="s">
        <v>7867</v>
      </c>
    </row>
    <row r="5" spans="1:8" x14ac:dyDescent="0.25">
      <c r="A5">
        <v>4</v>
      </c>
      <c r="B5" t="s">
        <v>6</v>
      </c>
      <c r="C5" t="s">
        <v>7</v>
      </c>
      <c r="D5" t="str">
        <f t="shared" si="2"/>
        <v/>
      </c>
      <c r="E5" t="str">
        <f t="shared" si="3"/>
        <v>weather report suite</v>
      </c>
      <c r="F5" t="s">
        <v>7658</v>
      </c>
      <c r="G5" t="str">
        <f>_xlfn.IFNA(VLOOKUP(F5,songs!$B$1:$C$1539, 2, FALSE),"")</f>
        <v>Weather Report Suite Prelude &gt; Weather Report Suite Part 1</v>
      </c>
      <c r="H5" t="s">
        <v>7867</v>
      </c>
    </row>
    <row r="6" spans="1:8" x14ac:dyDescent="0.25">
      <c r="A6">
        <v>5</v>
      </c>
      <c r="B6" t="s">
        <v>8</v>
      </c>
      <c r="C6" t="s">
        <v>9</v>
      </c>
      <c r="D6" t="str">
        <f t="shared" si="2"/>
        <v/>
      </c>
      <c r="E6" t="str">
        <f t="shared" si="3"/>
        <v>big railroad blues</v>
      </c>
      <c r="F6" t="s">
        <v>5174</v>
      </c>
      <c r="G6" t="str">
        <f>_xlfn.IFNA(VLOOKUP(F6,songs!$B$1:$C$1539, 2, FALSE),"")</f>
        <v>Big Railroad Blues</v>
      </c>
      <c r="H6" t="s">
        <v>9</v>
      </c>
    </row>
    <row r="7" spans="1:8" x14ac:dyDescent="0.25">
      <c r="A7">
        <v>6</v>
      </c>
      <c r="B7" t="s">
        <v>10</v>
      </c>
      <c r="C7" t="s">
        <v>11</v>
      </c>
      <c r="D7" t="str">
        <f t="shared" si="2"/>
        <v/>
      </c>
      <c r="E7" t="str">
        <f t="shared" si="3"/>
        <v>playing in the band</v>
      </c>
      <c r="F7" t="s">
        <v>6769</v>
      </c>
      <c r="G7" t="str">
        <f>_xlfn.IFNA(VLOOKUP(F7,songs!$B$1:$C$1539, 2, FALSE),"")</f>
        <v>Playing In The Band</v>
      </c>
      <c r="H7" t="s">
        <v>419</v>
      </c>
    </row>
    <row r="8" spans="1:8" x14ac:dyDescent="0.25">
      <c r="A8">
        <v>7</v>
      </c>
      <c r="B8" t="s">
        <v>12</v>
      </c>
      <c r="C8" t="s">
        <v>13</v>
      </c>
      <c r="D8" t="str">
        <f t="shared" si="2"/>
        <v/>
      </c>
      <c r="E8" t="str">
        <f t="shared" si="3"/>
        <v>he's gone</v>
      </c>
      <c r="F8" t="s">
        <v>5903</v>
      </c>
      <c r="G8" t="str">
        <f>_xlfn.IFNA(VLOOKUP(F8,songs!$B$1:$C$1539, 2, FALSE),"")</f>
        <v>He's Gone</v>
      </c>
      <c r="H8" t="s">
        <v>13</v>
      </c>
    </row>
    <row r="9" spans="1:8" x14ac:dyDescent="0.25">
      <c r="A9">
        <v>8</v>
      </c>
      <c r="B9" t="s">
        <v>14</v>
      </c>
      <c r="C9" t="s">
        <v>15</v>
      </c>
      <c r="D9" t="str">
        <f t="shared" si="2"/>
        <v/>
      </c>
      <c r="E9" t="str">
        <f t="shared" si="3"/>
        <v>truckin'</v>
      </c>
      <c r="F9" t="s">
        <v>7436</v>
      </c>
      <c r="G9" t="str">
        <f>_xlfn.IFNA(VLOOKUP(F9,songs!$B$1:$C$1539, 2, FALSE),"")</f>
        <v>Truckin'</v>
      </c>
      <c r="H9" t="s">
        <v>15</v>
      </c>
    </row>
    <row r="10" spans="1:8" x14ac:dyDescent="0.25">
      <c r="A10">
        <v>9</v>
      </c>
      <c r="B10" t="s">
        <v>16</v>
      </c>
      <c r="C10" t="s">
        <v>17</v>
      </c>
      <c r="D10" t="str">
        <f t="shared" si="2"/>
        <v/>
      </c>
      <c r="E10" t="str">
        <f t="shared" si="3"/>
        <v>nobody's fault but mine</v>
      </c>
      <c r="F10" t="s">
        <v>6646</v>
      </c>
      <c r="G10" t="str">
        <f>_xlfn.IFNA(VLOOKUP(F10,songs!$B$1:$C$1539, 2, FALSE),"")</f>
        <v>Nobody's Fault But Mine</v>
      </c>
      <c r="H10" t="s">
        <v>17</v>
      </c>
    </row>
    <row r="11" spans="1:8" x14ac:dyDescent="0.25">
      <c r="A11">
        <v>10</v>
      </c>
      <c r="B11" t="s">
        <v>18</v>
      </c>
      <c r="C11" t="s">
        <v>19</v>
      </c>
      <c r="D11" t="str">
        <f t="shared" si="2"/>
        <v/>
      </c>
      <c r="E11" t="str">
        <f t="shared" si="3"/>
        <v>jam</v>
      </c>
      <c r="F11" t="s">
        <v>6165</v>
      </c>
      <c r="G11" t="str">
        <f>_xlfn.IFNA(VLOOKUP(F11,songs!$B$1:$C$1539, 2, FALSE),"")</f>
        <v>Jam</v>
      </c>
      <c r="H11" t="s">
        <v>19</v>
      </c>
    </row>
    <row r="12" spans="1:8" x14ac:dyDescent="0.25">
      <c r="A12">
        <v>11</v>
      </c>
      <c r="B12" t="s">
        <v>20</v>
      </c>
      <c r="C12" t="s">
        <v>21</v>
      </c>
      <c r="D12" t="str">
        <f t="shared" si="2"/>
        <v/>
      </c>
      <c r="E12" t="str">
        <f t="shared" si="3"/>
        <v>other one</v>
      </c>
      <c r="F12" t="s">
        <v>7325</v>
      </c>
      <c r="G12" t="str">
        <f>_xlfn.IFNA(VLOOKUP(F12,songs!$B$1:$C$1539, 2, FALSE),"")</f>
        <v>The Other One</v>
      </c>
      <c r="H12" t="s">
        <v>7867</v>
      </c>
    </row>
    <row r="13" spans="1:8" x14ac:dyDescent="0.25">
      <c r="A13">
        <v>12</v>
      </c>
      <c r="B13" t="s">
        <v>22</v>
      </c>
      <c r="C13" t="s">
        <v>19</v>
      </c>
      <c r="D13" t="str">
        <f t="shared" si="2"/>
        <v/>
      </c>
      <c r="E13" t="str">
        <f t="shared" si="3"/>
        <v>jam</v>
      </c>
      <c r="F13" t="s">
        <v>6165</v>
      </c>
      <c r="G13" t="str">
        <f>_xlfn.IFNA(VLOOKUP(F13,songs!$B$1:$C$1539, 2, FALSE),"")</f>
        <v>Jam</v>
      </c>
      <c r="H13" t="s">
        <v>19</v>
      </c>
    </row>
    <row r="14" spans="1:8" x14ac:dyDescent="0.25">
      <c r="A14">
        <v>13</v>
      </c>
      <c r="B14" t="s">
        <v>23</v>
      </c>
      <c r="C14" t="s">
        <v>24</v>
      </c>
      <c r="D14" t="str">
        <f t="shared" si="2"/>
        <v/>
      </c>
      <c r="E14" t="str">
        <f t="shared" si="3"/>
        <v>stella blue</v>
      </c>
      <c r="F14" t="s">
        <v>7123</v>
      </c>
      <c r="G14" t="str">
        <f>_xlfn.IFNA(VLOOKUP(F14,songs!$B$1:$C$1539, 2, FALSE),"")</f>
        <v>Stella Blue</v>
      </c>
      <c r="H14" t="s">
        <v>24</v>
      </c>
    </row>
    <row r="15" spans="1:8" x14ac:dyDescent="0.25">
      <c r="A15">
        <v>14</v>
      </c>
      <c r="B15" t="s">
        <v>25</v>
      </c>
      <c r="C15" t="s">
        <v>26</v>
      </c>
      <c r="D15" t="str">
        <f t="shared" si="2"/>
        <v/>
      </c>
      <c r="E15" t="str">
        <f t="shared" si="3"/>
        <v>around and around</v>
      </c>
      <c r="F15" t="s">
        <v>5103</v>
      </c>
      <c r="G15" t="str">
        <f>_xlfn.IFNA(VLOOKUP(F15,songs!$B$1:$C$1539, 2, FALSE),"")</f>
        <v>Around And Around</v>
      </c>
      <c r="H15" t="s">
        <v>579</v>
      </c>
    </row>
    <row r="16" spans="1:8" x14ac:dyDescent="0.25">
      <c r="A16">
        <v>15</v>
      </c>
      <c r="B16" t="s">
        <v>27</v>
      </c>
      <c r="C16" t="s">
        <v>28</v>
      </c>
      <c r="D16" t="str">
        <f t="shared" si="2"/>
        <v/>
      </c>
      <c r="E16" t="str">
        <f t="shared" si="3"/>
        <v>dark star-jam</v>
      </c>
      <c r="F16" t="s">
        <v>5428</v>
      </c>
      <c r="G16" t="str">
        <f>_xlfn.IFNA(VLOOKUP(F16,songs!$B$1:$C$1539, 2, FALSE),"")</f>
        <v>Dark Star</v>
      </c>
      <c r="H16" t="s">
        <v>7867</v>
      </c>
    </row>
    <row r="17" spans="1:8" x14ac:dyDescent="0.25">
      <c r="A17">
        <v>16</v>
      </c>
      <c r="B17" t="s">
        <v>29</v>
      </c>
      <c r="C17" t="s">
        <v>30</v>
      </c>
      <c r="D17" t="str">
        <f t="shared" si="2"/>
        <v/>
      </c>
      <c r="E17" t="str">
        <f t="shared" si="3"/>
        <v>sugar magnolia</v>
      </c>
      <c r="F17" t="s">
        <v>7150</v>
      </c>
      <c r="G17" t="str">
        <f>_xlfn.IFNA(VLOOKUP(F17,songs!$B$1:$C$1539, 2, FALSE),"")</f>
        <v>Sugar Magnolia</v>
      </c>
      <c r="H17" t="s">
        <v>30</v>
      </c>
    </row>
    <row r="18" spans="1:8" x14ac:dyDescent="0.25">
      <c r="A18">
        <v>17</v>
      </c>
      <c r="B18" t="s">
        <v>31</v>
      </c>
      <c r="C18" t="s">
        <v>32</v>
      </c>
      <c r="D18" t="str">
        <f t="shared" si="2"/>
        <v/>
      </c>
      <c r="E18" t="str">
        <f t="shared" si="3"/>
        <v>st. stephen</v>
      </c>
      <c r="F18" t="s">
        <v>6910</v>
      </c>
      <c r="G18" t="str">
        <f>_xlfn.IFNA(VLOOKUP(F18,songs!$B$1:$C$1539, 2, FALSE),"")</f>
        <v>Saint Stephen</v>
      </c>
      <c r="H18" t="s">
        <v>7867</v>
      </c>
    </row>
    <row r="19" spans="1:8" x14ac:dyDescent="0.25">
      <c r="A19">
        <v>18</v>
      </c>
      <c r="B19" t="s">
        <v>33</v>
      </c>
      <c r="C19" t="s">
        <v>34</v>
      </c>
      <c r="D19" t="str">
        <f t="shared" si="2"/>
        <v/>
      </c>
      <c r="E19" t="str">
        <f t="shared" si="3"/>
        <v>not fade away</v>
      </c>
      <c r="F19" t="s">
        <v>6651</v>
      </c>
      <c r="G19" t="str">
        <f>_xlfn.IFNA(VLOOKUP(F19,songs!$B$1:$C$1539, 2, FALSE),"")</f>
        <v>Not Fade Away</v>
      </c>
      <c r="H19" t="s">
        <v>34</v>
      </c>
    </row>
    <row r="20" spans="1:8" x14ac:dyDescent="0.25">
      <c r="A20">
        <v>19</v>
      </c>
      <c r="B20" t="s">
        <v>35</v>
      </c>
      <c r="C20" t="s">
        <v>36</v>
      </c>
      <c r="D20" t="str">
        <f t="shared" si="2"/>
        <v/>
      </c>
      <c r="E20" t="str">
        <f t="shared" si="3"/>
        <v>goin' down the road feeling bad</v>
      </c>
      <c r="F20" t="s">
        <v>5783</v>
      </c>
      <c r="G20" t="str">
        <f>_xlfn.IFNA(VLOOKUP(F20,songs!$B$1:$C$1539, 2, FALSE),"")</f>
        <v>Goin' Down The Road Feelin' Bad</v>
      </c>
      <c r="H20" t="s">
        <v>7867</v>
      </c>
    </row>
    <row r="21" spans="1:8" x14ac:dyDescent="0.25">
      <c r="A21">
        <v>20</v>
      </c>
      <c r="B21" t="s">
        <v>37</v>
      </c>
      <c r="C21" t="s">
        <v>34</v>
      </c>
      <c r="D21" t="str">
        <f t="shared" si="2"/>
        <v/>
      </c>
      <c r="E21" t="str">
        <f t="shared" si="3"/>
        <v>not fade away</v>
      </c>
      <c r="F21" t="s">
        <v>6651</v>
      </c>
      <c r="G21" t="str">
        <f>_xlfn.IFNA(VLOOKUP(F21,songs!$B$1:$C$1539, 2, FALSE),"")</f>
        <v>Not Fade Away</v>
      </c>
      <c r="H21" t="s">
        <v>34</v>
      </c>
    </row>
    <row r="22" spans="1:8" x14ac:dyDescent="0.25">
      <c r="A22">
        <v>21</v>
      </c>
      <c r="B22" t="s">
        <v>38</v>
      </c>
      <c r="C22" t="s">
        <v>39</v>
      </c>
      <c r="D22" t="str">
        <f t="shared" si="2"/>
        <v/>
      </c>
      <c r="E22" t="str">
        <f t="shared" si="3"/>
        <v>dark star/jam</v>
      </c>
      <c r="F22" t="s">
        <v>5428</v>
      </c>
      <c r="G22" t="str">
        <f>_xlfn.IFNA(VLOOKUP(F22,songs!$B$1:$C$1539, 2, FALSE),"")</f>
        <v>Dark Star</v>
      </c>
      <c r="H22" t="s">
        <v>7867</v>
      </c>
    </row>
    <row r="23" spans="1:8" x14ac:dyDescent="0.25">
      <c r="A23">
        <v>22</v>
      </c>
      <c r="B23" t="s">
        <v>40</v>
      </c>
      <c r="C23" t="s">
        <v>30</v>
      </c>
      <c r="D23" t="str">
        <f t="shared" si="2"/>
        <v/>
      </c>
      <c r="E23" t="str">
        <f t="shared" si="3"/>
        <v>sugar magnolia</v>
      </c>
      <c r="F23" t="s">
        <v>7150</v>
      </c>
      <c r="G23" t="str">
        <f>_xlfn.IFNA(VLOOKUP(F23,songs!$B$1:$C$1539, 2, FALSE),"")</f>
        <v>Sugar Magnolia</v>
      </c>
      <c r="H23" t="s">
        <v>30</v>
      </c>
    </row>
    <row r="24" spans="1:8" x14ac:dyDescent="0.25">
      <c r="A24">
        <v>23</v>
      </c>
      <c r="B24" t="s">
        <v>41</v>
      </c>
      <c r="C24" t="s">
        <v>32</v>
      </c>
      <c r="D24" t="str">
        <f t="shared" si="2"/>
        <v/>
      </c>
      <c r="E24" t="str">
        <f t="shared" si="3"/>
        <v>st. stephen</v>
      </c>
      <c r="F24" t="s">
        <v>6910</v>
      </c>
      <c r="G24" t="str">
        <f>_xlfn.IFNA(VLOOKUP(F24,songs!$B$1:$C$1539, 2, FALSE),"")</f>
        <v>Saint Stephen</v>
      </c>
      <c r="H24" t="s">
        <v>7867</v>
      </c>
    </row>
    <row r="25" spans="1:8" x14ac:dyDescent="0.25">
      <c r="A25">
        <v>24</v>
      </c>
      <c r="B25" t="s">
        <v>42</v>
      </c>
      <c r="C25" t="s">
        <v>34</v>
      </c>
      <c r="D25" t="str">
        <f t="shared" si="2"/>
        <v/>
      </c>
      <c r="E25" t="str">
        <f t="shared" si="3"/>
        <v>not fade away</v>
      </c>
      <c r="F25" t="s">
        <v>6651</v>
      </c>
      <c r="G25" t="str">
        <f>_xlfn.IFNA(VLOOKUP(F25,songs!$B$1:$C$1539, 2, FALSE),"")</f>
        <v>Not Fade Away</v>
      </c>
      <c r="H25" t="s">
        <v>34</v>
      </c>
    </row>
    <row r="26" spans="1:8" x14ac:dyDescent="0.25">
      <c r="A26">
        <v>25</v>
      </c>
      <c r="B26" t="s">
        <v>43</v>
      </c>
      <c r="C26" t="s">
        <v>44</v>
      </c>
      <c r="D26" t="str">
        <f t="shared" si="2"/>
        <v/>
      </c>
      <c r="E26" t="str">
        <f t="shared" si="3"/>
        <v>goin' down the road feeling bad</v>
      </c>
      <c r="F26" t="s">
        <v>5783</v>
      </c>
      <c r="G26" t="str">
        <f>_xlfn.IFNA(VLOOKUP(F26,songs!$B$1:$C$1539, 2, FALSE),"")</f>
        <v>Goin' Down The Road Feelin' Bad</v>
      </c>
      <c r="H26" t="s">
        <v>7867</v>
      </c>
    </row>
    <row r="27" spans="1:8" x14ac:dyDescent="0.25">
      <c r="A27">
        <v>26</v>
      </c>
      <c r="B27" t="s">
        <v>45</v>
      </c>
      <c r="C27" t="s">
        <v>34</v>
      </c>
      <c r="D27" t="str">
        <f t="shared" si="2"/>
        <v/>
      </c>
      <c r="E27" t="str">
        <f t="shared" si="3"/>
        <v>not fade away</v>
      </c>
      <c r="F27" t="s">
        <v>6651</v>
      </c>
      <c r="G27" t="str">
        <f>_xlfn.IFNA(VLOOKUP(F27,songs!$B$1:$C$1539, 2, FALSE),"")</f>
        <v>Not Fade Away</v>
      </c>
      <c r="H27" t="s">
        <v>34</v>
      </c>
    </row>
    <row r="28" spans="1:8" x14ac:dyDescent="0.25">
      <c r="A28">
        <v>27</v>
      </c>
      <c r="B28" t="s">
        <v>46</v>
      </c>
      <c r="C28" t="s">
        <v>47</v>
      </c>
      <c r="D28" t="str">
        <f t="shared" si="2"/>
        <v/>
      </c>
      <c r="E28" t="str">
        <f t="shared" si="3"/>
        <v>funiculì funicula</v>
      </c>
      <c r="F28" t="s">
        <v>7817</v>
      </c>
      <c r="G28" t="s">
        <v>7877</v>
      </c>
      <c r="H28" t="s">
        <v>7867</v>
      </c>
    </row>
    <row r="29" spans="1:8" x14ac:dyDescent="0.25">
      <c r="A29">
        <v>28</v>
      </c>
      <c r="B29" t="s">
        <v>48</v>
      </c>
      <c r="C29" t="s">
        <v>49</v>
      </c>
      <c r="D29" t="str">
        <f t="shared" si="2"/>
        <v/>
      </c>
      <c r="E29" t="str">
        <f t="shared" si="3"/>
        <v>the music never stopped</v>
      </c>
      <c r="F29" t="s">
        <v>7316</v>
      </c>
      <c r="G29" t="str">
        <f>_xlfn.IFNA(VLOOKUP(F29,songs!$B$1:$C$1539, 2, FALSE),"")</f>
        <v>The Music Never Stopped</v>
      </c>
      <c r="H29" t="s">
        <v>49</v>
      </c>
    </row>
    <row r="30" spans="1:8" x14ac:dyDescent="0.25">
      <c r="A30">
        <v>29</v>
      </c>
      <c r="B30" t="s">
        <v>50</v>
      </c>
      <c r="C30" t="s">
        <v>51</v>
      </c>
      <c r="D30" t="str">
        <f t="shared" si="2"/>
        <v/>
      </c>
      <c r="E30" t="str">
        <f t="shared" si="3"/>
        <v>sugaree</v>
      </c>
      <c r="F30" t="s">
        <v>7151</v>
      </c>
      <c r="G30" t="str">
        <f>_xlfn.IFNA(VLOOKUP(F30,songs!$B$1:$C$1539, 2, FALSE),"")</f>
        <v>Sugaree</v>
      </c>
      <c r="H30" t="s">
        <v>51</v>
      </c>
    </row>
    <row r="31" spans="1:8" x14ac:dyDescent="0.25">
      <c r="A31">
        <v>30</v>
      </c>
      <c r="B31" t="s">
        <v>52</v>
      </c>
      <c r="C31" t="s">
        <v>53</v>
      </c>
      <c r="D31" t="str">
        <f t="shared" si="2"/>
        <v/>
      </c>
      <c r="E31" t="str">
        <f t="shared" si="3"/>
        <v>lazy lightning</v>
      </c>
      <c r="F31" t="s">
        <v>6293</v>
      </c>
      <c r="G31" t="str">
        <f>_xlfn.IFNA(VLOOKUP(F31,songs!$B$1:$C$1539, 2, FALSE),"")</f>
        <v>Lazy Lightning</v>
      </c>
      <c r="H31" t="s">
        <v>53</v>
      </c>
    </row>
    <row r="32" spans="1:8" x14ac:dyDescent="0.25">
      <c r="A32">
        <v>31</v>
      </c>
      <c r="B32" t="s">
        <v>54</v>
      </c>
      <c r="C32" t="s">
        <v>55</v>
      </c>
      <c r="D32" t="str">
        <f t="shared" si="2"/>
        <v/>
      </c>
      <c r="E32" t="str">
        <f t="shared" si="3"/>
        <v>supplication</v>
      </c>
      <c r="F32" t="s">
        <v>7162</v>
      </c>
      <c r="G32" t="str">
        <f>_xlfn.IFNA(VLOOKUP(F32,songs!$B$1:$C$1539, 2, FALSE),"")</f>
        <v>Supplication</v>
      </c>
      <c r="H32" t="s">
        <v>55</v>
      </c>
    </row>
    <row r="33" spans="1:8" x14ac:dyDescent="0.25">
      <c r="A33">
        <v>32</v>
      </c>
      <c r="B33" t="s">
        <v>56</v>
      </c>
      <c r="C33" t="s">
        <v>57</v>
      </c>
      <c r="D33" t="str">
        <f t="shared" si="2"/>
        <v/>
      </c>
      <c r="E33" t="str">
        <f t="shared" si="3"/>
        <v>dancing in the street</v>
      </c>
      <c r="F33" t="s">
        <v>5418</v>
      </c>
      <c r="G33" t="str">
        <f>_xlfn.IFNA(VLOOKUP(F33,songs!$B$1:$C$1539, 2, FALSE),"")</f>
        <v>Dancin' In The Streets</v>
      </c>
      <c r="H33" t="s">
        <v>7867</v>
      </c>
    </row>
    <row r="34" spans="1:8" x14ac:dyDescent="0.25">
      <c r="A34">
        <v>33</v>
      </c>
      <c r="B34" t="s">
        <v>58</v>
      </c>
      <c r="C34" t="s">
        <v>59</v>
      </c>
      <c r="D34" t="str">
        <f t="shared" si="2"/>
        <v/>
      </c>
      <c r="E34" t="str">
        <f t="shared" si="3"/>
        <v>help on the way</v>
      </c>
      <c r="F34" t="s">
        <v>5895</v>
      </c>
      <c r="G34" t="str">
        <f>_xlfn.IFNA(VLOOKUP(F34,songs!$B$1:$C$1539, 2, FALSE),"")</f>
        <v>Help On The Way</v>
      </c>
      <c r="H34" t="s">
        <v>1382</v>
      </c>
    </row>
    <row r="35" spans="1:8" x14ac:dyDescent="0.25">
      <c r="A35">
        <v>34</v>
      </c>
      <c r="B35" t="s">
        <v>60</v>
      </c>
      <c r="C35" t="s">
        <v>61</v>
      </c>
      <c r="D35" t="str">
        <f t="shared" si="2"/>
        <v/>
      </c>
      <c r="E35" t="str">
        <f t="shared" si="3"/>
        <v>slipknot!</v>
      </c>
      <c r="F35" t="s">
        <v>7035</v>
      </c>
      <c r="G35" t="str">
        <f>_xlfn.IFNA(VLOOKUP(F35,songs!$B$1:$C$1539, 2, FALSE),"")</f>
        <v>Slipknot!</v>
      </c>
      <c r="H35" t="s">
        <v>61</v>
      </c>
    </row>
    <row r="36" spans="1:8" x14ac:dyDescent="0.25">
      <c r="A36">
        <v>35</v>
      </c>
      <c r="B36" t="s">
        <v>62</v>
      </c>
      <c r="C36" t="s">
        <v>63</v>
      </c>
      <c r="D36" t="str">
        <f t="shared" si="2"/>
        <v/>
      </c>
      <c r="E36" t="str">
        <f t="shared" si="3"/>
        <v>franklin's tower</v>
      </c>
      <c r="F36" t="s">
        <v>5712</v>
      </c>
      <c r="G36" t="str">
        <f>_xlfn.IFNA(VLOOKUP(F36,songs!$B$1:$C$1539, 2, FALSE),"")</f>
        <v>Franklin's Tower</v>
      </c>
      <c r="H36" t="s">
        <v>63</v>
      </c>
    </row>
    <row r="37" spans="1:8" x14ac:dyDescent="0.25">
      <c r="A37">
        <v>36</v>
      </c>
      <c r="B37" t="s">
        <v>64</v>
      </c>
      <c r="C37" t="s">
        <v>65</v>
      </c>
      <c r="D37" t="str">
        <f t="shared" si="2"/>
        <v/>
      </c>
      <c r="E37" t="str">
        <f t="shared" si="3"/>
        <v>samson and delilah</v>
      </c>
      <c r="F37" t="s">
        <v>6925</v>
      </c>
      <c r="G37" t="str">
        <f>_xlfn.IFNA(VLOOKUP(F37,songs!$B$1:$C$1539, 2, FALSE),"")</f>
        <v>Samson And Delilah</v>
      </c>
      <c r="H37" t="s">
        <v>266</v>
      </c>
    </row>
    <row r="38" spans="1:8" x14ac:dyDescent="0.25">
      <c r="A38">
        <v>37</v>
      </c>
      <c r="B38" t="s">
        <v>66</v>
      </c>
      <c r="C38" t="s">
        <v>67</v>
      </c>
      <c r="D38" t="str">
        <f t="shared" si="2"/>
        <v/>
      </c>
      <c r="E38" t="str">
        <f t="shared" si="3"/>
        <v>sunrise</v>
      </c>
      <c r="F38" t="s">
        <v>7156</v>
      </c>
      <c r="G38" t="str">
        <f>_xlfn.IFNA(VLOOKUP(F38,songs!$B$1:$C$1539, 2, FALSE),"")</f>
        <v>Sunrise</v>
      </c>
      <c r="H38" t="s">
        <v>67</v>
      </c>
    </row>
    <row r="39" spans="1:8" x14ac:dyDescent="0.25">
      <c r="A39">
        <v>38</v>
      </c>
      <c r="B39" t="s">
        <v>68</v>
      </c>
      <c r="C39" t="s">
        <v>69</v>
      </c>
      <c r="D39" t="str">
        <f t="shared" si="2"/>
        <v/>
      </c>
      <c r="E39" t="str">
        <f t="shared" si="3"/>
        <v>estimated prophet</v>
      </c>
      <c r="F39" t="s">
        <v>5612</v>
      </c>
      <c r="G39" t="str">
        <f>_xlfn.IFNA(VLOOKUP(F39,songs!$B$1:$C$1539, 2, FALSE),"")</f>
        <v>Estimated Prophet</v>
      </c>
      <c r="H39" t="s">
        <v>69</v>
      </c>
    </row>
    <row r="40" spans="1:8" x14ac:dyDescent="0.25">
      <c r="A40">
        <v>39</v>
      </c>
      <c r="B40" t="s">
        <v>70</v>
      </c>
      <c r="C40" t="s">
        <v>71</v>
      </c>
      <c r="D40" t="str">
        <f t="shared" si="2"/>
        <v/>
      </c>
      <c r="E40" t="str">
        <f t="shared" si="3"/>
        <v>eyes of the world</v>
      </c>
      <c r="F40" t="s">
        <v>5633</v>
      </c>
      <c r="G40" t="str">
        <f>_xlfn.IFNA(VLOOKUP(F40,songs!$B$1:$C$1539, 2, FALSE),"")</f>
        <v>Eyes Of The World</v>
      </c>
      <c r="H40" t="s">
        <v>471</v>
      </c>
    </row>
    <row r="41" spans="1:8" x14ac:dyDescent="0.25">
      <c r="A41">
        <v>40</v>
      </c>
      <c r="B41" t="s">
        <v>72</v>
      </c>
      <c r="C41" t="s">
        <v>73</v>
      </c>
      <c r="D41" t="str">
        <f t="shared" si="2"/>
        <v/>
      </c>
      <c r="E41" t="str">
        <f t="shared" si="3"/>
        <v>wharf rat</v>
      </c>
      <c r="F41" t="s">
        <v>7664</v>
      </c>
      <c r="G41" t="str">
        <f>_xlfn.IFNA(VLOOKUP(F41,songs!$B$1:$C$1539, 2, FALSE),"")</f>
        <v>Wharf Rat</v>
      </c>
      <c r="H41" t="s">
        <v>73</v>
      </c>
    </row>
    <row r="42" spans="1:8" x14ac:dyDescent="0.25">
      <c r="A42">
        <v>41</v>
      </c>
      <c r="B42" t="s">
        <v>74</v>
      </c>
      <c r="C42" t="s">
        <v>75</v>
      </c>
      <c r="D42" t="str">
        <f t="shared" si="2"/>
        <v/>
      </c>
      <c r="E42" t="str">
        <f t="shared" si="3"/>
        <v>terrapin station</v>
      </c>
      <c r="F42" t="s">
        <v>7237</v>
      </c>
      <c r="G42" t="str">
        <f>_xlfn.IFNA(VLOOKUP(F42,songs!$B$1:$C$1539, 2, FALSE),"")</f>
        <v>Terrapin Station</v>
      </c>
      <c r="H42" t="s">
        <v>75</v>
      </c>
    </row>
    <row r="43" spans="1:8" x14ac:dyDescent="0.25">
      <c r="A43">
        <v>42</v>
      </c>
      <c r="B43" t="s">
        <v>76</v>
      </c>
      <c r="C43" t="s">
        <v>77</v>
      </c>
      <c r="D43" t="str">
        <f t="shared" si="2"/>
        <v/>
      </c>
      <c r="E43" t="str">
        <f t="shared" si="3"/>
        <v>(walk me out in the ) morning dew</v>
      </c>
      <c r="F43" t="s">
        <v>6555</v>
      </c>
      <c r="G43" t="str">
        <f>_xlfn.IFNA(VLOOKUP(F43,songs!$B$1:$C$1539, 2, FALSE),"")</f>
        <v>Morning Dew</v>
      </c>
      <c r="H43" t="s">
        <v>7867</v>
      </c>
    </row>
    <row r="44" spans="1:8" x14ac:dyDescent="0.25">
      <c r="A44">
        <v>45</v>
      </c>
      <c r="B44" t="s">
        <v>82</v>
      </c>
      <c r="C44" t="s">
        <v>57</v>
      </c>
      <c r="D44" t="str">
        <f t="shared" si="2"/>
        <v/>
      </c>
      <c r="E44" t="str">
        <f t="shared" si="3"/>
        <v>dancing in the street</v>
      </c>
      <c r="F44" t="s">
        <v>5418</v>
      </c>
      <c r="G44" t="str">
        <f>_xlfn.IFNA(VLOOKUP(F44,songs!$B$1:$C$1539, 2, FALSE),"")</f>
        <v>Dancin' In The Streets</v>
      </c>
      <c r="H44" t="s">
        <v>7867</v>
      </c>
    </row>
    <row r="45" spans="1:8" x14ac:dyDescent="0.25">
      <c r="A45">
        <v>44</v>
      </c>
      <c r="B45" t="s">
        <v>80</v>
      </c>
      <c r="C45" t="s">
        <v>81</v>
      </c>
      <c r="D45" t="str">
        <f t="shared" si="2"/>
        <v/>
      </c>
      <c r="E45" t="str">
        <f t="shared" si="3"/>
        <v>casey jones</v>
      </c>
      <c r="F45" t="s">
        <v>5290</v>
      </c>
      <c r="G45" t="str">
        <f>_xlfn.IFNA(VLOOKUP(F45,songs!$B$1:$C$1539, 2, FALSE),"")</f>
        <v>Casey Jones</v>
      </c>
      <c r="H45" t="s">
        <v>81</v>
      </c>
    </row>
    <row r="46" spans="1:8" x14ac:dyDescent="0.25">
      <c r="A46">
        <v>51</v>
      </c>
      <c r="B46" t="s">
        <v>93</v>
      </c>
      <c r="C46" t="s">
        <v>94</v>
      </c>
      <c r="D46" t="str">
        <f t="shared" si="2"/>
        <v/>
      </c>
      <c r="E46" t="str">
        <f t="shared" si="3"/>
        <v>that's it for the other one</v>
      </c>
      <c r="F46" t="s">
        <v>7325</v>
      </c>
      <c r="G46" t="str">
        <f>_xlfn.IFNA(VLOOKUP(F46,songs!$B$1:$C$1539, 2, FALSE),"")</f>
        <v>The Other One</v>
      </c>
      <c r="H46" t="s">
        <v>7867</v>
      </c>
    </row>
    <row r="47" spans="1:8" x14ac:dyDescent="0.25">
      <c r="A47">
        <v>46</v>
      </c>
      <c r="B47" t="s">
        <v>83</v>
      </c>
      <c r="C47" t="s">
        <v>84</v>
      </c>
      <c r="D47" t="str">
        <f t="shared" si="2"/>
        <v/>
      </c>
      <c r="E47" t="str">
        <f t="shared" si="3"/>
        <v>china cat sunflower</v>
      </c>
      <c r="F47" t="s">
        <v>5319</v>
      </c>
      <c r="G47" t="str">
        <f>_xlfn.IFNA(VLOOKUP(F47,songs!$B$1:$C$1539, 2, FALSE),"")</f>
        <v>China Cat Sunflower</v>
      </c>
      <c r="H47" t="s">
        <v>84</v>
      </c>
    </row>
    <row r="48" spans="1:8" x14ac:dyDescent="0.25">
      <c r="A48">
        <v>47</v>
      </c>
      <c r="B48" t="s">
        <v>85</v>
      </c>
      <c r="C48" t="s">
        <v>86</v>
      </c>
      <c r="D48" t="str">
        <f t="shared" si="2"/>
        <v/>
      </c>
      <c r="E48" t="str">
        <f t="shared" si="3"/>
        <v>i know you rider</v>
      </c>
      <c r="F48" t="s">
        <v>6020</v>
      </c>
      <c r="G48" t="str">
        <f>_xlfn.IFNA(VLOOKUP(F48,songs!$B$1:$C$1539, 2, FALSE),"")</f>
        <v>I Know You Rider</v>
      </c>
      <c r="H48" t="s">
        <v>86</v>
      </c>
    </row>
    <row r="49" spans="1:8" x14ac:dyDescent="0.25">
      <c r="A49">
        <v>48</v>
      </c>
      <c r="B49" t="s">
        <v>87</v>
      </c>
      <c r="C49" t="s">
        <v>88</v>
      </c>
      <c r="D49" t="str">
        <f t="shared" si="2"/>
        <v/>
      </c>
      <c r="E49" t="str">
        <f t="shared" si="3"/>
        <v>high time</v>
      </c>
      <c r="F49" t="s">
        <v>5920</v>
      </c>
      <c r="G49" t="str">
        <f>_xlfn.IFNA(VLOOKUP(F49,songs!$B$1:$C$1539, 2, FALSE),"")</f>
        <v>High Time</v>
      </c>
      <c r="H49" t="s">
        <v>88</v>
      </c>
    </row>
    <row r="50" spans="1:8" x14ac:dyDescent="0.25">
      <c r="A50">
        <v>49</v>
      </c>
      <c r="B50" t="s">
        <v>89</v>
      </c>
      <c r="C50" t="s">
        <v>90</v>
      </c>
      <c r="D50" t="str">
        <f t="shared" si="2"/>
        <v/>
      </c>
      <c r="E50" t="str">
        <f t="shared" si="3"/>
        <v>dire wolf</v>
      </c>
      <c r="F50" t="s">
        <v>5497</v>
      </c>
      <c r="G50" t="str">
        <f>_xlfn.IFNA(VLOOKUP(F50,songs!$B$1:$C$1539, 2, FALSE),"")</f>
        <v>Dire Wolf</v>
      </c>
      <c r="H50" t="s">
        <v>90</v>
      </c>
    </row>
    <row r="51" spans="1:8" x14ac:dyDescent="0.25">
      <c r="A51">
        <v>50</v>
      </c>
      <c r="B51" t="s">
        <v>91</v>
      </c>
      <c r="C51" t="s">
        <v>92</v>
      </c>
      <c r="D51" t="str">
        <f t="shared" si="2"/>
        <v/>
      </c>
      <c r="E51" t="str">
        <f t="shared" si="3"/>
        <v>dark star</v>
      </c>
      <c r="F51" t="s">
        <v>5428</v>
      </c>
      <c r="G51" t="str">
        <f>_xlfn.IFNA(VLOOKUP(F51,songs!$B$1:$C$1539, 2, FALSE),"")</f>
        <v>Dark Star</v>
      </c>
      <c r="H51" t="s">
        <v>92</v>
      </c>
    </row>
    <row r="52" spans="1:8" x14ac:dyDescent="0.25">
      <c r="A52">
        <v>52</v>
      </c>
      <c r="B52" t="s">
        <v>95</v>
      </c>
      <c r="C52" t="s">
        <v>96</v>
      </c>
      <c r="D52" t="str">
        <f t="shared" si="2"/>
        <v/>
      </c>
      <c r="E52" t="str">
        <f t="shared" si="3"/>
        <v>turn on your love light</v>
      </c>
      <c r="F52" t="s">
        <v>7447</v>
      </c>
      <c r="G52" t="str">
        <f>_xlfn.IFNA(VLOOKUP(F52,songs!$B$1:$C$1539, 2, FALSE),"")</f>
        <v>Turn On Your Lovelight</v>
      </c>
      <c r="H52" t="s">
        <v>7867</v>
      </c>
    </row>
    <row r="53" spans="1:8" x14ac:dyDescent="0.25">
      <c r="A53">
        <v>55</v>
      </c>
      <c r="B53" t="s">
        <v>101</v>
      </c>
      <c r="C53" t="s">
        <v>102</v>
      </c>
      <c r="D53" t="str">
        <f t="shared" si="2"/>
        <v/>
      </c>
      <c r="E53" t="str">
        <f t="shared" si="3"/>
        <v>me &amp; my uncle</v>
      </c>
      <c r="F53" t="s">
        <v>6486</v>
      </c>
      <c r="G53" t="str">
        <f>_xlfn.IFNA(VLOOKUP(F53,songs!$B$1:$C$1539, 2, FALSE),"")</f>
        <v>Me And My Uncle</v>
      </c>
      <c r="H53" t="s">
        <v>7867</v>
      </c>
    </row>
    <row r="54" spans="1:8" x14ac:dyDescent="0.25">
      <c r="A54">
        <v>53</v>
      </c>
      <c r="B54" t="s">
        <v>97</v>
      </c>
      <c r="C54" t="s">
        <v>98</v>
      </c>
      <c r="D54" t="str">
        <f t="shared" si="2"/>
        <v/>
      </c>
      <c r="E54" t="str">
        <f t="shared" si="3"/>
        <v>alligator</v>
      </c>
      <c r="F54" t="s">
        <v>5072</v>
      </c>
      <c r="G54" t="str">
        <f>_xlfn.IFNA(VLOOKUP(F54,songs!$B$1:$C$1539, 2, FALSE),"")</f>
        <v>Alligator</v>
      </c>
      <c r="H54" t="s">
        <v>98</v>
      </c>
    </row>
    <row r="55" spans="1:8" x14ac:dyDescent="0.25">
      <c r="A55">
        <v>54</v>
      </c>
      <c r="B55" t="s">
        <v>99</v>
      </c>
      <c r="C55" t="s">
        <v>100</v>
      </c>
      <c r="D55" t="str">
        <f t="shared" si="2"/>
        <v/>
      </c>
      <c r="E55" t="str">
        <f t="shared" si="3"/>
        <v>drums</v>
      </c>
      <c r="F55" t="s">
        <v>5568</v>
      </c>
      <c r="G55" t="str">
        <f>_xlfn.IFNA(VLOOKUP(F55,songs!$B$1:$C$1539, 2, FALSE),"")</f>
        <v>Drums</v>
      </c>
      <c r="H55" t="s">
        <v>100</v>
      </c>
    </row>
    <row r="56" spans="1:8" x14ac:dyDescent="0.25">
      <c r="A56">
        <v>60</v>
      </c>
      <c r="B56" t="s">
        <v>110</v>
      </c>
      <c r="C56" t="s">
        <v>111</v>
      </c>
      <c r="D56" t="str">
        <f t="shared" si="2"/>
        <v/>
      </c>
      <c r="E56" t="str">
        <f t="shared" si="3"/>
        <v>we bid you goodnight</v>
      </c>
      <c r="F56" t="s">
        <v>5082</v>
      </c>
      <c r="G56" t="str">
        <f>_xlfn.IFNA(VLOOKUP(F56,songs!$B$1:$C$1539, 2, FALSE),"")</f>
        <v>And We Bid You Good Night</v>
      </c>
      <c r="H56" t="s">
        <v>7867</v>
      </c>
    </row>
    <row r="57" spans="1:8" x14ac:dyDescent="0.25">
      <c r="A57">
        <v>56</v>
      </c>
      <c r="B57" t="s">
        <v>103</v>
      </c>
      <c r="C57" t="s">
        <v>34</v>
      </c>
      <c r="D57" t="str">
        <f t="shared" si="2"/>
        <v/>
      </c>
      <c r="E57" t="str">
        <f t="shared" si="3"/>
        <v>not fade away</v>
      </c>
      <c r="F57" t="s">
        <v>6651</v>
      </c>
      <c r="G57" t="str">
        <f>_xlfn.IFNA(VLOOKUP(F57,songs!$B$1:$C$1539, 2, FALSE),"")</f>
        <v>Not Fade Away</v>
      </c>
      <c r="H57" t="s">
        <v>34</v>
      </c>
    </row>
    <row r="58" spans="1:8" x14ac:dyDescent="0.25">
      <c r="A58">
        <v>57</v>
      </c>
      <c r="B58" t="s">
        <v>104</v>
      </c>
      <c r="C58" t="s">
        <v>105</v>
      </c>
      <c r="D58" t="str">
        <f t="shared" si="2"/>
        <v/>
      </c>
      <c r="E58" t="str">
        <f t="shared" si="3"/>
        <v>mason's children</v>
      </c>
      <c r="F58" t="s">
        <v>6469</v>
      </c>
      <c r="G58" t="str">
        <f>_xlfn.IFNA(VLOOKUP(F58,songs!$B$1:$C$1539, 2, FALSE),"")</f>
        <v>Mason's Children</v>
      </c>
      <c r="H58" t="s">
        <v>105</v>
      </c>
    </row>
    <row r="59" spans="1:8" x14ac:dyDescent="0.25">
      <c r="A59">
        <v>58</v>
      </c>
      <c r="B59" t="s">
        <v>106</v>
      </c>
      <c r="C59" t="s">
        <v>107</v>
      </c>
      <c r="D59" t="str">
        <f t="shared" si="2"/>
        <v/>
      </c>
      <c r="E59" t="str">
        <f t="shared" si="3"/>
        <v>caution (do not stop on tracks)</v>
      </c>
      <c r="F59" t="s">
        <v>5300</v>
      </c>
      <c r="G59" t="str">
        <f>_xlfn.IFNA(VLOOKUP(F59,songs!$B$1:$C$1539, 2, FALSE),"")</f>
        <v>Caution (Do Not Stop On Tracks)</v>
      </c>
      <c r="H59" t="s">
        <v>3962</v>
      </c>
    </row>
    <row r="60" spans="1:8" x14ac:dyDescent="0.25">
      <c r="A60">
        <v>59</v>
      </c>
      <c r="B60" t="s">
        <v>108</v>
      </c>
      <c r="C60" t="s">
        <v>109</v>
      </c>
      <c r="D60" t="str">
        <f t="shared" si="2"/>
        <v/>
      </c>
      <c r="E60" t="str">
        <f t="shared" si="3"/>
        <v>feedback</v>
      </c>
      <c r="F60" t="s">
        <v>5657</v>
      </c>
      <c r="G60" t="str">
        <f>_xlfn.IFNA(VLOOKUP(F60,songs!$B$1:$C$1539, 2, FALSE),"")</f>
        <v>Feedback</v>
      </c>
      <c r="H60" t="s">
        <v>109</v>
      </c>
    </row>
    <row r="61" spans="1:8" x14ac:dyDescent="0.25">
      <c r="A61">
        <v>64</v>
      </c>
      <c r="B61" t="s">
        <v>117</v>
      </c>
      <c r="C61" t="s">
        <v>102</v>
      </c>
      <c r="D61" t="str">
        <f t="shared" si="2"/>
        <v/>
      </c>
      <c r="E61" t="str">
        <f t="shared" si="3"/>
        <v>me &amp; my uncle</v>
      </c>
      <c r="F61" t="s">
        <v>6486</v>
      </c>
      <c r="G61" t="str">
        <f>_xlfn.IFNA(VLOOKUP(F61,songs!$B$1:$C$1539, 2, FALSE),"")</f>
        <v>Me And My Uncle</v>
      </c>
      <c r="H61" t="s">
        <v>7867</v>
      </c>
    </row>
    <row r="62" spans="1:8" x14ac:dyDescent="0.25">
      <c r="A62">
        <v>61</v>
      </c>
      <c r="B62" t="s">
        <v>112</v>
      </c>
      <c r="C62" t="s">
        <v>113</v>
      </c>
      <c r="D62" t="str">
        <f t="shared" si="2"/>
        <v/>
      </c>
      <c r="E62" t="str">
        <f t="shared" si="3"/>
        <v>cold rain and snow</v>
      </c>
      <c r="F62" t="s">
        <v>5347</v>
      </c>
      <c r="G62" t="str">
        <f>_xlfn.IFNA(VLOOKUP(F62,songs!$B$1:$C$1539, 2, FALSE),"")</f>
        <v>Cold Rain And Snow</v>
      </c>
      <c r="H62" t="s">
        <v>429</v>
      </c>
    </row>
    <row r="63" spans="1:8" x14ac:dyDescent="0.25">
      <c r="A63">
        <v>62</v>
      </c>
      <c r="B63" t="s">
        <v>114</v>
      </c>
      <c r="C63" t="s">
        <v>115</v>
      </c>
      <c r="D63" t="str">
        <f t="shared" si="2"/>
        <v/>
      </c>
      <c r="E63" t="str">
        <f t="shared" si="3"/>
        <v>c.c. rider</v>
      </c>
      <c r="F63" t="s">
        <v>5273</v>
      </c>
      <c r="G63" t="str">
        <f>_xlfn.IFNA(VLOOKUP(F63,songs!$B$1:$C$1539, 2, FALSE),"")</f>
        <v>C.C. Rider</v>
      </c>
      <c r="H63" t="s">
        <v>115</v>
      </c>
    </row>
    <row r="64" spans="1:8" x14ac:dyDescent="0.25">
      <c r="A64">
        <v>63</v>
      </c>
      <c r="B64" t="s">
        <v>116</v>
      </c>
      <c r="C64" t="s">
        <v>90</v>
      </c>
      <c r="D64" t="str">
        <f t="shared" si="2"/>
        <v/>
      </c>
      <c r="E64" t="str">
        <f t="shared" si="3"/>
        <v>dire wolf</v>
      </c>
      <c r="F64" t="s">
        <v>5497</v>
      </c>
      <c r="G64" t="str">
        <f>_xlfn.IFNA(VLOOKUP(F64,songs!$B$1:$C$1539, 2, FALSE),"")</f>
        <v>Dire Wolf</v>
      </c>
      <c r="H64" t="s">
        <v>90</v>
      </c>
    </row>
    <row r="65" spans="1:8" x14ac:dyDescent="0.25">
      <c r="A65">
        <v>66</v>
      </c>
      <c r="B65" t="s">
        <v>119</v>
      </c>
      <c r="C65" t="s">
        <v>120</v>
      </c>
      <c r="D65" t="str">
        <f t="shared" si="2"/>
        <v/>
      </c>
      <c r="E65" t="str">
        <f t="shared" si="3"/>
        <v>brown-eyed woman</v>
      </c>
      <c r="F65" t="s">
        <v>5255</v>
      </c>
      <c r="G65" t="str">
        <f>_xlfn.IFNA(VLOOKUP(F65,songs!$B$1:$C$1539, 2, FALSE),"")</f>
        <v>Brown Eyed Women</v>
      </c>
      <c r="H65" t="s">
        <v>7867</v>
      </c>
    </row>
    <row r="66" spans="1:8" x14ac:dyDescent="0.25">
      <c r="A66">
        <v>65</v>
      </c>
      <c r="B66" t="s">
        <v>118</v>
      </c>
      <c r="C66" t="s">
        <v>3</v>
      </c>
      <c r="D66" t="str">
        <f t="shared" si="2"/>
        <v/>
      </c>
      <c r="E66" t="str">
        <f t="shared" si="3"/>
        <v>big river</v>
      </c>
      <c r="F66" t="s">
        <v>5175</v>
      </c>
      <c r="G66" t="str">
        <f>_xlfn.IFNA(VLOOKUP(F66,songs!$B$1:$C$1539, 2, FALSE),"")</f>
        <v>Big River</v>
      </c>
      <c r="H66" t="s">
        <v>3</v>
      </c>
    </row>
    <row r="67" spans="1:8" x14ac:dyDescent="0.25">
      <c r="A67">
        <v>67</v>
      </c>
      <c r="B67" t="s">
        <v>121</v>
      </c>
      <c r="C67" t="s">
        <v>122</v>
      </c>
      <c r="D67" t="str">
        <f t="shared" si="2"/>
        <v/>
      </c>
      <c r="E67" t="str">
        <f t="shared" si="3"/>
        <v>new minglewood blues</v>
      </c>
      <c r="F67" t="s">
        <v>7869</v>
      </c>
      <c r="G67" t="str">
        <f>_xlfn.IFNA(VLOOKUP(F67,songs!$B$1:$C$1539, 2, FALSE),"")</f>
        <v>Minglewood Blues</v>
      </c>
      <c r="H67" t="s">
        <v>7867</v>
      </c>
    </row>
    <row r="68" spans="1:8" x14ac:dyDescent="0.25">
      <c r="A68">
        <v>3324</v>
      </c>
      <c r="B68" t="s">
        <v>4207</v>
      </c>
      <c r="C68" t="s">
        <v>4208</v>
      </c>
      <c r="D68" t="str">
        <f t="shared" ref="D68:D131" si="4">IF(RIGHT(TRIM(C68),2)="-&gt;","&gt;",IF(RIGHT(TRIM(C68),1)="&gt;","&gt;",""))</f>
        <v/>
      </c>
      <c r="E68" t="str">
        <f t="shared" ref="E68:E131" si="5">LOWER(TRIM(SUBSTITUTE(IF(RIGHT(TRIM(C68),2)="-&gt;",LEFT(TRIM(C68),LEN(TRIM(C68))-2),IF(RIGHT(TRIM(C68),1)="&gt;",LEFT(TRIM(C68),LEN(TRIM(C68))-1),C68)),"//","")))</f>
        <v>antwerp's placebo (the plumber)</v>
      </c>
      <c r="F68" t="s">
        <v>7861</v>
      </c>
      <c r="G68" t="str">
        <f>_xlfn.IFNA(VLOOKUP(F68,songs!$B$1:$C$1539, 2, FALSE),"")</f>
        <v/>
      </c>
      <c r="H68" t="s">
        <v>7867</v>
      </c>
    </row>
    <row r="69" spans="1:8" x14ac:dyDescent="0.25">
      <c r="A69">
        <v>68</v>
      </c>
      <c r="B69" t="s">
        <v>123</v>
      </c>
      <c r="C69" t="s">
        <v>124</v>
      </c>
      <c r="D69" t="str">
        <f t="shared" si="4"/>
        <v/>
      </c>
      <c r="E69" t="str">
        <f t="shared" si="5"/>
        <v>friend of the devil</v>
      </c>
      <c r="F69" t="s">
        <v>5721</v>
      </c>
      <c r="G69" t="str">
        <f>_xlfn.IFNA(VLOOKUP(F69,songs!$B$1:$C$1539, 2, FALSE),"")</f>
        <v>Friend Of The Devil</v>
      </c>
      <c r="H69" t="s">
        <v>464</v>
      </c>
    </row>
    <row r="70" spans="1:8" x14ac:dyDescent="0.25">
      <c r="A70">
        <v>69</v>
      </c>
      <c r="B70" t="s">
        <v>125</v>
      </c>
      <c r="C70" t="s">
        <v>126</v>
      </c>
      <c r="D70" t="str">
        <f t="shared" si="4"/>
        <v/>
      </c>
      <c r="E70" t="str">
        <f t="shared" si="5"/>
        <v>looks like rain</v>
      </c>
      <c r="F70" t="s">
        <v>6398</v>
      </c>
      <c r="G70" t="str">
        <f>_xlfn.IFNA(VLOOKUP(F70,songs!$B$1:$C$1539, 2, FALSE),"")</f>
        <v>Looks Like Rain</v>
      </c>
      <c r="H70" t="s">
        <v>126</v>
      </c>
    </row>
    <row r="71" spans="1:8" x14ac:dyDescent="0.25">
      <c r="A71">
        <v>70</v>
      </c>
      <c r="B71" t="s">
        <v>127</v>
      </c>
      <c r="C71" t="s">
        <v>128</v>
      </c>
      <c r="D71" t="str">
        <f t="shared" si="4"/>
        <v/>
      </c>
      <c r="E71" t="str">
        <f t="shared" si="5"/>
        <v>alabama getaway</v>
      </c>
      <c r="F71" t="s">
        <v>5047</v>
      </c>
      <c r="G71" t="str">
        <f>_xlfn.IFNA(VLOOKUP(F71,songs!$B$1:$C$1539, 2, FALSE),"")</f>
        <v>Alabama Getaway</v>
      </c>
      <c r="H71" t="s">
        <v>128</v>
      </c>
    </row>
    <row r="72" spans="1:8" x14ac:dyDescent="0.25">
      <c r="A72">
        <v>71</v>
      </c>
      <c r="B72" t="s">
        <v>129</v>
      </c>
      <c r="C72" t="s">
        <v>130</v>
      </c>
      <c r="D72" t="str">
        <f t="shared" si="4"/>
        <v/>
      </c>
      <c r="E72" t="str">
        <f t="shared" si="5"/>
        <v>promised land</v>
      </c>
      <c r="F72" t="s">
        <v>6797</v>
      </c>
      <c r="G72" t="str">
        <f>_xlfn.IFNA(VLOOKUP(F72,songs!$B$1:$C$1539, 2, FALSE),"")</f>
        <v>Promised Land</v>
      </c>
      <c r="H72" t="s">
        <v>130</v>
      </c>
    </row>
    <row r="73" spans="1:8" x14ac:dyDescent="0.25">
      <c r="A73">
        <v>72</v>
      </c>
      <c r="B73" t="s">
        <v>131</v>
      </c>
      <c r="C73" t="s">
        <v>100</v>
      </c>
      <c r="D73" t="str">
        <f t="shared" si="4"/>
        <v/>
      </c>
      <c r="E73" t="str">
        <f t="shared" si="5"/>
        <v>drums</v>
      </c>
      <c r="F73" t="s">
        <v>5568</v>
      </c>
      <c r="G73" t="str">
        <f>_xlfn.IFNA(VLOOKUP(F73,songs!$B$1:$C$1539, 2, FALSE),"")</f>
        <v>Drums</v>
      </c>
      <c r="H73" t="s">
        <v>100</v>
      </c>
    </row>
    <row r="74" spans="1:8" x14ac:dyDescent="0.25">
      <c r="A74">
        <v>73</v>
      </c>
      <c r="B74" t="s">
        <v>132</v>
      </c>
      <c r="C74" t="s">
        <v>133</v>
      </c>
      <c r="D74" t="str">
        <f t="shared" si="4"/>
        <v/>
      </c>
      <c r="E74" t="str">
        <f t="shared" si="5"/>
        <v>uncle john's band</v>
      </c>
      <c r="F74" t="s">
        <v>7466</v>
      </c>
      <c r="G74" t="str">
        <f>_xlfn.IFNA(VLOOKUP(F74,songs!$B$1:$C$1539, 2, FALSE),"")</f>
        <v>Uncle John's Band</v>
      </c>
      <c r="H74" t="s">
        <v>133</v>
      </c>
    </row>
    <row r="75" spans="1:8" x14ac:dyDescent="0.25">
      <c r="A75">
        <v>74</v>
      </c>
      <c r="B75" t="s">
        <v>134</v>
      </c>
      <c r="C75" t="s">
        <v>69</v>
      </c>
      <c r="D75" t="str">
        <f t="shared" si="4"/>
        <v/>
      </c>
      <c r="E75" t="str">
        <f t="shared" si="5"/>
        <v>estimated prophet</v>
      </c>
      <c r="F75" t="s">
        <v>5612</v>
      </c>
      <c r="G75" t="str">
        <f>_xlfn.IFNA(VLOOKUP(F75,songs!$B$1:$C$1539, 2, FALSE),"")</f>
        <v>Estimated Prophet</v>
      </c>
      <c r="H75" t="s">
        <v>69</v>
      </c>
    </row>
    <row r="76" spans="1:8" x14ac:dyDescent="0.25">
      <c r="A76">
        <v>3511</v>
      </c>
      <c r="B76" t="s">
        <v>4458</v>
      </c>
      <c r="C76" t="s">
        <v>4208</v>
      </c>
      <c r="D76" t="str">
        <f t="shared" si="4"/>
        <v/>
      </c>
      <c r="E76" t="str">
        <f t="shared" si="5"/>
        <v>antwerp's placebo (the plumber)</v>
      </c>
      <c r="F76" t="s">
        <v>7861</v>
      </c>
      <c r="G76" t="str">
        <f>_xlfn.IFNA(VLOOKUP(F76,songs!$B$1:$C$1539, 2, FALSE),"")</f>
        <v/>
      </c>
      <c r="H76" t="s">
        <v>7867</v>
      </c>
    </row>
    <row r="77" spans="1:8" x14ac:dyDescent="0.25">
      <c r="A77">
        <v>76</v>
      </c>
      <c r="B77" t="s">
        <v>137</v>
      </c>
      <c r="C77" t="s">
        <v>13</v>
      </c>
      <c r="D77" t="str">
        <f t="shared" si="4"/>
        <v/>
      </c>
      <c r="E77" t="str">
        <f t="shared" si="5"/>
        <v>he's gone</v>
      </c>
      <c r="F77" t="s">
        <v>5903</v>
      </c>
      <c r="G77" t="str">
        <f>_xlfn.IFNA(VLOOKUP(F77,songs!$B$1:$C$1539, 2, FALSE),"")</f>
        <v>He's Gone</v>
      </c>
      <c r="H77" t="s">
        <v>13</v>
      </c>
    </row>
    <row r="78" spans="1:8" x14ac:dyDescent="0.25">
      <c r="A78">
        <v>77</v>
      </c>
      <c r="B78" t="s">
        <v>138</v>
      </c>
      <c r="C78" t="s">
        <v>139</v>
      </c>
      <c r="D78" t="str">
        <f t="shared" si="4"/>
        <v/>
      </c>
      <c r="E78" t="str">
        <f t="shared" si="5"/>
        <v>the other one</v>
      </c>
      <c r="F78" t="s">
        <v>7325</v>
      </c>
      <c r="G78" t="str">
        <f>_xlfn.IFNA(VLOOKUP(F78,songs!$B$1:$C$1539, 2, FALSE),"")</f>
        <v>The Other One</v>
      </c>
      <c r="H78" t="s">
        <v>139</v>
      </c>
    </row>
    <row r="79" spans="1:8" x14ac:dyDescent="0.25">
      <c r="A79">
        <v>78</v>
      </c>
      <c r="B79" t="s">
        <v>140</v>
      </c>
      <c r="C79" t="s">
        <v>100</v>
      </c>
      <c r="D79" t="str">
        <f t="shared" si="4"/>
        <v/>
      </c>
      <c r="E79" t="str">
        <f t="shared" si="5"/>
        <v>drums</v>
      </c>
      <c r="F79" t="s">
        <v>5568</v>
      </c>
      <c r="G79" t="str">
        <f>_xlfn.IFNA(VLOOKUP(F79,songs!$B$1:$C$1539, 2, FALSE),"")</f>
        <v>Drums</v>
      </c>
      <c r="H79" t="s">
        <v>100</v>
      </c>
    </row>
    <row r="80" spans="1:8" x14ac:dyDescent="0.25">
      <c r="A80">
        <v>75</v>
      </c>
      <c r="B80" t="s">
        <v>135</v>
      </c>
      <c r="C80" t="s">
        <v>136</v>
      </c>
      <c r="D80" t="str">
        <f t="shared" si="4"/>
        <v/>
      </c>
      <c r="E80" t="str">
        <f t="shared" si="5"/>
        <v>jam, no. 1</v>
      </c>
      <c r="F80" t="s">
        <v>6165</v>
      </c>
      <c r="G80" t="str">
        <f>_xlfn.IFNA(VLOOKUP(F80,songs!$B$1:$C$1539, 2, FALSE),"")</f>
        <v>Jam</v>
      </c>
      <c r="H80" t="s">
        <v>7867</v>
      </c>
    </row>
    <row r="81" spans="1:8" x14ac:dyDescent="0.25">
      <c r="A81">
        <v>80</v>
      </c>
      <c r="B81" t="s">
        <v>143</v>
      </c>
      <c r="C81" t="s">
        <v>34</v>
      </c>
      <c r="D81" t="str">
        <f t="shared" si="4"/>
        <v/>
      </c>
      <c r="E81" t="str">
        <f t="shared" si="5"/>
        <v>not fade away</v>
      </c>
      <c r="F81" t="s">
        <v>6651</v>
      </c>
      <c r="G81" t="str">
        <f>_xlfn.IFNA(VLOOKUP(F81,songs!$B$1:$C$1539, 2, FALSE),"")</f>
        <v>Not Fade Away</v>
      </c>
      <c r="H81" t="s">
        <v>34</v>
      </c>
    </row>
    <row r="82" spans="1:8" x14ac:dyDescent="0.25">
      <c r="A82">
        <v>81</v>
      </c>
      <c r="B82" t="s">
        <v>144</v>
      </c>
      <c r="C82" t="s">
        <v>145</v>
      </c>
      <c r="D82" t="str">
        <f t="shared" si="4"/>
        <v/>
      </c>
      <c r="E82" t="str">
        <f t="shared" si="5"/>
        <v>brokedown palace</v>
      </c>
      <c r="F82" t="s">
        <v>5250</v>
      </c>
      <c r="G82" t="str">
        <f>_xlfn.IFNA(VLOOKUP(F82,songs!$B$1:$C$1539, 2, FALSE),"")</f>
        <v>Brokedown Palace</v>
      </c>
      <c r="H82" t="s">
        <v>145</v>
      </c>
    </row>
    <row r="83" spans="1:8" x14ac:dyDescent="0.25">
      <c r="A83">
        <v>82</v>
      </c>
      <c r="B83" t="s">
        <v>146</v>
      </c>
      <c r="C83" t="s">
        <v>26</v>
      </c>
      <c r="D83" t="str">
        <f t="shared" si="4"/>
        <v/>
      </c>
      <c r="E83" t="str">
        <f t="shared" si="5"/>
        <v>around and around</v>
      </c>
      <c r="F83" t="s">
        <v>5103</v>
      </c>
      <c r="G83" t="str">
        <f>_xlfn.IFNA(VLOOKUP(F83,songs!$B$1:$C$1539, 2, FALSE),"")</f>
        <v>Around And Around</v>
      </c>
      <c r="H83" t="s">
        <v>579</v>
      </c>
    </row>
    <row r="84" spans="1:8" x14ac:dyDescent="0.25">
      <c r="A84">
        <v>83</v>
      </c>
      <c r="B84" t="s">
        <v>147</v>
      </c>
      <c r="C84" t="s">
        <v>148</v>
      </c>
      <c r="D84" t="str">
        <f t="shared" si="4"/>
        <v/>
      </c>
      <c r="E84" t="str">
        <f t="shared" si="5"/>
        <v>johnny b. goode</v>
      </c>
      <c r="F84" t="s">
        <v>6192</v>
      </c>
      <c r="G84" t="str">
        <f>_xlfn.IFNA(VLOOKUP(F84,songs!$B$1:$C$1539, 2, FALSE),"")</f>
        <v>Johnny B. Goode</v>
      </c>
      <c r="H84" t="s">
        <v>148</v>
      </c>
    </row>
    <row r="85" spans="1:8" x14ac:dyDescent="0.25">
      <c r="A85">
        <v>84</v>
      </c>
      <c r="B85" t="s">
        <v>149</v>
      </c>
      <c r="C85" t="s">
        <v>150</v>
      </c>
      <c r="D85" t="str">
        <f t="shared" si="4"/>
        <v/>
      </c>
      <c r="E85" t="str">
        <f t="shared" si="5"/>
        <v>shakedown street</v>
      </c>
      <c r="F85" t="s">
        <v>6972</v>
      </c>
      <c r="G85" t="str">
        <f>_xlfn.IFNA(VLOOKUP(F85,songs!$B$1:$C$1539, 2, FALSE),"")</f>
        <v>Shakedown Street</v>
      </c>
      <c r="H85" t="s">
        <v>150</v>
      </c>
    </row>
    <row r="86" spans="1:8" x14ac:dyDescent="0.25">
      <c r="A86">
        <v>85</v>
      </c>
      <c r="B86" t="s">
        <v>151</v>
      </c>
      <c r="C86" t="s">
        <v>133</v>
      </c>
      <c r="D86" t="str">
        <f t="shared" si="4"/>
        <v/>
      </c>
      <c r="E86" t="str">
        <f t="shared" si="5"/>
        <v>uncle john's band</v>
      </c>
      <c r="F86" t="s">
        <v>7466</v>
      </c>
      <c r="G86" t="str">
        <f>_xlfn.IFNA(VLOOKUP(F86,songs!$B$1:$C$1539, 2, FALSE),"")</f>
        <v>Uncle John's Band</v>
      </c>
      <c r="H86" t="s">
        <v>133</v>
      </c>
    </row>
    <row r="87" spans="1:8" x14ac:dyDescent="0.25">
      <c r="A87">
        <v>86</v>
      </c>
      <c r="B87" t="s">
        <v>152</v>
      </c>
      <c r="C87" t="s">
        <v>128</v>
      </c>
      <c r="D87" t="str">
        <f t="shared" si="4"/>
        <v/>
      </c>
      <c r="E87" t="str">
        <f t="shared" si="5"/>
        <v>alabama getaway</v>
      </c>
      <c r="F87" t="s">
        <v>5047</v>
      </c>
      <c r="G87" t="str">
        <f>_xlfn.IFNA(VLOOKUP(F87,songs!$B$1:$C$1539, 2, FALSE),"")</f>
        <v>Alabama Getaway</v>
      </c>
      <c r="H87" t="s">
        <v>128</v>
      </c>
    </row>
    <row r="88" spans="1:8" x14ac:dyDescent="0.25">
      <c r="A88">
        <v>87</v>
      </c>
      <c r="B88" t="s">
        <v>153</v>
      </c>
      <c r="C88" t="s">
        <v>154</v>
      </c>
      <c r="D88" t="str">
        <f t="shared" si="4"/>
        <v/>
      </c>
      <c r="E88" t="str">
        <f t="shared" si="5"/>
        <v>greatest story ever told</v>
      </c>
      <c r="F88" t="s">
        <v>5826</v>
      </c>
      <c r="G88" t="str">
        <f>_xlfn.IFNA(VLOOKUP(F88,songs!$B$1:$C$1539, 2, FALSE),"")</f>
        <v>Greatest Story Ever Told</v>
      </c>
      <c r="H88" t="s">
        <v>154</v>
      </c>
    </row>
    <row r="89" spans="1:8" x14ac:dyDescent="0.25">
      <c r="A89">
        <v>88</v>
      </c>
      <c r="B89" t="s">
        <v>155</v>
      </c>
      <c r="C89" t="s">
        <v>156</v>
      </c>
      <c r="D89" t="str">
        <f t="shared" si="4"/>
        <v/>
      </c>
      <c r="E89" t="str">
        <f t="shared" si="5"/>
        <v>they love each other</v>
      </c>
      <c r="F89" t="s">
        <v>7358</v>
      </c>
      <c r="G89" t="str">
        <f>_xlfn.IFNA(VLOOKUP(F89,songs!$B$1:$C$1539, 2, FALSE),"")</f>
        <v>They Love Each Other</v>
      </c>
      <c r="H89" t="s">
        <v>156</v>
      </c>
    </row>
    <row r="90" spans="1:8" x14ac:dyDescent="0.25">
      <c r="A90">
        <v>89</v>
      </c>
      <c r="B90" t="s">
        <v>157</v>
      </c>
      <c r="C90" t="s">
        <v>158</v>
      </c>
      <c r="D90" t="str">
        <f t="shared" si="4"/>
        <v/>
      </c>
      <c r="E90" t="str">
        <f t="shared" si="5"/>
        <v>mama tried</v>
      </c>
      <c r="F90" t="s">
        <v>6454</v>
      </c>
      <c r="G90" t="str">
        <f>_xlfn.IFNA(VLOOKUP(F90,songs!$B$1:$C$1539, 2, FALSE),"")</f>
        <v>Mama Tried</v>
      </c>
      <c r="H90" t="s">
        <v>158</v>
      </c>
    </row>
    <row r="91" spans="1:8" x14ac:dyDescent="0.25">
      <c r="A91">
        <v>90</v>
      </c>
      <c r="B91" t="s">
        <v>159</v>
      </c>
      <c r="C91" t="s">
        <v>3</v>
      </c>
      <c r="D91" t="str">
        <f t="shared" si="4"/>
        <v/>
      </c>
      <c r="E91" t="str">
        <f t="shared" si="5"/>
        <v>big river</v>
      </c>
      <c r="F91" t="s">
        <v>5175</v>
      </c>
      <c r="G91" t="str">
        <f>_xlfn.IFNA(VLOOKUP(F91,songs!$B$1:$C$1539, 2, FALSE),"")</f>
        <v>Big River</v>
      </c>
      <c r="H91" t="s">
        <v>3</v>
      </c>
    </row>
    <row r="92" spans="1:8" x14ac:dyDescent="0.25">
      <c r="A92">
        <v>91</v>
      </c>
      <c r="B92" t="s">
        <v>160</v>
      </c>
      <c r="C92" t="s">
        <v>161</v>
      </c>
      <c r="D92" t="str">
        <f t="shared" si="4"/>
        <v/>
      </c>
      <c r="E92" t="str">
        <f t="shared" si="5"/>
        <v>althea</v>
      </c>
      <c r="F92" t="s">
        <v>5073</v>
      </c>
      <c r="G92" t="str">
        <f>_xlfn.IFNA(VLOOKUP(F92,songs!$B$1:$C$1539, 2, FALSE),"")</f>
        <v>Althea</v>
      </c>
      <c r="H92" t="s">
        <v>161</v>
      </c>
    </row>
    <row r="93" spans="1:8" x14ac:dyDescent="0.25">
      <c r="A93">
        <v>92</v>
      </c>
      <c r="B93" t="s">
        <v>162</v>
      </c>
      <c r="C93" t="s">
        <v>115</v>
      </c>
      <c r="D93" t="str">
        <f t="shared" si="4"/>
        <v/>
      </c>
      <c r="E93" t="str">
        <f t="shared" si="5"/>
        <v>c.c. rider</v>
      </c>
      <c r="F93" t="s">
        <v>5273</v>
      </c>
      <c r="G93" t="str">
        <f>_xlfn.IFNA(VLOOKUP(F93,songs!$B$1:$C$1539, 2, FALSE),"")</f>
        <v>C.C. Rider</v>
      </c>
      <c r="H93" t="s">
        <v>115</v>
      </c>
    </row>
    <row r="94" spans="1:8" x14ac:dyDescent="0.25">
      <c r="A94">
        <v>93</v>
      </c>
      <c r="B94" t="s">
        <v>163</v>
      </c>
      <c r="C94" t="s">
        <v>164</v>
      </c>
      <c r="D94" t="str">
        <f t="shared" si="4"/>
        <v/>
      </c>
      <c r="E94" t="str">
        <f t="shared" si="5"/>
        <v>tennessee jed</v>
      </c>
      <c r="F94" t="s">
        <v>7234</v>
      </c>
      <c r="G94" t="str">
        <f>_xlfn.IFNA(VLOOKUP(F94,songs!$B$1:$C$1539, 2, FALSE),"")</f>
        <v>Tennessee Jed</v>
      </c>
      <c r="H94" t="s">
        <v>164</v>
      </c>
    </row>
    <row r="95" spans="1:8" x14ac:dyDescent="0.25">
      <c r="A95">
        <v>94</v>
      </c>
      <c r="B95" t="s">
        <v>165</v>
      </c>
      <c r="C95" t="s">
        <v>166</v>
      </c>
      <c r="D95" t="str">
        <f t="shared" si="4"/>
        <v/>
      </c>
      <c r="E95" t="str">
        <f t="shared" si="5"/>
        <v>hell in a bucket</v>
      </c>
      <c r="F95" t="s">
        <v>5884</v>
      </c>
      <c r="G95" t="str">
        <f>_xlfn.IFNA(VLOOKUP(F95,songs!$B$1:$C$1539, 2, FALSE),"")</f>
        <v>Hell In A Bucket</v>
      </c>
      <c r="H95" t="s">
        <v>4271</v>
      </c>
    </row>
    <row r="96" spans="1:8" x14ac:dyDescent="0.25">
      <c r="A96">
        <v>79</v>
      </c>
      <c r="B96" t="s">
        <v>141</v>
      </c>
      <c r="C96" t="s">
        <v>142</v>
      </c>
      <c r="D96" t="str">
        <f t="shared" si="4"/>
        <v/>
      </c>
      <c r="E96" t="str">
        <f t="shared" si="5"/>
        <v>jam, no. 2</v>
      </c>
      <c r="F96" t="s">
        <v>6165</v>
      </c>
      <c r="G96" t="str">
        <f>_xlfn.IFNA(VLOOKUP(F96,songs!$B$1:$C$1539, 2, FALSE),"")</f>
        <v>Jam</v>
      </c>
      <c r="H96" t="s">
        <v>7867</v>
      </c>
    </row>
    <row r="97" spans="1:8" x14ac:dyDescent="0.25">
      <c r="A97">
        <v>96</v>
      </c>
      <c r="B97" t="s">
        <v>169</v>
      </c>
      <c r="C97" t="s">
        <v>170</v>
      </c>
      <c r="D97" t="str">
        <f t="shared" si="4"/>
        <v/>
      </c>
      <c r="E97" t="str">
        <f t="shared" si="5"/>
        <v>scarlet begonias</v>
      </c>
      <c r="F97" t="s">
        <v>6944</v>
      </c>
      <c r="G97" t="str">
        <f>_xlfn.IFNA(VLOOKUP(F97,songs!$B$1:$C$1539, 2, FALSE),"")</f>
        <v>Scarlet Begonias</v>
      </c>
      <c r="H97" t="s">
        <v>170</v>
      </c>
    </row>
    <row r="98" spans="1:8" x14ac:dyDescent="0.25">
      <c r="A98">
        <v>97</v>
      </c>
      <c r="B98" t="s">
        <v>171</v>
      </c>
      <c r="C98" t="s">
        <v>172</v>
      </c>
      <c r="D98" t="str">
        <f t="shared" si="4"/>
        <v/>
      </c>
      <c r="E98" t="str">
        <f t="shared" si="5"/>
        <v>fire on the mountain</v>
      </c>
      <c r="F98" t="s">
        <v>5675</v>
      </c>
      <c r="G98" t="str">
        <f>_xlfn.IFNA(VLOOKUP(F98,songs!$B$1:$C$1539, 2, FALSE),"")</f>
        <v>Fire On The Mountain</v>
      </c>
      <c r="H98" t="s">
        <v>573</v>
      </c>
    </row>
    <row r="99" spans="1:8" x14ac:dyDescent="0.25">
      <c r="A99">
        <v>98</v>
      </c>
      <c r="B99" t="s">
        <v>173</v>
      </c>
      <c r="C99" t="s">
        <v>69</v>
      </c>
      <c r="D99" t="str">
        <f t="shared" si="4"/>
        <v/>
      </c>
      <c r="E99" t="str">
        <f t="shared" si="5"/>
        <v>estimated prophet</v>
      </c>
      <c r="F99" t="s">
        <v>5612</v>
      </c>
      <c r="G99" t="str">
        <f>_xlfn.IFNA(VLOOKUP(F99,songs!$B$1:$C$1539, 2, FALSE),"")</f>
        <v>Estimated Prophet</v>
      </c>
      <c r="H99" t="s">
        <v>69</v>
      </c>
    </row>
    <row r="100" spans="1:8" x14ac:dyDescent="0.25">
      <c r="A100">
        <v>99</v>
      </c>
      <c r="B100" t="s">
        <v>174</v>
      </c>
      <c r="C100" t="s">
        <v>71</v>
      </c>
      <c r="D100" t="str">
        <f t="shared" si="4"/>
        <v/>
      </c>
      <c r="E100" t="str">
        <f t="shared" si="5"/>
        <v>eyes of the world</v>
      </c>
      <c r="F100" t="s">
        <v>5633</v>
      </c>
      <c r="G100" t="str">
        <f>_xlfn.IFNA(VLOOKUP(F100,songs!$B$1:$C$1539, 2, FALSE),"")</f>
        <v>Eyes Of The World</v>
      </c>
      <c r="H100" t="s">
        <v>471</v>
      </c>
    </row>
    <row r="101" spans="1:8" x14ac:dyDescent="0.25">
      <c r="A101">
        <v>100</v>
      </c>
      <c r="B101" t="s">
        <v>175</v>
      </c>
      <c r="C101" t="s">
        <v>100</v>
      </c>
      <c r="D101" t="str">
        <f t="shared" si="4"/>
        <v/>
      </c>
      <c r="E101" t="str">
        <f t="shared" si="5"/>
        <v>drums</v>
      </c>
      <c r="F101" t="s">
        <v>5568</v>
      </c>
      <c r="G101" t="str">
        <f>_xlfn.IFNA(VLOOKUP(F101,songs!$B$1:$C$1539, 2, FALSE),"")</f>
        <v>Drums</v>
      </c>
      <c r="H101" t="s">
        <v>100</v>
      </c>
    </row>
    <row r="102" spans="1:8" x14ac:dyDescent="0.25">
      <c r="A102">
        <v>101</v>
      </c>
      <c r="B102" t="s">
        <v>176</v>
      </c>
      <c r="C102" t="s">
        <v>177</v>
      </c>
      <c r="D102" t="str">
        <f t="shared" si="4"/>
        <v/>
      </c>
      <c r="E102" t="str">
        <f t="shared" si="5"/>
        <v>spanish jam</v>
      </c>
      <c r="F102" t="s">
        <v>7094</v>
      </c>
      <c r="G102" t="str">
        <f>_xlfn.IFNA(VLOOKUP(F102,songs!$B$1:$C$1539, 2, FALSE),"")</f>
        <v>Spanish Jam</v>
      </c>
      <c r="H102" t="s">
        <v>177</v>
      </c>
    </row>
    <row r="103" spans="1:8" x14ac:dyDescent="0.25">
      <c r="A103">
        <v>102</v>
      </c>
      <c r="B103" t="s">
        <v>178</v>
      </c>
      <c r="C103" t="s">
        <v>139</v>
      </c>
      <c r="D103" t="str">
        <f t="shared" si="4"/>
        <v/>
      </c>
      <c r="E103" t="str">
        <f t="shared" si="5"/>
        <v>the other one</v>
      </c>
      <c r="F103" t="s">
        <v>7325</v>
      </c>
      <c r="G103" t="str">
        <f>_xlfn.IFNA(VLOOKUP(F103,songs!$B$1:$C$1539, 2, FALSE),"")</f>
        <v>The Other One</v>
      </c>
      <c r="H103" t="s">
        <v>139</v>
      </c>
    </row>
    <row r="104" spans="1:8" x14ac:dyDescent="0.25">
      <c r="A104">
        <v>103</v>
      </c>
      <c r="B104" t="s">
        <v>179</v>
      </c>
      <c r="C104" t="s">
        <v>24</v>
      </c>
      <c r="D104" t="str">
        <f t="shared" si="4"/>
        <v/>
      </c>
      <c r="E104" t="str">
        <f t="shared" si="5"/>
        <v>stella blue</v>
      </c>
      <c r="F104" t="s">
        <v>7123</v>
      </c>
      <c r="G104" t="str">
        <f>_xlfn.IFNA(VLOOKUP(F104,songs!$B$1:$C$1539, 2, FALSE),"")</f>
        <v>Stella Blue</v>
      </c>
      <c r="H104" t="s">
        <v>24</v>
      </c>
    </row>
    <row r="105" spans="1:8" x14ac:dyDescent="0.25">
      <c r="A105">
        <v>95</v>
      </c>
      <c r="B105" t="s">
        <v>167</v>
      </c>
      <c r="C105" t="s">
        <v>168</v>
      </c>
      <c r="D105" t="str">
        <f t="shared" si="4"/>
        <v/>
      </c>
      <c r="E105" t="str">
        <f t="shared" si="5"/>
        <v>keep your day job</v>
      </c>
      <c r="F105" t="s">
        <v>5447</v>
      </c>
      <c r="G105" t="str">
        <f>_xlfn.IFNA(VLOOKUP(F105,songs!$B$1:$C$1539, 2, FALSE),"")</f>
        <v>Day Job</v>
      </c>
      <c r="H105" t="s">
        <v>7867</v>
      </c>
    </row>
    <row r="106" spans="1:8" x14ac:dyDescent="0.25">
      <c r="A106">
        <v>105</v>
      </c>
      <c r="B106" t="s">
        <v>182</v>
      </c>
      <c r="C106" t="s">
        <v>183</v>
      </c>
      <c r="D106" t="str">
        <f t="shared" si="4"/>
        <v/>
      </c>
      <c r="E106" t="str">
        <f t="shared" si="5"/>
        <v>u.s. blues</v>
      </c>
      <c r="F106" t="s">
        <v>7464</v>
      </c>
      <c r="G106" t="str">
        <f>_xlfn.IFNA(VLOOKUP(F106,songs!$B$1:$C$1539, 2, FALSE),"")</f>
        <v>U.S. Blues</v>
      </c>
      <c r="H106" t="s">
        <v>183</v>
      </c>
    </row>
    <row r="107" spans="1:8" x14ac:dyDescent="0.25">
      <c r="A107">
        <v>106</v>
      </c>
      <c r="B107" t="s">
        <v>184</v>
      </c>
      <c r="C107" t="s">
        <v>170</v>
      </c>
      <c r="D107" t="str">
        <f t="shared" si="4"/>
        <v/>
      </c>
      <c r="E107" t="str">
        <f t="shared" si="5"/>
        <v>scarlet begonias</v>
      </c>
      <c r="F107" t="s">
        <v>6944</v>
      </c>
      <c r="G107" t="str">
        <f>_xlfn.IFNA(VLOOKUP(F107,songs!$B$1:$C$1539, 2, FALSE),"")</f>
        <v>Scarlet Begonias</v>
      </c>
      <c r="H107" t="s">
        <v>170</v>
      </c>
    </row>
    <row r="108" spans="1:8" x14ac:dyDescent="0.25">
      <c r="A108">
        <v>107</v>
      </c>
      <c r="B108" t="s">
        <v>185</v>
      </c>
      <c r="C108" t="s">
        <v>186</v>
      </c>
      <c r="D108" t="str">
        <f t="shared" si="4"/>
        <v/>
      </c>
      <c r="E108" t="str">
        <f t="shared" si="5"/>
        <v>mexicali blues</v>
      </c>
      <c r="F108" t="s">
        <v>6499</v>
      </c>
      <c r="G108" t="str">
        <f>_xlfn.IFNA(VLOOKUP(F108,songs!$B$1:$C$1539, 2, FALSE),"")</f>
        <v>Mexicali Blues</v>
      </c>
      <c r="H108" t="s">
        <v>186</v>
      </c>
    </row>
    <row r="109" spans="1:8" x14ac:dyDescent="0.25">
      <c r="A109">
        <v>108</v>
      </c>
      <c r="B109" t="s">
        <v>187</v>
      </c>
      <c r="C109" t="s">
        <v>188</v>
      </c>
      <c r="D109" t="str">
        <f t="shared" si="4"/>
        <v/>
      </c>
      <c r="E109" t="str">
        <f t="shared" si="5"/>
        <v>row jimmy</v>
      </c>
      <c r="F109" t="s">
        <v>6893</v>
      </c>
      <c r="G109" t="str">
        <f>_xlfn.IFNA(VLOOKUP(F109,songs!$B$1:$C$1539, 2, FALSE),"")</f>
        <v>Row Jimmy</v>
      </c>
      <c r="H109" t="s">
        <v>188</v>
      </c>
    </row>
    <row r="110" spans="1:8" x14ac:dyDescent="0.25">
      <c r="A110">
        <v>104</v>
      </c>
      <c r="B110" t="s">
        <v>180</v>
      </c>
      <c r="C110" t="s">
        <v>181</v>
      </c>
      <c r="D110" t="str">
        <f t="shared" si="4"/>
        <v/>
      </c>
      <c r="E110" t="str">
        <f t="shared" si="5"/>
        <v>sugar magnolia (encore)</v>
      </c>
      <c r="F110" t="s">
        <v>7150</v>
      </c>
      <c r="G110" t="str">
        <f>_xlfn.IFNA(VLOOKUP(F110,songs!$B$1:$C$1539, 2, FALSE),"")</f>
        <v>Sugar Magnolia</v>
      </c>
      <c r="H110" t="s">
        <v>7867</v>
      </c>
    </row>
    <row r="111" spans="1:8" x14ac:dyDescent="0.25">
      <c r="A111">
        <v>109</v>
      </c>
      <c r="B111" t="s">
        <v>189</v>
      </c>
      <c r="C111" t="s">
        <v>190</v>
      </c>
      <c r="D111" t="str">
        <f t="shared" si="4"/>
        <v/>
      </c>
      <c r="E111" t="str">
        <f t="shared" si="5"/>
        <v>black-throated wind</v>
      </c>
      <c r="F111" t="s">
        <v>5193</v>
      </c>
      <c r="G111" t="str">
        <f>_xlfn.IFNA(VLOOKUP(F111,songs!$B$1:$C$1539, 2, FALSE),"")</f>
        <v>Black Throated Wind</v>
      </c>
      <c r="H111" t="s">
        <v>7867</v>
      </c>
    </row>
    <row r="112" spans="1:8" x14ac:dyDescent="0.25">
      <c r="A112">
        <v>111</v>
      </c>
      <c r="B112" t="s">
        <v>192</v>
      </c>
      <c r="C112" t="s">
        <v>193</v>
      </c>
      <c r="D112" t="str">
        <f t="shared" si="4"/>
        <v/>
      </c>
      <c r="E112" t="str">
        <f t="shared" si="5"/>
        <v>beat it on down the line</v>
      </c>
      <c r="F112" t="s">
        <v>5149</v>
      </c>
      <c r="G112" t="str">
        <f>_xlfn.IFNA(VLOOKUP(F112,songs!$B$1:$C$1539, 2, FALSE),"")</f>
        <v>Beat It On Down The Line</v>
      </c>
      <c r="H112" t="s">
        <v>431</v>
      </c>
    </row>
    <row r="113" spans="1:8" x14ac:dyDescent="0.25">
      <c r="A113">
        <v>112</v>
      </c>
      <c r="B113" t="s">
        <v>194</v>
      </c>
      <c r="C113" t="s">
        <v>164</v>
      </c>
      <c r="D113" t="str">
        <f t="shared" si="4"/>
        <v/>
      </c>
      <c r="E113" t="str">
        <f t="shared" si="5"/>
        <v>tennessee jed</v>
      </c>
      <c r="F113" t="s">
        <v>7234</v>
      </c>
      <c r="G113" t="str">
        <f>_xlfn.IFNA(VLOOKUP(F113,songs!$B$1:$C$1539, 2, FALSE),"")</f>
        <v>Tennessee Jed</v>
      </c>
      <c r="H113" t="s">
        <v>164</v>
      </c>
    </row>
    <row r="114" spans="1:8" x14ac:dyDescent="0.25">
      <c r="A114">
        <v>113</v>
      </c>
      <c r="B114" t="s">
        <v>195</v>
      </c>
      <c r="C114" t="s">
        <v>11</v>
      </c>
      <c r="D114" t="str">
        <f t="shared" si="4"/>
        <v/>
      </c>
      <c r="E114" t="str">
        <f t="shared" si="5"/>
        <v>playing in the band</v>
      </c>
      <c r="F114" t="s">
        <v>6769</v>
      </c>
      <c r="G114" t="str">
        <f>_xlfn.IFNA(VLOOKUP(F114,songs!$B$1:$C$1539, 2, FALSE),"")</f>
        <v>Playing In The Band</v>
      </c>
      <c r="H114" t="s">
        <v>419</v>
      </c>
    </row>
    <row r="115" spans="1:8" x14ac:dyDescent="0.25">
      <c r="A115">
        <v>110</v>
      </c>
      <c r="B115" t="s">
        <v>191</v>
      </c>
      <c r="C115" t="s">
        <v>5</v>
      </c>
      <c r="D115" t="str">
        <f t="shared" si="4"/>
        <v/>
      </c>
      <c r="E115" t="str">
        <f t="shared" si="5"/>
        <v>mississippi half-step uptown toodleloo</v>
      </c>
      <c r="F115" t="s">
        <v>6531</v>
      </c>
      <c r="G115" t="str">
        <f>_xlfn.IFNA(VLOOKUP(F115,songs!$B$1:$C$1539, 2, FALSE),"")</f>
        <v>Mississippi Half-Step Uptown Toodeloo</v>
      </c>
      <c r="H115" t="s">
        <v>7867</v>
      </c>
    </row>
    <row r="116" spans="1:8" x14ac:dyDescent="0.25">
      <c r="A116">
        <v>115</v>
      </c>
      <c r="B116" t="s">
        <v>197</v>
      </c>
      <c r="C116" t="s">
        <v>24</v>
      </c>
      <c r="D116" t="str">
        <f t="shared" si="4"/>
        <v/>
      </c>
      <c r="E116" t="str">
        <f t="shared" si="5"/>
        <v>stella blue</v>
      </c>
      <c r="F116" t="s">
        <v>7123</v>
      </c>
      <c r="G116" t="str">
        <f>_xlfn.IFNA(VLOOKUP(F116,songs!$B$1:$C$1539, 2, FALSE),"")</f>
        <v>Stella Blue</v>
      </c>
      <c r="H116" t="s">
        <v>24</v>
      </c>
    </row>
    <row r="117" spans="1:8" x14ac:dyDescent="0.25">
      <c r="A117">
        <v>116</v>
      </c>
      <c r="B117" t="s">
        <v>198</v>
      </c>
      <c r="C117" t="s">
        <v>199</v>
      </c>
      <c r="D117" t="str">
        <f t="shared" si="4"/>
        <v/>
      </c>
      <c r="E117" t="str">
        <f t="shared" si="5"/>
        <v>jack straw</v>
      </c>
      <c r="F117" t="s">
        <v>6161</v>
      </c>
      <c r="G117" t="str">
        <f>_xlfn.IFNA(VLOOKUP(F117,songs!$B$1:$C$1539, 2, FALSE),"")</f>
        <v>Jack Straw</v>
      </c>
      <c r="H117" t="s">
        <v>199</v>
      </c>
    </row>
    <row r="118" spans="1:8" x14ac:dyDescent="0.25">
      <c r="A118">
        <v>114</v>
      </c>
      <c r="B118" t="s">
        <v>196</v>
      </c>
      <c r="C118" t="s">
        <v>7</v>
      </c>
      <c r="D118" t="str">
        <f t="shared" si="4"/>
        <v/>
      </c>
      <c r="E118" t="str">
        <f t="shared" si="5"/>
        <v>weather report suite</v>
      </c>
      <c r="F118" t="s">
        <v>7658</v>
      </c>
      <c r="G118" t="str">
        <f>_xlfn.IFNA(VLOOKUP(F118,songs!$B$1:$C$1539, 2, FALSE),"")</f>
        <v>Weather Report Suite Prelude &gt; Weather Report Suite Part 1</v>
      </c>
      <c r="H118" t="s">
        <v>7867</v>
      </c>
    </row>
    <row r="119" spans="1:8" x14ac:dyDescent="0.25">
      <c r="A119">
        <v>118</v>
      </c>
      <c r="B119" t="s">
        <v>201</v>
      </c>
      <c r="C119" t="s">
        <v>3</v>
      </c>
      <c r="D119" t="str">
        <f t="shared" si="4"/>
        <v/>
      </c>
      <c r="E119" t="str">
        <f t="shared" si="5"/>
        <v>big river</v>
      </c>
      <c r="F119" t="s">
        <v>5175</v>
      </c>
      <c r="G119" t="str">
        <f>_xlfn.IFNA(VLOOKUP(F119,songs!$B$1:$C$1539, 2, FALSE),"")</f>
        <v>Big River</v>
      </c>
      <c r="H119" t="s">
        <v>3</v>
      </c>
    </row>
    <row r="120" spans="1:8" x14ac:dyDescent="0.25">
      <c r="A120">
        <v>119</v>
      </c>
      <c r="B120" t="s">
        <v>202</v>
      </c>
      <c r="C120" t="s">
        <v>15</v>
      </c>
      <c r="D120" t="str">
        <f t="shared" si="4"/>
        <v/>
      </c>
      <c r="E120" t="str">
        <f t="shared" si="5"/>
        <v>truckin'</v>
      </c>
      <c r="F120" t="s">
        <v>7436</v>
      </c>
      <c r="G120" t="str">
        <f>_xlfn.IFNA(VLOOKUP(F120,songs!$B$1:$C$1539, 2, FALSE),"")</f>
        <v>Truckin'</v>
      </c>
      <c r="H120" t="s">
        <v>15</v>
      </c>
    </row>
    <row r="121" spans="1:8" x14ac:dyDescent="0.25">
      <c r="A121">
        <v>117</v>
      </c>
      <c r="B121" t="s">
        <v>200</v>
      </c>
      <c r="C121" t="s">
        <v>120</v>
      </c>
      <c r="D121" t="str">
        <f t="shared" si="4"/>
        <v/>
      </c>
      <c r="E121" t="str">
        <f t="shared" si="5"/>
        <v>brown-eyed woman</v>
      </c>
      <c r="F121" t="s">
        <v>5255</v>
      </c>
      <c r="G121" t="str">
        <f>_xlfn.IFNA(VLOOKUP(F121,songs!$B$1:$C$1539, 2, FALSE),"")</f>
        <v>Brown Eyed Women</v>
      </c>
      <c r="H121" t="s">
        <v>7867</v>
      </c>
    </row>
    <row r="122" spans="1:8" x14ac:dyDescent="0.25">
      <c r="A122">
        <v>121</v>
      </c>
      <c r="B122" t="s">
        <v>205</v>
      </c>
      <c r="C122" t="s">
        <v>73</v>
      </c>
      <c r="D122" t="str">
        <f t="shared" si="4"/>
        <v/>
      </c>
      <c r="E122" t="str">
        <f t="shared" si="5"/>
        <v>wharf rat</v>
      </c>
      <c r="F122" t="s">
        <v>7664</v>
      </c>
      <c r="G122" t="str">
        <f>_xlfn.IFNA(VLOOKUP(F122,songs!$B$1:$C$1539, 2, FALSE),"")</f>
        <v>Wharf Rat</v>
      </c>
      <c r="H122" t="s">
        <v>73</v>
      </c>
    </row>
    <row r="123" spans="1:8" x14ac:dyDescent="0.25">
      <c r="A123">
        <v>122</v>
      </c>
      <c r="B123" t="s">
        <v>206</v>
      </c>
      <c r="C123" t="s">
        <v>102</v>
      </c>
      <c r="D123" t="str">
        <f t="shared" si="4"/>
        <v/>
      </c>
      <c r="E123" t="str">
        <f t="shared" si="5"/>
        <v>me &amp; my uncle</v>
      </c>
      <c r="F123" t="s">
        <v>6486</v>
      </c>
      <c r="G123" t="str">
        <f>_xlfn.IFNA(VLOOKUP(F123,songs!$B$1:$C$1539, 2, FALSE),"")</f>
        <v>Me And My Uncle</v>
      </c>
      <c r="H123" t="s">
        <v>7867</v>
      </c>
    </row>
    <row r="124" spans="1:8" x14ac:dyDescent="0.25">
      <c r="A124">
        <v>123</v>
      </c>
      <c r="B124" t="s">
        <v>207</v>
      </c>
      <c r="C124" t="s">
        <v>34</v>
      </c>
      <c r="D124" t="str">
        <f t="shared" si="4"/>
        <v/>
      </c>
      <c r="E124" t="str">
        <f t="shared" si="5"/>
        <v>not fade away</v>
      </c>
      <c r="F124" t="s">
        <v>6651</v>
      </c>
      <c r="G124" t="str">
        <f>_xlfn.IFNA(VLOOKUP(F124,songs!$B$1:$C$1539, 2, FALSE),"")</f>
        <v>Not Fade Away</v>
      </c>
      <c r="H124" t="s">
        <v>34</v>
      </c>
    </row>
    <row r="125" spans="1:8" x14ac:dyDescent="0.25">
      <c r="A125">
        <v>124</v>
      </c>
      <c r="B125" t="s">
        <v>208</v>
      </c>
      <c r="C125" t="s">
        <v>92</v>
      </c>
      <c r="D125" t="str">
        <f t="shared" si="4"/>
        <v/>
      </c>
      <c r="E125" t="str">
        <f t="shared" si="5"/>
        <v>dark star</v>
      </c>
      <c r="F125" t="s">
        <v>5428</v>
      </c>
      <c r="G125" t="str">
        <f>_xlfn.IFNA(VLOOKUP(F125,songs!$B$1:$C$1539, 2, FALSE),"")</f>
        <v>Dark Star</v>
      </c>
      <c r="H125" t="s">
        <v>92</v>
      </c>
    </row>
    <row r="126" spans="1:8" x14ac:dyDescent="0.25">
      <c r="A126">
        <v>125</v>
      </c>
      <c r="B126" t="s">
        <v>209</v>
      </c>
      <c r="C126" t="s">
        <v>210</v>
      </c>
      <c r="D126" t="str">
        <f t="shared" si="4"/>
        <v/>
      </c>
      <c r="E126" t="str">
        <f t="shared" si="5"/>
        <v>spam jam</v>
      </c>
      <c r="F126" t="s">
        <v>7091</v>
      </c>
      <c r="G126" t="str">
        <f>_xlfn.IFNA(VLOOKUP(F126,songs!$B$1:$C$1539, 2, FALSE),"")</f>
        <v>Space</v>
      </c>
      <c r="H126" t="s">
        <v>7867</v>
      </c>
    </row>
    <row r="127" spans="1:8" x14ac:dyDescent="0.25">
      <c r="A127">
        <v>126</v>
      </c>
      <c r="B127" t="s">
        <v>211</v>
      </c>
      <c r="C127" t="s">
        <v>212</v>
      </c>
      <c r="D127" t="str">
        <f t="shared" si="4"/>
        <v/>
      </c>
      <c r="E127" t="str">
        <f t="shared" si="5"/>
        <v>morning dew</v>
      </c>
      <c r="F127" t="s">
        <v>6555</v>
      </c>
      <c r="G127" t="str">
        <f>_xlfn.IFNA(VLOOKUP(F127,songs!$B$1:$C$1539, 2, FALSE),"")</f>
        <v>Morning Dew</v>
      </c>
      <c r="H127" t="s">
        <v>212</v>
      </c>
    </row>
    <row r="128" spans="1:8" x14ac:dyDescent="0.25">
      <c r="A128">
        <v>127</v>
      </c>
      <c r="B128" t="s">
        <v>213</v>
      </c>
      <c r="C128" t="s">
        <v>183</v>
      </c>
      <c r="D128" t="str">
        <f t="shared" si="4"/>
        <v/>
      </c>
      <c r="E128" t="str">
        <f t="shared" si="5"/>
        <v>u.s. blues</v>
      </c>
      <c r="F128" t="s">
        <v>7464</v>
      </c>
      <c r="G128" t="str">
        <f>_xlfn.IFNA(VLOOKUP(F128,songs!$B$1:$C$1539, 2, FALSE),"")</f>
        <v>U.S. Blues</v>
      </c>
      <c r="H128" t="s">
        <v>183</v>
      </c>
    </row>
    <row r="129" spans="1:8" x14ac:dyDescent="0.25">
      <c r="A129">
        <v>128</v>
      </c>
      <c r="B129" t="s">
        <v>214</v>
      </c>
      <c r="C129" t="s">
        <v>215</v>
      </c>
      <c r="D129" t="str">
        <f t="shared" si="4"/>
        <v/>
      </c>
      <c r="E129" t="str">
        <f t="shared" si="5"/>
        <v>don't ease me in</v>
      </c>
      <c r="F129" t="s">
        <v>5513</v>
      </c>
      <c r="G129" t="str">
        <f>_xlfn.IFNA(VLOOKUP(F129,songs!$B$1:$C$1539, 2, FALSE),"")</f>
        <v>Don't Ease Me In</v>
      </c>
      <c r="H129" t="s">
        <v>215</v>
      </c>
    </row>
    <row r="130" spans="1:8" x14ac:dyDescent="0.25">
      <c r="A130">
        <v>129</v>
      </c>
      <c r="B130" t="s">
        <v>216</v>
      </c>
      <c r="C130" t="s">
        <v>86</v>
      </c>
      <c r="D130" t="str">
        <f t="shared" si="4"/>
        <v/>
      </c>
      <c r="E130" t="str">
        <f t="shared" si="5"/>
        <v>i know you rider</v>
      </c>
      <c r="F130" t="s">
        <v>6020</v>
      </c>
      <c r="G130" t="str">
        <f>_xlfn.IFNA(VLOOKUP(F130,songs!$B$1:$C$1539, 2, FALSE),"")</f>
        <v>I Know You Rider</v>
      </c>
      <c r="H130" t="s">
        <v>86</v>
      </c>
    </row>
    <row r="131" spans="1:8" x14ac:dyDescent="0.25">
      <c r="A131">
        <v>130</v>
      </c>
      <c r="B131" t="s">
        <v>217</v>
      </c>
      <c r="C131" t="s">
        <v>124</v>
      </c>
      <c r="D131" t="str">
        <f t="shared" si="4"/>
        <v/>
      </c>
      <c r="E131" t="str">
        <f t="shared" si="5"/>
        <v>friend of the devil</v>
      </c>
      <c r="F131" t="s">
        <v>5721</v>
      </c>
      <c r="G131" t="str">
        <f>_xlfn.IFNA(VLOOKUP(F131,songs!$B$1:$C$1539, 2, FALSE),"")</f>
        <v>Friend Of The Devil</v>
      </c>
      <c r="H131" t="s">
        <v>464</v>
      </c>
    </row>
    <row r="132" spans="1:8" x14ac:dyDescent="0.25">
      <c r="A132">
        <v>131</v>
      </c>
      <c r="B132" t="s">
        <v>218</v>
      </c>
      <c r="C132" t="s">
        <v>90</v>
      </c>
      <c r="D132" t="str">
        <f t="shared" ref="D132:D195" si="6">IF(RIGHT(TRIM(C132),2)="-&gt;","&gt;",IF(RIGHT(TRIM(C132),1)="&gt;","&gt;",""))</f>
        <v/>
      </c>
      <c r="E132" t="str">
        <f t="shared" ref="E132:E195" si="7">LOWER(TRIM(SUBSTITUTE(IF(RIGHT(TRIM(C132),2)="-&gt;",LEFT(TRIM(C132),LEN(TRIM(C132))-2),IF(RIGHT(TRIM(C132),1)="&gt;",LEFT(TRIM(C132),LEN(TRIM(C132))-1),C132)),"//","")))</f>
        <v>dire wolf</v>
      </c>
      <c r="F132" t="s">
        <v>5497</v>
      </c>
      <c r="G132" t="str">
        <f>_xlfn.IFNA(VLOOKUP(F132,songs!$B$1:$C$1539, 2, FALSE),"")</f>
        <v>Dire Wolf</v>
      </c>
      <c r="H132" t="s">
        <v>90</v>
      </c>
    </row>
    <row r="133" spans="1:8" x14ac:dyDescent="0.25">
      <c r="A133">
        <v>132</v>
      </c>
      <c r="B133" t="s">
        <v>219</v>
      </c>
      <c r="C133" t="s">
        <v>193</v>
      </c>
      <c r="D133" t="str">
        <f t="shared" si="6"/>
        <v/>
      </c>
      <c r="E133" t="str">
        <f t="shared" si="7"/>
        <v>beat it on down the line</v>
      </c>
      <c r="F133" t="s">
        <v>5149</v>
      </c>
      <c r="G133" t="str">
        <f>_xlfn.IFNA(VLOOKUP(F133,songs!$B$1:$C$1539, 2, FALSE),"")</f>
        <v>Beat It On Down The Line</v>
      </c>
      <c r="H133" t="s">
        <v>431</v>
      </c>
    </row>
    <row r="134" spans="1:8" x14ac:dyDescent="0.25">
      <c r="A134">
        <v>133</v>
      </c>
      <c r="B134" t="s">
        <v>220</v>
      </c>
      <c r="C134" t="s">
        <v>221</v>
      </c>
      <c r="D134" t="str">
        <f t="shared" si="6"/>
        <v/>
      </c>
      <c r="E134" t="str">
        <f t="shared" si="7"/>
        <v>black peter</v>
      </c>
      <c r="F134" t="s">
        <v>5190</v>
      </c>
      <c r="G134" t="str">
        <f>_xlfn.IFNA(VLOOKUP(F134,songs!$B$1:$C$1539, 2, FALSE),"")</f>
        <v>Black Peter</v>
      </c>
      <c r="H134" t="s">
        <v>221</v>
      </c>
    </row>
    <row r="135" spans="1:8" x14ac:dyDescent="0.25">
      <c r="A135">
        <v>134</v>
      </c>
      <c r="B135" t="s">
        <v>222</v>
      </c>
      <c r="C135" t="s">
        <v>223</v>
      </c>
      <c r="D135" t="str">
        <f t="shared" si="6"/>
        <v/>
      </c>
      <c r="E135" t="str">
        <f t="shared" si="7"/>
        <v>candy man</v>
      </c>
      <c r="F135" t="s">
        <v>5278</v>
      </c>
      <c r="G135" t="str">
        <f>_xlfn.IFNA(VLOOKUP(F135,songs!$B$1:$C$1539, 2, FALSE),"")</f>
        <v>Candyman</v>
      </c>
      <c r="H135" t="s">
        <v>7867</v>
      </c>
    </row>
    <row r="136" spans="1:8" x14ac:dyDescent="0.25">
      <c r="A136">
        <v>135</v>
      </c>
      <c r="B136" t="s">
        <v>224</v>
      </c>
      <c r="C136" t="s">
        <v>225</v>
      </c>
      <c r="D136" t="str">
        <f t="shared" si="6"/>
        <v/>
      </c>
      <c r="E136" t="str">
        <f t="shared" si="7"/>
        <v>cumberland blues</v>
      </c>
      <c r="F136" t="s">
        <v>5411</v>
      </c>
      <c r="G136" t="str">
        <f>_xlfn.IFNA(VLOOKUP(F136,songs!$B$1:$C$1539, 2, FALSE),"")</f>
        <v>Cumberland Blues</v>
      </c>
      <c r="H136" t="s">
        <v>225</v>
      </c>
    </row>
    <row r="137" spans="1:8" x14ac:dyDescent="0.25">
      <c r="A137">
        <v>136</v>
      </c>
      <c r="B137" t="s">
        <v>226</v>
      </c>
      <c r="C137" t="s">
        <v>227</v>
      </c>
      <c r="D137" t="str">
        <f t="shared" si="6"/>
        <v/>
      </c>
      <c r="E137" t="str">
        <f t="shared" si="7"/>
        <v>deep elem blues</v>
      </c>
      <c r="F137" t="s">
        <v>5471</v>
      </c>
      <c r="G137" t="str">
        <f>_xlfn.IFNA(VLOOKUP(F137,songs!$B$1:$C$1539, 2, FALSE),"")</f>
        <v>Deep Elem Blues</v>
      </c>
      <c r="H137" t="s">
        <v>227</v>
      </c>
    </row>
    <row r="138" spans="1:8" x14ac:dyDescent="0.25">
      <c r="A138">
        <v>137</v>
      </c>
      <c r="B138" t="s">
        <v>228</v>
      </c>
      <c r="C138" t="s">
        <v>229</v>
      </c>
      <c r="D138" t="str">
        <f t="shared" si="6"/>
        <v/>
      </c>
      <c r="E138" t="str">
        <f t="shared" si="7"/>
        <v>cold jordan</v>
      </c>
      <c r="F138" t="s">
        <v>5346</v>
      </c>
      <c r="G138" t="str">
        <f>_xlfn.IFNA(VLOOKUP(F138,songs!$B$1:$C$1539, 2, FALSE),"")</f>
        <v>Cold Jordan</v>
      </c>
      <c r="H138" t="s">
        <v>229</v>
      </c>
    </row>
    <row r="139" spans="1:8" x14ac:dyDescent="0.25">
      <c r="A139">
        <v>138</v>
      </c>
      <c r="B139" t="s">
        <v>230</v>
      </c>
      <c r="C139" t="s">
        <v>133</v>
      </c>
      <c r="D139" t="str">
        <f t="shared" si="6"/>
        <v/>
      </c>
      <c r="E139" t="str">
        <f t="shared" si="7"/>
        <v>uncle john's band</v>
      </c>
      <c r="F139" t="s">
        <v>7466</v>
      </c>
      <c r="G139" t="str">
        <f>_xlfn.IFNA(VLOOKUP(F139,songs!$B$1:$C$1539, 2, FALSE),"")</f>
        <v>Uncle John's Band</v>
      </c>
      <c r="H139" t="s">
        <v>133</v>
      </c>
    </row>
    <row r="140" spans="1:8" x14ac:dyDescent="0.25">
      <c r="A140">
        <v>139</v>
      </c>
      <c r="B140" t="s">
        <v>231</v>
      </c>
      <c r="C140" t="s">
        <v>32</v>
      </c>
      <c r="D140" t="str">
        <f t="shared" si="6"/>
        <v/>
      </c>
      <c r="E140" t="str">
        <f t="shared" si="7"/>
        <v>st. stephen</v>
      </c>
      <c r="F140" t="s">
        <v>6910</v>
      </c>
      <c r="G140" t="str">
        <f>_xlfn.IFNA(VLOOKUP(F140,songs!$B$1:$C$1539, 2, FALSE),"")</f>
        <v>Saint Stephen</v>
      </c>
      <c r="H140" t="s">
        <v>7867</v>
      </c>
    </row>
    <row r="141" spans="1:8" x14ac:dyDescent="0.25">
      <c r="A141">
        <v>140</v>
      </c>
      <c r="B141" t="s">
        <v>232</v>
      </c>
      <c r="C141" t="s">
        <v>233</v>
      </c>
      <c r="D141" t="str">
        <f t="shared" si="6"/>
        <v/>
      </c>
      <c r="E141" t="str">
        <f t="shared" si="7"/>
        <v>cryptical envelopment</v>
      </c>
      <c r="F141" t="s">
        <v>5408</v>
      </c>
      <c r="G141" t="str">
        <f>_xlfn.IFNA(VLOOKUP(F141,songs!$B$1:$C$1539, 2, FALSE),"")</f>
        <v>Cryptical Envelopment</v>
      </c>
      <c r="H141" t="s">
        <v>233</v>
      </c>
    </row>
    <row r="142" spans="1:8" x14ac:dyDescent="0.25">
      <c r="A142">
        <v>141</v>
      </c>
      <c r="B142" t="s">
        <v>234</v>
      </c>
      <c r="C142" t="s">
        <v>100</v>
      </c>
      <c r="D142" t="str">
        <f t="shared" si="6"/>
        <v/>
      </c>
      <c r="E142" t="str">
        <f t="shared" si="7"/>
        <v>drums</v>
      </c>
      <c r="F142" t="s">
        <v>5568</v>
      </c>
      <c r="G142" t="str">
        <f>_xlfn.IFNA(VLOOKUP(F142,songs!$B$1:$C$1539, 2, FALSE),"")</f>
        <v>Drums</v>
      </c>
      <c r="H142" t="s">
        <v>100</v>
      </c>
    </row>
    <row r="143" spans="1:8" x14ac:dyDescent="0.25">
      <c r="A143">
        <v>142</v>
      </c>
      <c r="B143" t="s">
        <v>235</v>
      </c>
      <c r="C143" t="s">
        <v>126</v>
      </c>
      <c r="D143" t="str">
        <f t="shared" si="6"/>
        <v/>
      </c>
      <c r="E143" t="str">
        <f t="shared" si="7"/>
        <v>looks like rain</v>
      </c>
      <c r="F143" t="s">
        <v>6398</v>
      </c>
      <c r="G143" t="str">
        <f>_xlfn.IFNA(VLOOKUP(F143,songs!$B$1:$C$1539, 2, FALSE),"")</f>
        <v>Looks Like Rain</v>
      </c>
      <c r="H143" t="s">
        <v>126</v>
      </c>
    </row>
    <row r="144" spans="1:8" x14ac:dyDescent="0.25">
      <c r="A144">
        <v>143</v>
      </c>
      <c r="B144" t="s">
        <v>236</v>
      </c>
      <c r="C144" t="s">
        <v>139</v>
      </c>
      <c r="D144" t="str">
        <f t="shared" si="6"/>
        <v/>
      </c>
      <c r="E144" t="str">
        <f t="shared" si="7"/>
        <v>the other one</v>
      </c>
      <c r="F144" t="s">
        <v>7325</v>
      </c>
      <c r="G144" t="str">
        <f>_xlfn.IFNA(VLOOKUP(F144,songs!$B$1:$C$1539, 2, FALSE),"")</f>
        <v>The Other One</v>
      </c>
      <c r="H144" t="s">
        <v>139</v>
      </c>
    </row>
    <row r="145" spans="1:8" x14ac:dyDescent="0.25">
      <c r="A145">
        <v>144</v>
      </c>
      <c r="B145" t="s">
        <v>237</v>
      </c>
      <c r="C145" t="s">
        <v>233</v>
      </c>
      <c r="D145" t="str">
        <f t="shared" si="6"/>
        <v/>
      </c>
      <c r="E145" t="str">
        <f t="shared" si="7"/>
        <v>cryptical envelopment</v>
      </c>
      <c r="F145" t="s">
        <v>5408</v>
      </c>
      <c r="G145" t="str">
        <f>_xlfn.IFNA(VLOOKUP(F145,songs!$B$1:$C$1539, 2, FALSE),"")</f>
        <v>Cryptical Envelopment</v>
      </c>
      <c r="H145" t="s">
        <v>233</v>
      </c>
    </row>
    <row r="146" spans="1:8" x14ac:dyDescent="0.25">
      <c r="A146">
        <v>145</v>
      </c>
      <c r="B146" t="s">
        <v>238</v>
      </c>
      <c r="C146" t="s">
        <v>239</v>
      </c>
      <c r="D146" t="str">
        <f t="shared" si="6"/>
        <v/>
      </c>
      <c r="E146" t="str">
        <f t="shared" si="7"/>
        <v>cosmic charlie</v>
      </c>
      <c r="F146" t="s">
        <v>5373</v>
      </c>
      <c r="G146" t="str">
        <f>_xlfn.IFNA(VLOOKUP(F146,songs!$B$1:$C$1539, 2, FALSE),"")</f>
        <v>Cosmic Charlie</v>
      </c>
      <c r="H146" t="s">
        <v>239</v>
      </c>
    </row>
    <row r="147" spans="1:8" x14ac:dyDescent="0.25">
      <c r="A147">
        <v>146</v>
      </c>
      <c r="B147" t="s">
        <v>240</v>
      </c>
      <c r="C147" t="s">
        <v>81</v>
      </c>
      <c r="D147" t="str">
        <f t="shared" si="6"/>
        <v/>
      </c>
      <c r="E147" t="str">
        <f t="shared" si="7"/>
        <v>casey jones</v>
      </c>
      <c r="F147" t="s">
        <v>5290</v>
      </c>
      <c r="G147" t="str">
        <f>_xlfn.IFNA(VLOOKUP(F147,songs!$B$1:$C$1539, 2, FALSE),"")</f>
        <v>Casey Jones</v>
      </c>
      <c r="H147" t="s">
        <v>81</v>
      </c>
    </row>
    <row r="148" spans="1:8" x14ac:dyDescent="0.25">
      <c r="A148">
        <v>147</v>
      </c>
      <c r="B148" t="s">
        <v>241</v>
      </c>
      <c r="C148" t="s">
        <v>242</v>
      </c>
      <c r="D148" t="str">
        <f t="shared" si="6"/>
        <v/>
      </c>
      <c r="E148" t="str">
        <f t="shared" si="7"/>
        <v>good lovin'</v>
      </c>
      <c r="F148" t="s">
        <v>5810</v>
      </c>
      <c r="G148" t="str">
        <f>_xlfn.IFNA(VLOOKUP(F148,songs!$B$1:$C$1539, 2, FALSE),"")</f>
        <v>Good Lovin'</v>
      </c>
      <c r="H148" t="s">
        <v>242</v>
      </c>
    </row>
    <row r="149" spans="1:8" x14ac:dyDescent="0.25">
      <c r="A149">
        <v>148</v>
      </c>
      <c r="B149" t="s">
        <v>243</v>
      </c>
      <c r="C149" t="s">
        <v>244</v>
      </c>
      <c r="D149" t="str">
        <f t="shared" si="6"/>
        <v/>
      </c>
      <c r="E149" t="str">
        <f t="shared" si="7"/>
        <v>cold rain &amp; snow</v>
      </c>
      <c r="F149" t="s">
        <v>5347</v>
      </c>
      <c r="G149" t="str">
        <f>_xlfn.IFNA(VLOOKUP(F149,songs!$B$1:$C$1539, 2, FALSE),"")</f>
        <v>Cold Rain And Snow</v>
      </c>
      <c r="H149" t="s">
        <v>7867</v>
      </c>
    </row>
    <row r="150" spans="1:8" x14ac:dyDescent="0.25">
      <c r="A150">
        <v>149</v>
      </c>
      <c r="B150" t="s">
        <v>245</v>
      </c>
      <c r="C150" t="s">
        <v>246</v>
      </c>
      <c r="D150" t="str">
        <f t="shared" si="6"/>
        <v/>
      </c>
      <c r="E150" t="str">
        <f t="shared" si="7"/>
        <v>it's a man's man's man's world</v>
      </c>
      <c r="F150" t="s">
        <v>6133</v>
      </c>
      <c r="G150" t="str">
        <f>_xlfn.IFNA(VLOOKUP(F150,songs!$B$1:$C$1539, 2, FALSE),"")</f>
        <v>It's A Man's World</v>
      </c>
      <c r="H150" t="s">
        <v>7867</v>
      </c>
    </row>
    <row r="151" spans="1:8" x14ac:dyDescent="0.25">
      <c r="A151">
        <v>150</v>
      </c>
      <c r="B151" t="s">
        <v>247</v>
      </c>
      <c r="C151" t="s">
        <v>57</v>
      </c>
      <c r="D151" t="str">
        <f t="shared" si="6"/>
        <v/>
      </c>
      <c r="E151" t="str">
        <f t="shared" si="7"/>
        <v>dancing in the street</v>
      </c>
      <c r="F151" t="s">
        <v>5418</v>
      </c>
      <c r="G151" t="str">
        <f>_xlfn.IFNA(VLOOKUP(F151,songs!$B$1:$C$1539, 2, FALSE),"")</f>
        <v>Dancin' In The Streets</v>
      </c>
      <c r="H151" t="s">
        <v>7867</v>
      </c>
    </row>
    <row r="152" spans="1:8" x14ac:dyDescent="0.25">
      <c r="A152">
        <v>151</v>
      </c>
      <c r="B152" t="s">
        <v>248</v>
      </c>
      <c r="C152" t="s">
        <v>212</v>
      </c>
      <c r="D152" t="str">
        <f t="shared" si="6"/>
        <v/>
      </c>
      <c r="E152" t="str">
        <f t="shared" si="7"/>
        <v>morning dew</v>
      </c>
      <c r="F152" t="s">
        <v>6555</v>
      </c>
      <c r="G152" t="str">
        <f>_xlfn.IFNA(VLOOKUP(F152,songs!$B$1:$C$1539, 2, FALSE),"")</f>
        <v>Morning Dew</v>
      </c>
      <c r="H152" t="s">
        <v>212</v>
      </c>
    </row>
    <row r="153" spans="1:8" x14ac:dyDescent="0.25">
      <c r="A153">
        <v>152</v>
      </c>
      <c r="B153" t="s">
        <v>249</v>
      </c>
      <c r="C153" t="s">
        <v>250</v>
      </c>
      <c r="D153" t="str">
        <f t="shared" si="6"/>
        <v/>
      </c>
      <c r="E153" t="str">
        <f t="shared" si="7"/>
        <v>viola lee blues</v>
      </c>
      <c r="F153" t="s">
        <v>7595</v>
      </c>
      <c r="G153" t="str">
        <f>_xlfn.IFNA(VLOOKUP(F153,songs!$B$1:$C$1539, 2, FALSE),"")</f>
        <v>Viola Lee Blues</v>
      </c>
      <c r="H153" t="s">
        <v>250</v>
      </c>
    </row>
    <row r="154" spans="1:8" x14ac:dyDescent="0.25">
      <c r="A154">
        <v>153</v>
      </c>
      <c r="B154" t="s">
        <v>251</v>
      </c>
      <c r="C154" t="s">
        <v>111</v>
      </c>
      <c r="D154" t="str">
        <f t="shared" si="6"/>
        <v/>
      </c>
      <c r="E154" t="str">
        <f t="shared" si="7"/>
        <v>we bid you goodnight</v>
      </c>
      <c r="F154" t="s">
        <v>5082</v>
      </c>
      <c r="G154" t="str">
        <f>_xlfn.IFNA(VLOOKUP(F154,songs!$B$1:$C$1539, 2, FALSE),"")</f>
        <v>And We Bid You Good Night</v>
      </c>
      <c r="H154" t="s">
        <v>7867</v>
      </c>
    </row>
    <row r="155" spans="1:8" x14ac:dyDescent="0.25">
      <c r="A155">
        <v>154</v>
      </c>
      <c r="B155" t="s">
        <v>252</v>
      </c>
      <c r="C155" t="s">
        <v>166</v>
      </c>
      <c r="D155" t="str">
        <f t="shared" si="6"/>
        <v/>
      </c>
      <c r="E155" t="str">
        <f t="shared" si="7"/>
        <v>hell in a bucket</v>
      </c>
      <c r="F155" t="s">
        <v>5884</v>
      </c>
      <c r="G155" t="str">
        <f>_xlfn.IFNA(VLOOKUP(F155,songs!$B$1:$C$1539, 2, FALSE),"")</f>
        <v>Hell In A Bucket</v>
      </c>
      <c r="H155" t="s">
        <v>4271</v>
      </c>
    </row>
    <row r="156" spans="1:8" x14ac:dyDescent="0.25">
      <c r="A156">
        <v>155</v>
      </c>
      <c r="B156" t="s">
        <v>253</v>
      </c>
      <c r="C156" t="s">
        <v>113</v>
      </c>
      <c r="D156" t="str">
        <f t="shared" si="6"/>
        <v/>
      </c>
      <c r="E156" t="str">
        <f t="shared" si="7"/>
        <v>cold rain and snow</v>
      </c>
      <c r="F156" t="s">
        <v>5347</v>
      </c>
      <c r="G156" t="str">
        <f>_xlfn.IFNA(VLOOKUP(F156,songs!$B$1:$C$1539, 2, FALSE),"")</f>
        <v>Cold Rain And Snow</v>
      </c>
      <c r="H156" t="s">
        <v>429</v>
      </c>
    </row>
    <row r="157" spans="1:8" x14ac:dyDescent="0.25">
      <c r="A157">
        <v>156</v>
      </c>
      <c r="B157" t="s">
        <v>254</v>
      </c>
      <c r="C157" t="s">
        <v>255</v>
      </c>
      <c r="D157" t="str">
        <f t="shared" si="6"/>
        <v/>
      </c>
      <c r="E157" t="str">
        <f t="shared" si="7"/>
        <v>little red rooster</v>
      </c>
      <c r="F157" t="s">
        <v>6360</v>
      </c>
      <c r="G157" t="str">
        <f>_xlfn.IFNA(VLOOKUP(F157,songs!$B$1:$C$1539, 2, FALSE),"")</f>
        <v>Little Red Rooster</v>
      </c>
      <c r="H157" t="s">
        <v>255</v>
      </c>
    </row>
    <row r="158" spans="1:8" x14ac:dyDescent="0.25">
      <c r="A158">
        <v>157</v>
      </c>
      <c r="B158" t="s">
        <v>256</v>
      </c>
      <c r="C158" t="s">
        <v>257</v>
      </c>
      <c r="D158" t="str">
        <f t="shared" si="6"/>
        <v/>
      </c>
      <c r="E158" t="str">
        <f t="shared" si="7"/>
        <v>stagger lee</v>
      </c>
      <c r="F158" t="s">
        <v>7101</v>
      </c>
      <c r="G158" t="str">
        <f>_xlfn.IFNA(VLOOKUP(F158,songs!$B$1:$C$1539, 2, FALSE),"")</f>
        <v>Stagger Lee</v>
      </c>
      <c r="H158" t="s">
        <v>257</v>
      </c>
    </row>
    <row r="159" spans="1:8" x14ac:dyDescent="0.25">
      <c r="A159">
        <v>158</v>
      </c>
      <c r="B159" t="s">
        <v>258</v>
      </c>
      <c r="C159" t="s">
        <v>259</v>
      </c>
      <c r="D159" t="str">
        <f t="shared" si="6"/>
        <v/>
      </c>
      <c r="E159" t="str">
        <f t="shared" si="7"/>
        <v>queen jane approximately</v>
      </c>
      <c r="F159" t="s">
        <v>6804</v>
      </c>
      <c r="G159" t="str">
        <f>_xlfn.IFNA(VLOOKUP(F159,songs!$B$1:$C$1539, 2, FALSE),"")</f>
        <v>Queen Jane Approximately</v>
      </c>
      <c r="H159" t="s">
        <v>259</v>
      </c>
    </row>
    <row r="160" spans="1:8" x14ac:dyDescent="0.25">
      <c r="A160">
        <v>159</v>
      </c>
      <c r="B160" t="s">
        <v>260</v>
      </c>
      <c r="C160" t="s">
        <v>164</v>
      </c>
      <c r="D160" t="str">
        <f t="shared" si="6"/>
        <v/>
      </c>
      <c r="E160" t="str">
        <f t="shared" si="7"/>
        <v>tennessee jed</v>
      </c>
      <c r="F160" t="s">
        <v>7234</v>
      </c>
      <c r="G160" t="str">
        <f>_xlfn.IFNA(VLOOKUP(F160,songs!$B$1:$C$1539, 2, FALSE),"")</f>
        <v>Tennessee Jed</v>
      </c>
      <c r="H160" t="s">
        <v>164</v>
      </c>
    </row>
    <row r="161" spans="1:8" x14ac:dyDescent="0.25">
      <c r="A161">
        <v>160</v>
      </c>
      <c r="B161" t="s">
        <v>261</v>
      </c>
      <c r="C161" t="s">
        <v>262</v>
      </c>
      <c r="D161" t="str">
        <f t="shared" si="6"/>
        <v/>
      </c>
      <c r="E161" t="str">
        <f t="shared" si="7"/>
        <v>cassidy</v>
      </c>
      <c r="F161" t="s">
        <v>5291</v>
      </c>
      <c r="G161" t="str">
        <f>_xlfn.IFNA(VLOOKUP(F161,songs!$B$1:$C$1539, 2, FALSE),"")</f>
        <v>Cassidy</v>
      </c>
      <c r="H161" t="s">
        <v>262</v>
      </c>
    </row>
    <row r="162" spans="1:8" x14ac:dyDescent="0.25">
      <c r="A162">
        <v>161</v>
      </c>
      <c r="B162" t="s">
        <v>263</v>
      </c>
      <c r="C162" t="s">
        <v>264</v>
      </c>
      <c r="D162" t="str">
        <f t="shared" si="6"/>
        <v/>
      </c>
      <c r="E162" t="str">
        <f t="shared" si="7"/>
        <v>deal</v>
      </c>
      <c r="F162" t="s">
        <v>5461</v>
      </c>
      <c r="G162" t="str">
        <f>_xlfn.IFNA(VLOOKUP(F162,songs!$B$1:$C$1539, 2, FALSE),"")</f>
        <v>Deal</v>
      </c>
      <c r="H162" t="s">
        <v>264</v>
      </c>
    </row>
    <row r="163" spans="1:8" x14ac:dyDescent="0.25">
      <c r="A163">
        <v>162</v>
      </c>
      <c r="B163" t="s">
        <v>265</v>
      </c>
      <c r="C163" t="s">
        <v>266</v>
      </c>
      <c r="D163" t="str">
        <f t="shared" si="6"/>
        <v/>
      </c>
      <c r="E163" t="str">
        <f t="shared" si="7"/>
        <v>samson and delilah</v>
      </c>
      <c r="F163" t="s">
        <v>6925</v>
      </c>
      <c r="G163" t="str">
        <f>_xlfn.IFNA(VLOOKUP(F163,songs!$B$1:$C$1539, 2, FALSE),"")</f>
        <v>Samson And Delilah</v>
      </c>
      <c r="H163" t="s">
        <v>266</v>
      </c>
    </row>
    <row r="164" spans="1:8" x14ac:dyDescent="0.25">
      <c r="A164">
        <v>163</v>
      </c>
      <c r="B164" t="s">
        <v>267</v>
      </c>
      <c r="C164" t="s">
        <v>268</v>
      </c>
      <c r="D164" t="str">
        <f t="shared" si="6"/>
        <v/>
      </c>
      <c r="E164" t="str">
        <f t="shared" si="7"/>
        <v>iko iko</v>
      </c>
      <c r="F164" t="s">
        <v>6063</v>
      </c>
      <c r="G164" t="str">
        <f>_xlfn.IFNA(VLOOKUP(F164,songs!$B$1:$C$1539, 2, FALSE),"")</f>
        <v>Iko Iko</v>
      </c>
      <c r="H164" t="s">
        <v>268</v>
      </c>
    </row>
    <row r="165" spans="1:8" x14ac:dyDescent="0.25">
      <c r="A165">
        <v>164</v>
      </c>
      <c r="B165" t="s">
        <v>269</v>
      </c>
      <c r="C165" t="s">
        <v>126</v>
      </c>
      <c r="D165" t="str">
        <f t="shared" si="6"/>
        <v/>
      </c>
      <c r="E165" t="str">
        <f t="shared" si="7"/>
        <v>looks like rain</v>
      </c>
      <c r="F165" t="s">
        <v>6398</v>
      </c>
      <c r="G165" t="str">
        <f>_xlfn.IFNA(VLOOKUP(F165,songs!$B$1:$C$1539, 2, FALSE),"")</f>
        <v>Looks Like Rain</v>
      </c>
      <c r="H165" t="s">
        <v>126</v>
      </c>
    </row>
    <row r="166" spans="1:8" x14ac:dyDescent="0.25">
      <c r="A166">
        <v>165</v>
      </c>
      <c r="B166" t="s">
        <v>270</v>
      </c>
      <c r="C166" t="s">
        <v>271</v>
      </c>
      <c r="D166" t="str">
        <f t="shared" si="6"/>
        <v>&gt;</v>
      </c>
      <c r="E166" t="str">
        <f t="shared" si="7"/>
        <v>he's gone</v>
      </c>
      <c r="F166" t="s">
        <v>5903</v>
      </c>
      <c r="G166" t="str">
        <f>_xlfn.IFNA(VLOOKUP(F166,songs!$B$1:$C$1539, 2, FALSE),"")</f>
        <v>He's Gone</v>
      </c>
      <c r="H166" t="s">
        <v>13</v>
      </c>
    </row>
    <row r="167" spans="1:8" x14ac:dyDescent="0.25">
      <c r="A167">
        <v>180</v>
      </c>
      <c r="B167" t="s">
        <v>294</v>
      </c>
      <c r="C167" t="s">
        <v>122</v>
      </c>
      <c r="D167" t="str">
        <f t="shared" si="6"/>
        <v/>
      </c>
      <c r="E167" t="str">
        <f t="shared" si="7"/>
        <v>new minglewood blues</v>
      </c>
      <c r="F167" t="s">
        <v>7869</v>
      </c>
      <c r="G167" t="str">
        <f>_xlfn.IFNA(VLOOKUP(F167,songs!$B$1:$C$1539, 2, FALSE),"")</f>
        <v>Minglewood Blues</v>
      </c>
      <c r="H167" t="s">
        <v>7867</v>
      </c>
    </row>
    <row r="168" spans="1:8" x14ac:dyDescent="0.25">
      <c r="A168">
        <v>167</v>
      </c>
      <c r="B168" t="s">
        <v>274</v>
      </c>
      <c r="C168" t="s">
        <v>275</v>
      </c>
      <c r="D168" t="str">
        <f t="shared" si="6"/>
        <v>&gt;</v>
      </c>
      <c r="E168" t="str">
        <f t="shared" si="7"/>
        <v>drums</v>
      </c>
      <c r="F168" t="s">
        <v>5568</v>
      </c>
      <c r="G168" t="str">
        <f>_xlfn.IFNA(VLOOKUP(F168,songs!$B$1:$C$1539, 2, FALSE),"")</f>
        <v>Drums</v>
      </c>
      <c r="H168" t="s">
        <v>100</v>
      </c>
    </row>
    <row r="169" spans="1:8" x14ac:dyDescent="0.25">
      <c r="A169">
        <v>168</v>
      </c>
      <c r="B169" t="s">
        <v>276</v>
      </c>
      <c r="C169" t="s">
        <v>277</v>
      </c>
      <c r="D169" t="str">
        <f t="shared" si="6"/>
        <v/>
      </c>
      <c r="E169" t="str">
        <f t="shared" si="7"/>
        <v>space</v>
      </c>
      <c r="F169" t="s">
        <v>7091</v>
      </c>
      <c r="G169" t="str">
        <f>_xlfn.IFNA(VLOOKUP(F169,songs!$B$1:$C$1539, 2, FALSE),"")</f>
        <v>Space</v>
      </c>
      <c r="H169" t="s">
        <v>277</v>
      </c>
    </row>
    <row r="170" spans="1:8" x14ac:dyDescent="0.25">
      <c r="A170">
        <v>169</v>
      </c>
      <c r="B170" t="s">
        <v>278</v>
      </c>
      <c r="C170" t="s">
        <v>279</v>
      </c>
      <c r="D170" t="str">
        <f t="shared" si="6"/>
        <v/>
      </c>
      <c r="E170" t="str">
        <f t="shared" si="7"/>
        <v>standing on the moon</v>
      </c>
      <c r="F170" t="s">
        <v>7109</v>
      </c>
      <c r="G170" t="str">
        <f>_xlfn.IFNA(VLOOKUP(F170,songs!$B$1:$C$1539, 2, FALSE),"")</f>
        <v>Standing On The Moon</v>
      </c>
      <c r="H170" t="s">
        <v>4291</v>
      </c>
    </row>
    <row r="171" spans="1:8" x14ac:dyDescent="0.25">
      <c r="A171">
        <v>197</v>
      </c>
      <c r="B171" t="s">
        <v>314</v>
      </c>
      <c r="C171" t="s">
        <v>32</v>
      </c>
      <c r="D171" t="str">
        <f t="shared" si="6"/>
        <v/>
      </c>
      <c r="E171" t="str">
        <f t="shared" si="7"/>
        <v>st. stephen</v>
      </c>
      <c r="F171" t="s">
        <v>6910</v>
      </c>
      <c r="G171" t="str">
        <f>_xlfn.IFNA(VLOOKUP(F171,songs!$B$1:$C$1539, 2, FALSE),"")</f>
        <v>Saint Stephen</v>
      </c>
      <c r="H171" t="s">
        <v>7867</v>
      </c>
    </row>
    <row r="172" spans="1:8" x14ac:dyDescent="0.25">
      <c r="A172">
        <v>171</v>
      </c>
      <c r="B172" t="s">
        <v>282</v>
      </c>
      <c r="C172" t="s">
        <v>283</v>
      </c>
      <c r="D172" t="str">
        <f t="shared" si="6"/>
        <v/>
      </c>
      <c r="E172" t="str">
        <f t="shared" si="7"/>
        <v>i need a miracle</v>
      </c>
      <c r="F172" t="s">
        <v>6021</v>
      </c>
      <c r="G172" t="str">
        <f>_xlfn.IFNA(VLOOKUP(F172,songs!$B$1:$C$1539, 2, FALSE),"")</f>
        <v>I Need A Miracle</v>
      </c>
      <c r="H172" t="s">
        <v>2237</v>
      </c>
    </row>
    <row r="173" spans="1:8" x14ac:dyDescent="0.25">
      <c r="A173">
        <v>172</v>
      </c>
      <c r="B173" t="s">
        <v>284</v>
      </c>
      <c r="C173" t="s">
        <v>212</v>
      </c>
      <c r="D173" t="str">
        <f t="shared" si="6"/>
        <v/>
      </c>
      <c r="E173" t="str">
        <f t="shared" si="7"/>
        <v>morning dew</v>
      </c>
      <c r="F173" t="s">
        <v>6555</v>
      </c>
      <c r="G173" t="str">
        <f>_xlfn.IFNA(VLOOKUP(F173,songs!$B$1:$C$1539, 2, FALSE),"")</f>
        <v>Morning Dew</v>
      </c>
      <c r="H173" t="s">
        <v>212</v>
      </c>
    </row>
    <row r="174" spans="1:8" x14ac:dyDescent="0.25">
      <c r="A174">
        <v>173</v>
      </c>
      <c r="B174" t="s">
        <v>285</v>
      </c>
      <c r="C174" t="s">
        <v>286</v>
      </c>
      <c r="D174" t="str">
        <f t="shared" si="6"/>
        <v/>
      </c>
      <c r="E174" t="str">
        <f t="shared" si="7"/>
        <v>it's all over now, baby blue</v>
      </c>
      <c r="F174" t="s">
        <v>6136</v>
      </c>
      <c r="G174" t="str">
        <f>_xlfn.IFNA(VLOOKUP(F174,songs!$B$1:$C$1539, 2, FALSE),"")</f>
        <v>It's All Over Now, Baby Blue</v>
      </c>
      <c r="H174" t="s">
        <v>1617</v>
      </c>
    </row>
    <row r="175" spans="1:8" x14ac:dyDescent="0.25">
      <c r="A175">
        <v>174</v>
      </c>
      <c r="B175" t="s">
        <v>287</v>
      </c>
      <c r="C175" t="s">
        <v>199</v>
      </c>
      <c r="D175" t="str">
        <f t="shared" si="6"/>
        <v/>
      </c>
      <c r="E175" t="str">
        <f t="shared" si="7"/>
        <v>jack straw</v>
      </c>
      <c r="F175" t="s">
        <v>6161</v>
      </c>
      <c r="G175" t="str">
        <f>_xlfn.IFNA(VLOOKUP(F175,songs!$B$1:$C$1539, 2, FALSE),"")</f>
        <v>Jack Straw</v>
      </c>
      <c r="H175" t="s">
        <v>199</v>
      </c>
    </row>
    <row r="176" spans="1:8" x14ac:dyDescent="0.25">
      <c r="A176">
        <v>175</v>
      </c>
      <c r="B176" t="s">
        <v>288</v>
      </c>
      <c r="C176" t="s">
        <v>156</v>
      </c>
      <c r="D176" t="str">
        <f t="shared" si="6"/>
        <v/>
      </c>
      <c r="E176" t="str">
        <f t="shared" si="7"/>
        <v>they love each other</v>
      </c>
      <c r="F176" t="s">
        <v>7358</v>
      </c>
      <c r="G176" t="str">
        <f>_xlfn.IFNA(VLOOKUP(F176,songs!$B$1:$C$1539, 2, FALSE),"")</f>
        <v>They Love Each Other</v>
      </c>
      <c r="H176" t="s">
        <v>156</v>
      </c>
    </row>
    <row r="177" spans="1:8" x14ac:dyDescent="0.25">
      <c r="A177">
        <v>176</v>
      </c>
      <c r="B177" t="s">
        <v>289</v>
      </c>
      <c r="C177" t="s">
        <v>158</v>
      </c>
      <c r="D177" t="str">
        <f t="shared" si="6"/>
        <v/>
      </c>
      <c r="E177" t="str">
        <f t="shared" si="7"/>
        <v>mama tried</v>
      </c>
      <c r="F177" t="s">
        <v>6454</v>
      </c>
      <c r="G177" t="str">
        <f>_xlfn.IFNA(VLOOKUP(F177,songs!$B$1:$C$1539, 2, FALSE),"")</f>
        <v>Mama Tried</v>
      </c>
      <c r="H177" t="s">
        <v>158</v>
      </c>
    </row>
    <row r="178" spans="1:8" x14ac:dyDescent="0.25">
      <c r="A178">
        <v>177</v>
      </c>
      <c r="B178" t="s">
        <v>290</v>
      </c>
      <c r="C178" t="s">
        <v>291</v>
      </c>
      <c r="D178" t="str">
        <f t="shared" si="6"/>
        <v/>
      </c>
      <c r="E178" t="str">
        <f t="shared" si="7"/>
        <v>loser</v>
      </c>
      <c r="F178" t="s">
        <v>6400</v>
      </c>
      <c r="G178" t="str">
        <f>_xlfn.IFNA(VLOOKUP(F178,songs!$B$1:$C$1539, 2, FALSE),"")</f>
        <v>Loser</v>
      </c>
      <c r="H178" t="s">
        <v>291</v>
      </c>
    </row>
    <row r="179" spans="1:8" x14ac:dyDescent="0.25">
      <c r="A179">
        <v>178</v>
      </c>
      <c r="B179" t="s">
        <v>292</v>
      </c>
      <c r="C179" t="s">
        <v>126</v>
      </c>
      <c r="D179" t="str">
        <f t="shared" si="6"/>
        <v/>
      </c>
      <c r="E179" t="str">
        <f t="shared" si="7"/>
        <v>looks like rain</v>
      </c>
      <c r="F179" t="s">
        <v>6398</v>
      </c>
      <c r="G179" t="str">
        <f>_xlfn.IFNA(VLOOKUP(F179,songs!$B$1:$C$1539, 2, FALSE),"")</f>
        <v>Looks Like Rain</v>
      </c>
      <c r="H179" t="s">
        <v>126</v>
      </c>
    </row>
    <row r="180" spans="1:8" x14ac:dyDescent="0.25">
      <c r="A180">
        <v>179</v>
      </c>
      <c r="B180" t="s">
        <v>293</v>
      </c>
      <c r="C180" t="s">
        <v>164</v>
      </c>
      <c r="D180" t="str">
        <f t="shared" si="6"/>
        <v/>
      </c>
      <c r="E180" t="str">
        <f t="shared" si="7"/>
        <v>tennessee jed</v>
      </c>
      <c r="F180" t="s">
        <v>7234</v>
      </c>
      <c r="G180" t="str">
        <f>_xlfn.IFNA(VLOOKUP(F180,songs!$B$1:$C$1539, 2, FALSE),"")</f>
        <v>Tennessee Jed</v>
      </c>
      <c r="H180" t="s">
        <v>164</v>
      </c>
    </row>
    <row r="181" spans="1:8" x14ac:dyDescent="0.25">
      <c r="A181">
        <v>202</v>
      </c>
      <c r="B181" t="s">
        <v>319</v>
      </c>
      <c r="C181" t="s">
        <v>190</v>
      </c>
      <c r="D181" t="str">
        <f t="shared" si="6"/>
        <v/>
      </c>
      <c r="E181" t="str">
        <f t="shared" si="7"/>
        <v>black-throated wind</v>
      </c>
      <c r="F181" t="s">
        <v>5193</v>
      </c>
      <c r="G181" t="str">
        <f>_xlfn.IFNA(VLOOKUP(F181,songs!$B$1:$C$1539, 2, FALSE),"")</f>
        <v>Black Throated Wind</v>
      </c>
      <c r="H181" t="s">
        <v>7867</v>
      </c>
    </row>
    <row r="182" spans="1:8" x14ac:dyDescent="0.25">
      <c r="A182">
        <v>181</v>
      </c>
      <c r="B182" t="s">
        <v>295</v>
      </c>
      <c r="C182" t="s">
        <v>51</v>
      </c>
      <c r="D182" t="str">
        <f t="shared" si="6"/>
        <v/>
      </c>
      <c r="E182" t="str">
        <f t="shared" si="7"/>
        <v>sugaree</v>
      </c>
      <c r="F182" t="s">
        <v>7151</v>
      </c>
      <c r="G182" t="str">
        <f>_xlfn.IFNA(VLOOKUP(F182,songs!$B$1:$C$1539, 2, FALSE),"")</f>
        <v>Sugaree</v>
      </c>
      <c r="H182" t="s">
        <v>51</v>
      </c>
    </row>
    <row r="183" spans="1:8" x14ac:dyDescent="0.25">
      <c r="A183">
        <v>182</v>
      </c>
      <c r="B183" t="s">
        <v>296</v>
      </c>
      <c r="C183" t="s">
        <v>130</v>
      </c>
      <c r="D183" t="str">
        <f t="shared" si="6"/>
        <v/>
      </c>
      <c r="E183" t="str">
        <f t="shared" si="7"/>
        <v>promised land</v>
      </c>
      <c r="F183" t="s">
        <v>6797</v>
      </c>
      <c r="G183" t="str">
        <f>_xlfn.IFNA(VLOOKUP(F183,songs!$B$1:$C$1539, 2, FALSE),"")</f>
        <v>Promised Land</v>
      </c>
      <c r="H183" t="s">
        <v>130</v>
      </c>
    </row>
    <row r="184" spans="1:8" x14ac:dyDescent="0.25">
      <c r="A184">
        <v>183</v>
      </c>
      <c r="B184" t="s">
        <v>297</v>
      </c>
      <c r="C184" t="s">
        <v>298</v>
      </c>
      <c r="D184" t="str">
        <f t="shared" si="6"/>
        <v/>
      </c>
      <c r="E184" t="str">
        <f t="shared" si="7"/>
        <v>bertha</v>
      </c>
      <c r="F184" t="s">
        <v>5158</v>
      </c>
      <c r="G184" t="str">
        <f>_xlfn.IFNA(VLOOKUP(F184,songs!$B$1:$C$1539, 2, FALSE),"")</f>
        <v>Bertha</v>
      </c>
      <c r="H184" t="s">
        <v>298</v>
      </c>
    </row>
    <row r="185" spans="1:8" x14ac:dyDescent="0.25">
      <c r="A185">
        <v>184</v>
      </c>
      <c r="B185" t="s">
        <v>299</v>
      </c>
      <c r="C185" t="s">
        <v>242</v>
      </c>
      <c r="D185" t="str">
        <f t="shared" si="6"/>
        <v/>
      </c>
      <c r="E185" t="str">
        <f t="shared" si="7"/>
        <v>good lovin'</v>
      </c>
      <c r="F185" t="s">
        <v>5810</v>
      </c>
      <c r="G185" t="str">
        <f>_xlfn.IFNA(VLOOKUP(F185,songs!$B$1:$C$1539, 2, FALSE),"")</f>
        <v>Good Lovin'</v>
      </c>
      <c r="H185" t="s">
        <v>242</v>
      </c>
    </row>
    <row r="186" spans="1:8" x14ac:dyDescent="0.25">
      <c r="A186">
        <v>185</v>
      </c>
      <c r="B186" t="s">
        <v>300</v>
      </c>
      <c r="C186" t="s">
        <v>11</v>
      </c>
      <c r="D186" t="str">
        <f t="shared" si="6"/>
        <v/>
      </c>
      <c r="E186" t="str">
        <f t="shared" si="7"/>
        <v>playing in the band</v>
      </c>
      <c r="F186" t="s">
        <v>6769</v>
      </c>
      <c r="G186" t="str">
        <f>_xlfn.IFNA(VLOOKUP(F186,songs!$B$1:$C$1539, 2, FALSE),"")</f>
        <v>Playing In The Band</v>
      </c>
      <c r="H186" t="s">
        <v>419</v>
      </c>
    </row>
    <row r="187" spans="1:8" x14ac:dyDescent="0.25">
      <c r="A187">
        <v>186</v>
      </c>
      <c r="B187" t="s">
        <v>301</v>
      </c>
      <c r="C187" t="s">
        <v>84</v>
      </c>
      <c r="D187" t="str">
        <f t="shared" si="6"/>
        <v/>
      </c>
      <c r="E187" t="str">
        <f t="shared" si="7"/>
        <v>china cat sunflower</v>
      </c>
      <c r="F187" t="s">
        <v>5319</v>
      </c>
      <c r="G187" t="str">
        <f>_xlfn.IFNA(VLOOKUP(F187,songs!$B$1:$C$1539, 2, FALSE),"")</f>
        <v>China Cat Sunflower</v>
      </c>
      <c r="H187" t="s">
        <v>84</v>
      </c>
    </row>
    <row r="188" spans="1:8" x14ac:dyDescent="0.25">
      <c r="A188">
        <v>187</v>
      </c>
      <c r="B188" t="s">
        <v>302</v>
      </c>
      <c r="C188" t="s">
        <v>86</v>
      </c>
      <c r="D188" t="str">
        <f t="shared" si="6"/>
        <v/>
      </c>
      <c r="E188" t="str">
        <f t="shared" si="7"/>
        <v>i know you rider</v>
      </c>
      <c r="F188" t="s">
        <v>6020</v>
      </c>
      <c r="G188" t="str">
        <f>_xlfn.IFNA(VLOOKUP(F188,songs!$B$1:$C$1539, 2, FALSE),"")</f>
        <v>I Know You Rider</v>
      </c>
      <c r="H188" t="s">
        <v>86</v>
      </c>
    </row>
    <row r="189" spans="1:8" x14ac:dyDescent="0.25">
      <c r="A189">
        <v>188</v>
      </c>
      <c r="B189" t="s">
        <v>303</v>
      </c>
      <c r="C189" t="s">
        <v>304</v>
      </c>
      <c r="D189" t="str">
        <f t="shared" si="6"/>
        <v/>
      </c>
      <c r="E189" t="str">
        <f t="shared" si="7"/>
        <v>china doll</v>
      </c>
      <c r="F189" t="s">
        <v>5320</v>
      </c>
      <c r="G189" t="str">
        <f>_xlfn.IFNA(VLOOKUP(F189,songs!$B$1:$C$1539, 2, FALSE),"")</f>
        <v>China Doll</v>
      </c>
      <c r="H189" t="s">
        <v>304</v>
      </c>
    </row>
    <row r="190" spans="1:8" x14ac:dyDescent="0.25">
      <c r="A190">
        <v>213</v>
      </c>
      <c r="B190" t="s">
        <v>332</v>
      </c>
      <c r="C190" t="s">
        <v>102</v>
      </c>
      <c r="D190" t="str">
        <f t="shared" si="6"/>
        <v/>
      </c>
      <c r="E190" t="str">
        <f t="shared" si="7"/>
        <v>me &amp; my uncle</v>
      </c>
      <c r="F190" t="s">
        <v>6486</v>
      </c>
      <c r="G190" t="str">
        <f>_xlfn.IFNA(VLOOKUP(F190,songs!$B$1:$C$1539, 2, FALSE),"")</f>
        <v>Me And My Uncle</v>
      </c>
      <c r="H190" t="s">
        <v>7867</v>
      </c>
    </row>
    <row r="191" spans="1:8" x14ac:dyDescent="0.25">
      <c r="A191">
        <v>190</v>
      </c>
      <c r="B191" t="s">
        <v>307</v>
      </c>
      <c r="C191" t="s">
        <v>100</v>
      </c>
      <c r="D191" t="str">
        <f t="shared" si="6"/>
        <v/>
      </c>
      <c r="E191" t="str">
        <f t="shared" si="7"/>
        <v>drums</v>
      </c>
      <c r="F191" t="s">
        <v>5568</v>
      </c>
      <c r="G191" t="str">
        <f>_xlfn.IFNA(VLOOKUP(F191,songs!$B$1:$C$1539, 2, FALSE),"")</f>
        <v>Drums</v>
      </c>
      <c r="H191" t="s">
        <v>100</v>
      </c>
    </row>
    <row r="192" spans="1:8" x14ac:dyDescent="0.25">
      <c r="A192">
        <v>191</v>
      </c>
      <c r="B192" t="s">
        <v>308</v>
      </c>
      <c r="C192" t="s">
        <v>34</v>
      </c>
      <c r="D192" t="str">
        <f t="shared" si="6"/>
        <v/>
      </c>
      <c r="E192" t="str">
        <f t="shared" si="7"/>
        <v>not fade away</v>
      </c>
      <c r="F192" t="s">
        <v>6651</v>
      </c>
      <c r="G192" t="str">
        <f>_xlfn.IFNA(VLOOKUP(F192,songs!$B$1:$C$1539, 2, FALSE),"")</f>
        <v>Not Fade Away</v>
      </c>
      <c r="H192" t="s">
        <v>34</v>
      </c>
    </row>
    <row r="193" spans="1:8" x14ac:dyDescent="0.25">
      <c r="A193">
        <v>192</v>
      </c>
      <c r="B193" t="s">
        <v>309</v>
      </c>
      <c r="C193" t="s">
        <v>11</v>
      </c>
      <c r="D193" t="str">
        <f t="shared" si="6"/>
        <v/>
      </c>
      <c r="E193" t="str">
        <f t="shared" si="7"/>
        <v>playing in the band</v>
      </c>
      <c r="F193" t="s">
        <v>6769</v>
      </c>
      <c r="G193" t="str">
        <f>_xlfn.IFNA(VLOOKUP(F193,songs!$B$1:$C$1539, 2, FALSE),"")</f>
        <v>Playing In The Band</v>
      </c>
      <c r="H193" t="s">
        <v>419</v>
      </c>
    </row>
    <row r="194" spans="1:8" x14ac:dyDescent="0.25">
      <c r="A194">
        <v>193</v>
      </c>
      <c r="B194" t="s">
        <v>310</v>
      </c>
      <c r="C194" t="s">
        <v>75</v>
      </c>
      <c r="D194" t="str">
        <f t="shared" si="6"/>
        <v/>
      </c>
      <c r="E194" t="str">
        <f t="shared" si="7"/>
        <v>terrapin station</v>
      </c>
      <c r="F194" t="s">
        <v>7237</v>
      </c>
      <c r="G194" t="str">
        <f>_xlfn.IFNA(VLOOKUP(F194,songs!$B$1:$C$1539, 2, FALSE),"")</f>
        <v>Terrapin Station</v>
      </c>
      <c r="H194" t="s">
        <v>75</v>
      </c>
    </row>
    <row r="195" spans="1:8" x14ac:dyDescent="0.25">
      <c r="A195">
        <v>194</v>
      </c>
      <c r="B195" t="s">
        <v>311</v>
      </c>
      <c r="C195" t="s">
        <v>148</v>
      </c>
      <c r="D195" t="str">
        <f t="shared" si="6"/>
        <v/>
      </c>
      <c r="E195" t="str">
        <f t="shared" si="7"/>
        <v>johnny b. goode</v>
      </c>
      <c r="F195" t="s">
        <v>6192</v>
      </c>
      <c r="G195" t="str">
        <f>_xlfn.IFNA(VLOOKUP(F195,songs!$B$1:$C$1539, 2, FALSE),"")</f>
        <v>Johnny B. Goode</v>
      </c>
      <c r="H195" t="s">
        <v>148</v>
      </c>
    </row>
    <row r="196" spans="1:8" x14ac:dyDescent="0.25">
      <c r="A196">
        <v>195</v>
      </c>
      <c r="B196" t="s">
        <v>312</v>
      </c>
      <c r="C196" t="s">
        <v>69</v>
      </c>
      <c r="D196" t="str">
        <f t="shared" ref="D196:D259" si="8">IF(RIGHT(TRIM(C196),2)="-&gt;","&gt;",IF(RIGHT(TRIM(C196),1)="&gt;","&gt;",""))</f>
        <v/>
      </c>
      <c r="E196" t="str">
        <f t="shared" ref="E196:E259" si="9">LOWER(TRIM(SUBSTITUTE(IF(RIGHT(TRIM(C196),2)="-&gt;",LEFT(TRIM(C196),LEN(TRIM(C196))-2),IF(RIGHT(TRIM(C196),1)="&gt;",LEFT(TRIM(C196),LEN(TRIM(C196))-1),C196)),"//","")))</f>
        <v>estimated prophet</v>
      </c>
      <c r="F196" t="s">
        <v>5612</v>
      </c>
      <c r="G196" t="str">
        <f>_xlfn.IFNA(VLOOKUP(F196,songs!$B$1:$C$1539, 2, FALSE),"")</f>
        <v>Estimated Prophet</v>
      </c>
      <c r="H196" t="s">
        <v>69</v>
      </c>
    </row>
    <row r="197" spans="1:8" x14ac:dyDescent="0.25">
      <c r="A197">
        <v>196</v>
      </c>
      <c r="B197" t="s">
        <v>313</v>
      </c>
      <c r="C197" t="s">
        <v>71</v>
      </c>
      <c r="D197" t="str">
        <f t="shared" si="8"/>
        <v/>
      </c>
      <c r="E197" t="str">
        <f t="shared" si="9"/>
        <v>eyes of the world</v>
      </c>
      <c r="F197" t="s">
        <v>5633</v>
      </c>
      <c r="G197" t="str">
        <f>_xlfn.IFNA(VLOOKUP(F197,songs!$B$1:$C$1539, 2, FALSE),"")</f>
        <v>Eyes Of The World</v>
      </c>
      <c r="H197" t="s">
        <v>471</v>
      </c>
    </row>
    <row r="198" spans="1:8" x14ac:dyDescent="0.25">
      <c r="A198">
        <v>230</v>
      </c>
      <c r="B198" t="s">
        <v>353</v>
      </c>
      <c r="C198" t="s">
        <v>354</v>
      </c>
      <c r="D198" t="str">
        <f t="shared" si="8"/>
        <v/>
      </c>
      <c r="E198" t="str">
        <f t="shared" si="9"/>
        <v>other one jam</v>
      </c>
      <c r="F198" t="s">
        <v>7325</v>
      </c>
      <c r="G198" t="str">
        <f>_xlfn.IFNA(VLOOKUP(F198,songs!$B$1:$C$1539, 2, FALSE),"")</f>
        <v>The Other One</v>
      </c>
      <c r="H198" t="s">
        <v>7867</v>
      </c>
    </row>
    <row r="199" spans="1:8" x14ac:dyDescent="0.25">
      <c r="A199">
        <v>198</v>
      </c>
      <c r="B199" t="s">
        <v>315</v>
      </c>
      <c r="C199" t="s">
        <v>30</v>
      </c>
      <c r="D199" t="str">
        <f t="shared" si="8"/>
        <v/>
      </c>
      <c r="E199" t="str">
        <f t="shared" si="9"/>
        <v>sugar magnolia</v>
      </c>
      <c r="F199" t="s">
        <v>7150</v>
      </c>
      <c r="G199" t="str">
        <f>_xlfn.IFNA(VLOOKUP(F199,songs!$B$1:$C$1539, 2, FALSE),"")</f>
        <v>Sugar Magnolia</v>
      </c>
      <c r="H199" t="s">
        <v>30</v>
      </c>
    </row>
    <row r="200" spans="1:8" x14ac:dyDescent="0.25">
      <c r="A200">
        <v>199</v>
      </c>
      <c r="B200" t="s">
        <v>316</v>
      </c>
      <c r="C200" t="s">
        <v>212</v>
      </c>
      <c r="D200" t="str">
        <f t="shared" si="8"/>
        <v/>
      </c>
      <c r="E200" t="str">
        <f t="shared" si="9"/>
        <v>morning dew</v>
      </c>
      <c r="F200" t="s">
        <v>6555</v>
      </c>
      <c r="G200" t="str">
        <f>_xlfn.IFNA(VLOOKUP(F200,songs!$B$1:$C$1539, 2, FALSE),"")</f>
        <v>Morning Dew</v>
      </c>
      <c r="H200" t="s">
        <v>212</v>
      </c>
    </row>
    <row r="201" spans="1:8" x14ac:dyDescent="0.25">
      <c r="A201">
        <v>200</v>
      </c>
      <c r="B201" t="s">
        <v>317</v>
      </c>
      <c r="C201" t="s">
        <v>193</v>
      </c>
      <c r="D201" t="str">
        <f t="shared" si="8"/>
        <v/>
      </c>
      <c r="E201" t="str">
        <f t="shared" si="9"/>
        <v>beat it on down the line</v>
      </c>
      <c r="F201" t="s">
        <v>5149</v>
      </c>
      <c r="G201" t="str">
        <f>_xlfn.IFNA(VLOOKUP(F201,songs!$B$1:$C$1539, 2, FALSE),"")</f>
        <v>Beat It On Down The Line</v>
      </c>
      <c r="H201" t="s">
        <v>431</v>
      </c>
    </row>
    <row r="202" spans="1:8" x14ac:dyDescent="0.25">
      <c r="A202">
        <v>201</v>
      </c>
      <c r="B202" t="s">
        <v>318</v>
      </c>
      <c r="C202" t="s">
        <v>124</v>
      </c>
      <c r="D202" t="str">
        <f t="shared" si="8"/>
        <v/>
      </c>
      <c r="E202" t="str">
        <f t="shared" si="9"/>
        <v>friend of the devil</v>
      </c>
      <c r="F202" t="s">
        <v>5721</v>
      </c>
      <c r="G202" t="str">
        <f>_xlfn.IFNA(VLOOKUP(F202,songs!$B$1:$C$1539, 2, FALSE),"")</f>
        <v>Friend Of The Devil</v>
      </c>
      <c r="H202" t="s">
        <v>464</v>
      </c>
    </row>
    <row r="203" spans="1:8" x14ac:dyDescent="0.25">
      <c r="A203">
        <v>240</v>
      </c>
      <c r="B203" t="s">
        <v>366</v>
      </c>
      <c r="C203" t="s">
        <v>102</v>
      </c>
      <c r="D203" t="str">
        <f t="shared" si="8"/>
        <v/>
      </c>
      <c r="E203" t="str">
        <f t="shared" si="9"/>
        <v>me &amp; my uncle</v>
      </c>
      <c r="F203" t="s">
        <v>6486</v>
      </c>
      <c r="G203" t="str">
        <f>_xlfn.IFNA(VLOOKUP(F203,songs!$B$1:$C$1539, 2, FALSE),"")</f>
        <v>Me And My Uncle</v>
      </c>
      <c r="H203" t="s">
        <v>7867</v>
      </c>
    </row>
    <row r="204" spans="1:8" x14ac:dyDescent="0.25">
      <c r="A204">
        <v>203</v>
      </c>
      <c r="B204" t="s">
        <v>320</v>
      </c>
      <c r="C204" t="s">
        <v>164</v>
      </c>
      <c r="D204" t="str">
        <f t="shared" si="8"/>
        <v/>
      </c>
      <c r="E204" t="str">
        <f t="shared" si="9"/>
        <v>tennessee jed</v>
      </c>
      <c r="F204" t="s">
        <v>7234</v>
      </c>
      <c r="G204" t="str">
        <f>_xlfn.IFNA(VLOOKUP(F204,songs!$B$1:$C$1539, 2, FALSE),"")</f>
        <v>Tennessee Jed</v>
      </c>
      <c r="H204" t="s">
        <v>164</v>
      </c>
    </row>
    <row r="205" spans="1:8" x14ac:dyDescent="0.25">
      <c r="A205">
        <v>204</v>
      </c>
      <c r="B205" t="s">
        <v>321</v>
      </c>
      <c r="C205" t="s">
        <v>186</v>
      </c>
      <c r="D205" t="str">
        <f t="shared" si="8"/>
        <v/>
      </c>
      <c r="E205" t="str">
        <f t="shared" si="9"/>
        <v>mexicali blues</v>
      </c>
      <c r="F205" t="s">
        <v>6499</v>
      </c>
      <c r="G205" t="str">
        <f>_xlfn.IFNA(VLOOKUP(F205,songs!$B$1:$C$1539, 2, FALSE),"")</f>
        <v>Mexicali Blues</v>
      </c>
      <c r="H205" t="s">
        <v>186</v>
      </c>
    </row>
    <row r="206" spans="1:8" x14ac:dyDescent="0.25">
      <c r="A206">
        <v>205</v>
      </c>
      <c r="B206" t="s">
        <v>322</v>
      </c>
      <c r="C206" t="s">
        <v>323</v>
      </c>
      <c r="D206" t="str">
        <f t="shared" si="8"/>
        <v/>
      </c>
      <c r="E206" t="str">
        <f t="shared" si="9"/>
        <v>bird song</v>
      </c>
      <c r="F206" t="s">
        <v>5184</v>
      </c>
      <c r="G206" t="str">
        <f>_xlfn.IFNA(VLOOKUP(F206,songs!$B$1:$C$1539, 2, FALSE),"")</f>
        <v>Bird Song</v>
      </c>
      <c r="H206" t="s">
        <v>323</v>
      </c>
    </row>
    <row r="207" spans="1:8" x14ac:dyDescent="0.25">
      <c r="A207">
        <v>206</v>
      </c>
      <c r="B207" t="s">
        <v>324</v>
      </c>
      <c r="C207" t="s">
        <v>3</v>
      </c>
      <c r="D207" t="str">
        <f t="shared" si="8"/>
        <v/>
      </c>
      <c r="E207" t="str">
        <f t="shared" si="9"/>
        <v>big river</v>
      </c>
      <c r="F207" t="s">
        <v>5175</v>
      </c>
      <c r="G207" t="str">
        <f>_xlfn.IFNA(VLOOKUP(F207,songs!$B$1:$C$1539, 2, FALSE),"")</f>
        <v>Big River</v>
      </c>
      <c r="H207" t="s">
        <v>3</v>
      </c>
    </row>
    <row r="208" spans="1:8" x14ac:dyDescent="0.25">
      <c r="A208">
        <v>207</v>
      </c>
      <c r="B208" t="s">
        <v>325</v>
      </c>
      <c r="C208" t="s">
        <v>145</v>
      </c>
      <c r="D208" t="str">
        <f t="shared" si="8"/>
        <v/>
      </c>
      <c r="E208" t="str">
        <f t="shared" si="9"/>
        <v>brokedown palace</v>
      </c>
      <c r="F208" t="s">
        <v>5250</v>
      </c>
      <c r="G208" t="str">
        <f>_xlfn.IFNA(VLOOKUP(F208,songs!$B$1:$C$1539, 2, FALSE),"")</f>
        <v>Brokedown Palace</v>
      </c>
      <c r="H208" t="s">
        <v>145</v>
      </c>
    </row>
    <row r="209" spans="1:8" x14ac:dyDescent="0.25">
      <c r="A209">
        <v>208</v>
      </c>
      <c r="B209" t="s">
        <v>326</v>
      </c>
      <c r="C209" t="s">
        <v>327</v>
      </c>
      <c r="D209" t="str">
        <f t="shared" si="8"/>
        <v/>
      </c>
      <c r="E209" t="str">
        <f t="shared" si="9"/>
        <v>el paso</v>
      </c>
      <c r="F209" t="s">
        <v>5600</v>
      </c>
      <c r="G209" t="str">
        <f>_xlfn.IFNA(VLOOKUP(F209,songs!$B$1:$C$1539, 2, FALSE),"")</f>
        <v>El Paso</v>
      </c>
      <c r="H209" t="s">
        <v>327</v>
      </c>
    </row>
    <row r="210" spans="1:8" x14ac:dyDescent="0.25">
      <c r="A210">
        <v>209</v>
      </c>
      <c r="B210" t="s">
        <v>328</v>
      </c>
      <c r="C210" t="s">
        <v>84</v>
      </c>
      <c r="D210" t="str">
        <f t="shared" si="8"/>
        <v/>
      </c>
      <c r="E210" t="str">
        <f t="shared" si="9"/>
        <v>china cat sunflower</v>
      </c>
      <c r="F210" t="s">
        <v>5319</v>
      </c>
      <c r="G210" t="str">
        <f>_xlfn.IFNA(VLOOKUP(F210,songs!$B$1:$C$1539, 2, FALSE),"")</f>
        <v>China Cat Sunflower</v>
      </c>
      <c r="H210" t="s">
        <v>84</v>
      </c>
    </row>
    <row r="211" spans="1:8" x14ac:dyDescent="0.25">
      <c r="A211">
        <v>210</v>
      </c>
      <c r="B211" t="s">
        <v>329</v>
      </c>
      <c r="C211" t="s">
        <v>86</v>
      </c>
      <c r="D211" t="str">
        <f t="shared" si="8"/>
        <v/>
      </c>
      <c r="E211" t="str">
        <f t="shared" si="9"/>
        <v>i know you rider</v>
      </c>
      <c r="F211" t="s">
        <v>6020</v>
      </c>
      <c r="G211" t="str">
        <f>_xlfn.IFNA(VLOOKUP(F211,songs!$B$1:$C$1539, 2, FALSE),"")</f>
        <v>I Know You Rider</v>
      </c>
      <c r="H211" t="s">
        <v>86</v>
      </c>
    </row>
    <row r="212" spans="1:8" x14ac:dyDescent="0.25">
      <c r="A212">
        <v>211</v>
      </c>
      <c r="B212" t="s">
        <v>330</v>
      </c>
      <c r="C212" t="s">
        <v>11</v>
      </c>
      <c r="D212" t="str">
        <f t="shared" si="8"/>
        <v/>
      </c>
      <c r="E212" t="str">
        <f t="shared" si="9"/>
        <v>playing in the band</v>
      </c>
      <c r="F212" t="s">
        <v>6769</v>
      </c>
      <c r="G212" t="str">
        <f>_xlfn.IFNA(VLOOKUP(F212,songs!$B$1:$C$1539, 2, FALSE),"")</f>
        <v>Playing In The Band</v>
      </c>
      <c r="H212" t="s">
        <v>419</v>
      </c>
    </row>
    <row r="213" spans="1:8" x14ac:dyDescent="0.25">
      <c r="A213">
        <v>212</v>
      </c>
      <c r="B213" t="s">
        <v>331</v>
      </c>
      <c r="C213" t="s">
        <v>13</v>
      </c>
      <c r="D213" t="str">
        <f t="shared" si="8"/>
        <v/>
      </c>
      <c r="E213" t="str">
        <f t="shared" si="9"/>
        <v>he's gone</v>
      </c>
      <c r="F213" t="s">
        <v>5903</v>
      </c>
      <c r="G213" t="str">
        <f>_xlfn.IFNA(VLOOKUP(F213,songs!$B$1:$C$1539, 2, FALSE),"")</f>
        <v>He's Gone</v>
      </c>
      <c r="H213" t="s">
        <v>13</v>
      </c>
    </row>
    <row r="214" spans="1:8" x14ac:dyDescent="0.25">
      <c r="A214">
        <v>242</v>
      </c>
      <c r="B214" t="s">
        <v>368</v>
      </c>
      <c r="C214" t="s">
        <v>369</v>
      </c>
      <c r="D214" t="str">
        <f t="shared" si="8"/>
        <v/>
      </c>
      <c r="E214" t="str">
        <f t="shared" si="9"/>
        <v>weather report suite- prelude-pt. 1-pt. 2 let it grow</v>
      </c>
      <c r="F214" t="s">
        <v>7824</v>
      </c>
      <c r="G214" t="s">
        <v>7879</v>
      </c>
      <c r="H214" t="s">
        <v>7867</v>
      </c>
    </row>
    <row r="215" spans="1:8" x14ac:dyDescent="0.25">
      <c r="A215">
        <v>214</v>
      </c>
      <c r="B215" t="s">
        <v>333</v>
      </c>
      <c r="C215" t="s">
        <v>264</v>
      </c>
      <c r="D215" t="str">
        <f t="shared" si="8"/>
        <v/>
      </c>
      <c r="E215" t="str">
        <f t="shared" si="9"/>
        <v>deal</v>
      </c>
      <c r="F215" t="s">
        <v>5461</v>
      </c>
      <c r="G215" t="str">
        <f>_xlfn.IFNA(VLOOKUP(F215,songs!$B$1:$C$1539, 2, FALSE),"")</f>
        <v>Deal</v>
      </c>
      <c r="H215" t="s">
        <v>264</v>
      </c>
    </row>
    <row r="216" spans="1:8" x14ac:dyDescent="0.25">
      <c r="A216">
        <v>215</v>
      </c>
      <c r="B216" t="s">
        <v>334</v>
      </c>
      <c r="C216" t="s">
        <v>154</v>
      </c>
      <c r="D216" t="str">
        <f t="shared" si="8"/>
        <v/>
      </c>
      <c r="E216" t="str">
        <f t="shared" si="9"/>
        <v>greatest story ever told</v>
      </c>
      <c r="F216" t="s">
        <v>5826</v>
      </c>
      <c r="G216" t="str">
        <f>_xlfn.IFNA(VLOOKUP(F216,songs!$B$1:$C$1539, 2, FALSE),"")</f>
        <v>Greatest Story Ever Told</v>
      </c>
      <c r="H216" t="s">
        <v>154</v>
      </c>
    </row>
    <row r="217" spans="1:8" x14ac:dyDescent="0.25">
      <c r="A217">
        <v>216</v>
      </c>
      <c r="B217" t="s">
        <v>335</v>
      </c>
      <c r="C217" t="s">
        <v>336</v>
      </c>
      <c r="D217" t="str">
        <f t="shared" si="8"/>
        <v/>
      </c>
      <c r="E217" t="str">
        <f t="shared" si="9"/>
        <v>ramble on rose</v>
      </c>
      <c r="F217" t="s">
        <v>6827</v>
      </c>
      <c r="G217" t="str">
        <f>_xlfn.IFNA(VLOOKUP(F217,songs!$B$1:$C$1539, 2, FALSE),"")</f>
        <v>Ramble On Rose</v>
      </c>
      <c r="H217" t="s">
        <v>436</v>
      </c>
    </row>
    <row r="218" spans="1:8" x14ac:dyDescent="0.25">
      <c r="A218">
        <v>217</v>
      </c>
      <c r="B218" t="s">
        <v>337</v>
      </c>
      <c r="C218" t="s">
        <v>92</v>
      </c>
      <c r="D218" t="str">
        <f t="shared" si="8"/>
        <v/>
      </c>
      <c r="E218" t="str">
        <f t="shared" si="9"/>
        <v>dark star</v>
      </c>
      <c r="F218" t="s">
        <v>5428</v>
      </c>
      <c r="G218" t="str">
        <f>_xlfn.IFNA(VLOOKUP(F218,songs!$B$1:$C$1539, 2, FALSE),"")</f>
        <v>Dark Star</v>
      </c>
      <c r="H218" t="s">
        <v>92</v>
      </c>
    </row>
    <row r="219" spans="1:8" x14ac:dyDescent="0.25">
      <c r="A219">
        <v>218</v>
      </c>
      <c r="B219" t="s">
        <v>338</v>
      </c>
      <c r="C219" t="s">
        <v>225</v>
      </c>
      <c r="D219" t="str">
        <f t="shared" si="8"/>
        <v/>
      </c>
      <c r="E219" t="str">
        <f t="shared" si="9"/>
        <v>cumberland blues</v>
      </c>
      <c r="F219" t="s">
        <v>5411</v>
      </c>
      <c r="G219" t="str">
        <f>_xlfn.IFNA(VLOOKUP(F219,songs!$B$1:$C$1539, 2, FALSE),"")</f>
        <v>Cumberland Blues</v>
      </c>
      <c r="H219" t="s">
        <v>225</v>
      </c>
    </row>
    <row r="220" spans="1:8" x14ac:dyDescent="0.25">
      <c r="A220">
        <v>219</v>
      </c>
      <c r="B220" t="s">
        <v>339</v>
      </c>
      <c r="C220" t="s">
        <v>340</v>
      </c>
      <c r="D220" t="str">
        <f t="shared" si="8"/>
        <v/>
      </c>
      <c r="E220" t="str">
        <f t="shared" si="9"/>
        <v>attics of my life</v>
      </c>
      <c r="F220" t="s">
        <v>5108</v>
      </c>
      <c r="G220" t="str">
        <f>_xlfn.IFNA(VLOOKUP(F220,songs!$B$1:$C$1539, 2, FALSE),"")</f>
        <v>Attics Of My Life</v>
      </c>
      <c r="H220" t="s">
        <v>2859</v>
      </c>
    </row>
    <row r="221" spans="1:8" x14ac:dyDescent="0.25">
      <c r="A221">
        <v>220</v>
      </c>
      <c r="B221" t="s">
        <v>341</v>
      </c>
      <c r="C221" t="s">
        <v>130</v>
      </c>
      <c r="D221" t="str">
        <f t="shared" si="8"/>
        <v/>
      </c>
      <c r="E221" t="str">
        <f t="shared" si="9"/>
        <v>promised land</v>
      </c>
      <c r="F221" t="s">
        <v>6797</v>
      </c>
      <c r="G221" t="str">
        <f>_xlfn.IFNA(VLOOKUP(F221,songs!$B$1:$C$1539, 2, FALSE),"")</f>
        <v>Promised Land</v>
      </c>
      <c r="H221" t="s">
        <v>130</v>
      </c>
    </row>
    <row r="222" spans="1:8" x14ac:dyDescent="0.25">
      <c r="A222">
        <v>221</v>
      </c>
      <c r="B222" t="s">
        <v>342</v>
      </c>
      <c r="C222" t="s">
        <v>133</v>
      </c>
      <c r="D222" t="str">
        <f t="shared" si="8"/>
        <v/>
      </c>
      <c r="E222" t="str">
        <f t="shared" si="9"/>
        <v>uncle john's band</v>
      </c>
      <c r="F222" t="s">
        <v>7466</v>
      </c>
      <c r="G222" t="str">
        <f>_xlfn.IFNA(VLOOKUP(F222,songs!$B$1:$C$1539, 2, FALSE),"")</f>
        <v>Uncle John's Band</v>
      </c>
      <c r="H222" t="s">
        <v>133</v>
      </c>
    </row>
    <row r="223" spans="1:8" x14ac:dyDescent="0.25">
      <c r="A223">
        <v>222</v>
      </c>
      <c r="B223" t="s">
        <v>343</v>
      </c>
      <c r="C223" t="s">
        <v>81</v>
      </c>
      <c r="D223" t="str">
        <f t="shared" si="8"/>
        <v/>
      </c>
      <c r="E223" t="str">
        <f t="shared" si="9"/>
        <v>casey jones</v>
      </c>
      <c r="F223" t="s">
        <v>5290</v>
      </c>
      <c r="G223" t="str">
        <f>_xlfn.IFNA(VLOOKUP(F223,songs!$B$1:$C$1539, 2, FALSE),"")</f>
        <v>Casey Jones</v>
      </c>
      <c r="H223" t="s">
        <v>81</v>
      </c>
    </row>
    <row r="224" spans="1:8" x14ac:dyDescent="0.25">
      <c r="A224">
        <v>223</v>
      </c>
      <c r="B224" t="s">
        <v>344</v>
      </c>
      <c r="C224" t="s">
        <v>26</v>
      </c>
      <c r="D224" t="str">
        <f t="shared" si="8"/>
        <v/>
      </c>
      <c r="E224" t="str">
        <f t="shared" si="9"/>
        <v>around and around</v>
      </c>
      <c r="F224" t="s">
        <v>5103</v>
      </c>
      <c r="G224" t="str">
        <f>_xlfn.IFNA(VLOOKUP(F224,songs!$B$1:$C$1539, 2, FALSE),"")</f>
        <v>Around And Around</v>
      </c>
      <c r="H224" t="s">
        <v>579</v>
      </c>
    </row>
    <row r="225" spans="1:8" x14ac:dyDescent="0.25">
      <c r="A225">
        <v>224</v>
      </c>
      <c r="B225" t="s">
        <v>345</v>
      </c>
      <c r="C225" t="s">
        <v>19</v>
      </c>
      <c r="D225" t="str">
        <f t="shared" si="8"/>
        <v/>
      </c>
      <c r="E225" t="str">
        <f t="shared" si="9"/>
        <v>jam</v>
      </c>
      <c r="F225" t="s">
        <v>6165</v>
      </c>
      <c r="G225" t="str">
        <f>_xlfn.IFNA(VLOOKUP(F225,songs!$B$1:$C$1539, 2, FALSE),"")</f>
        <v>Jam</v>
      </c>
      <c r="H225" t="s">
        <v>19</v>
      </c>
    </row>
    <row r="226" spans="1:8" x14ac:dyDescent="0.25">
      <c r="A226">
        <v>225</v>
      </c>
      <c r="B226" t="s">
        <v>346</v>
      </c>
      <c r="C226" t="s">
        <v>84</v>
      </c>
      <c r="D226" t="str">
        <f t="shared" si="8"/>
        <v/>
      </c>
      <c r="E226" t="str">
        <f t="shared" si="9"/>
        <v>china cat sunflower</v>
      </c>
      <c r="F226" t="s">
        <v>5319</v>
      </c>
      <c r="G226" t="str">
        <f>_xlfn.IFNA(VLOOKUP(F226,songs!$B$1:$C$1539, 2, FALSE),"")</f>
        <v>China Cat Sunflower</v>
      </c>
      <c r="H226" t="s">
        <v>84</v>
      </c>
    </row>
    <row r="227" spans="1:8" x14ac:dyDescent="0.25">
      <c r="A227">
        <v>226</v>
      </c>
      <c r="B227" t="s">
        <v>347</v>
      </c>
      <c r="C227" t="s">
        <v>348</v>
      </c>
      <c r="D227" t="str">
        <f t="shared" si="8"/>
        <v/>
      </c>
      <c r="E227" t="str">
        <f t="shared" si="9"/>
        <v>mind left body jam</v>
      </c>
      <c r="F227" t="s">
        <v>6523</v>
      </c>
      <c r="G227" t="str">
        <f>_xlfn.IFNA(VLOOKUP(F227,songs!$B$1:$C$1539, 2, FALSE),"")</f>
        <v>Mind Left Body Jam</v>
      </c>
      <c r="H227" t="s">
        <v>348</v>
      </c>
    </row>
    <row r="228" spans="1:8" x14ac:dyDescent="0.25">
      <c r="A228">
        <v>227</v>
      </c>
      <c r="B228" t="s">
        <v>349</v>
      </c>
      <c r="C228" t="s">
        <v>86</v>
      </c>
      <c r="D228" t="str">
        <f t="shared" si="8"/>
        <v/>
      </c>
      <c r="E228" t="str">
        <f t="shared" si="9"/>
        <v>i know you rider</v>
      </c>
      <c r="F228" t="s">
        <v>6020</v>
      </c>
      <c r="G228" t="str">
        <f>_xlfn.IFNA(VLOOKUP(F228,songs!$B$1:$C$1539, 2, FALSE),"")</f>
        <v>I Know You Rider</v>
      </c>
      <c r="H228" t="s">
        <v>86</v>
      </c>
    </row>
    <row r="229" spans="1:8" x14ac:dyDescent="0.25">
      <c r="A229">
        <v>246</v>
      </c>
      <c r="B229" t="s">
        <v>373</v>
      </c>
      <c r="C229" t="s">
        <v>36</v>
      </c>
      <c r="D229" t="str">
        <f t="shared" si="8"/>
        <v/>
      </c>
      <c r="E229" t="str">
        <f t="shared" si="9"/>
        <v>goin' down the road feeling bad</v>
      </c>
      <c r="F229" t="s">
        <v>5783</v>
      </c>
      <c r="G229" t="str">
        <f>_xlfn.IFNA(VLOOKUP(F229,songs!$B$1:$C$1539, 2, FALSE),"")</f>
        <v>Goin' Down The Road Feelin' Bad</v>
      </c>
      <c r="H229" t="s">
        <v>7867</v>
      </c>
    </row>
    <row r="230" spans="1:8" x14ac:dyDescent="0.25">
      <c r="A230">
        <v>229</v>
      </c>
      <c r="B230" t="s">
        <v>352</v>
      </c>
      <c r="C230" t="s">
        <v>15</v>
      </c>
      <c r="D230" t="str">
        <f t="shared" si="8"/>
        <v/>
      </c>
      <c r="E230" t="str">
        <f t="shared" si="9"/>
        <v>truckin'</v>
      </c>
      <c r="F230" t="s">
        <v>7436</v>
      </c>
      <c r="G230" t="str">
        <f>_xlfn.IFNA(VLOOKUP(F230,songs!$B$1:$C$1539, 2, FALSE),"")</f>
        <v>Truckin'</v>
      </c>
      <c r="H230" t="s">
        <v>15</v>
      </c>
    </row>
    <row r="231" spans="1:8" x14ac:dyDescent="0.25">
      <c r="A231">
        <v>260</v>
      </c>
      <c r="B231" t="s">
        <v>391</v>
      </c>
      <c r="C231" t="s">
        <v>122</v>
      </c>
      <c r="D231" t="str">
        <f t="shared" si="8"/>
        <v/>
      </c>
      <c r="E231" t="str">
        <f t="shared" si="9"/>
        <v>new minglewood blues</v>
      </c>
      <c r="F231" t="s">
        <v>7869</v>
      </c>
      <c r="G231" t="str">
        <f>_xlfn.IFNA(VLOOKUP(F231,songs!$B$1:$C$1539, 2, FALSE),"")</f>
        <v>Minglewood Blues</v>
      </c>
      <c r="H231" t="s">
        <v>7867</v>
      </c>
    </row>
    <row r="232" spans="1:8" x14ac:dyDescent="0.25">
      <c r="A232">
        <v>231</v>
      </c>
      <c r="B232" t="s">
        <v>355</v>
      </c>
      <c r="C232" t="s">
        <v>177</v>
      </c>
      <c r="D232" t="str">
        <f t="shared" si="8"/>
        <v/>
      </c>
      <c r="E232" t="str">
        <f t="shared" si="9"/>
        <v>spanish jam</v>
      </c>
      <c r="F232" t="s">
        <v>7094</v>
      </c>
      <c r="G232" t="str">
        <f>_xlfn.IFNA(VLOOKUP(F232,songs!$B$1:$C$1539, 2, FALSE),"")</f>
        <v>Spanish Jam</v>
      </c>
      <c r="H232" t="s">
        <v>177</v>
      </c>
    </row>
    <row r="233" spans="1:8" x14ac:dyDescent="0.25">
      <c r="A233">
        <v>232</v>
      </c>
      <c r="B233" t="s">
        <v>356</v>
      </c>
      <c r="C233" t="s">
        <v>73</v>
      </c>
      <c r="D233" t="str">
        <f t="shared" si="8"/>
        <v/>
      </c>
      <c r="E233" t="str">
        <f t="shared" si="9"/>
        <v>wharf rat</v>
      </c>
      <c r="F233" t="s">
        <v>7664</v>
      </c>
      <c r="G233" t="str">
        <f>_xlfn.IFNA(VLOOKUP(F233,songs!$B$1:$C$1539, 2, FALSE),"")</f>
        <v>Wharf Rat</v>
      </c>
      <c r="H233" t="s">
        <v>73</v>
      </c>
    </row>
    <row r="234" spans="1:8" x14ac:dyDescent="0.25">
      <c r="A234">
        <v>233</v>
      </c>
      <c r="B234" t="s">
        <v>357</v>
      </c>
      <c r="C234" t="s">
        <v>30</v>
      </c>
      <c r="D234" t="str">
        <f t="shared" si="8"/>
        <v/>
      </c>
      <c r="E234" t="str">
        <f t="shared" si="9"/>
        <v>sugar magnolia</v>
      </c>
      <c r="F234" t="s">
        <v>7150</v>
      </c>
      <c r="G234" t="str">
        <f>_xlfn.IFNA(VLOOKUP(F234,songs!$B$1:$C$1539, 2, FALSE),"")</f>
        <v>Sugar Magnolia</v>
      </c>
      <c r="H234" t="s">
        <v>30</v>
      </c>
    </row>
    <row r="235" spans="1:8" x14ac:dyDescent="0.25">
      <c r="A235">
        <v>234</v>
      </c>
      <c r="B235" t="s">
        <v>358</v>
      </c>
      <c r="C235" t="s">
        <v>71</v>
      </c>
      <c r="D235" t="str">
        <f t="shared" si="8"/>
        <v/>
      </c>
      <c r="E235" t="str">
        <f t="shared" si="9"/>
        <v>eyes of the world</v>
      </c>
      <c r="F235" t="s">
        <v>5633</v>
      </c>
      <c r="G235" t="str">
        <f>_xlfn.IFNA(VLOOKUP(F235,songs!$B$1:$C$1539, 2, FALSE),"")</f>
        <v>Eyes Of The World</v>
      </c>
      <c r="H235" t="s">
        <v>471</v>
      </c>
    </row>
    <row r="236" spans="1:8" x14ac:dyDescent="0.25">
      <c r="A236">
        <v>235</v>
      </c>
      <c r="B236" t="s">
        <v>359</v>
      </c>
      <c r="C236" t="s">
        <v>360</v>
      </c>
      <c r="D236" t="str">
        <f t="shared" si="8"/>
        <v/>
      </c>
      <c r="E236" t="str">
        <f t="shared" si="9"/>
        <v>seastones</v>
      </c>
      <c r="F236" t="s">
        <v>6957</v>
      </c>
      <c r="G236" t="str">
        <f>_xlfn.IFNA(VLOOKUP(F236,songs!$B$1:$C$1539, 2, FALSE),"")</f>
        <v>Seastones</v>
      </c>
      <c r="H236" t="s">
        <v>360</v>
      </c>
    </row>
    <row r="237" spans="1:8" x14ac:dyDescent="0.25">
      <c r="A237">
        <v>236</v>
      </c>
      <c r="B237" t="s">
        <v>361</v>
      </c>
      <c r="C237" t="s">
        <v>30</v>
      </c>
      <c r="D237" t="str">
        <f t="shared" si="8"/>
        <v/>
      </c>
      <c r="E237" t="str">
        <f t="shared" si="9"/>
        <v>sugar magnolia</v>
      </c>
      <c r="F237" t="s">
        <v>7150</v>
      </c>
      <c r="G237" t="str">
        <f>_xlfn.IFNA(VLOOKUP(F237,songs!$B$1:$C$1539, 2, FALSE),"")</f>
        <v>Sugar Magnolia</v>
      </c>
      <c r="H237" t="s">
        <v>30</v>
      </c>
    </row>
    <row r="238" spans="1:8" x14ac:dyDescent="0.25">
      <c r="A238">
        <v>237</v>
      </c>
      <c r="B238" t="s">
        <v>362</v>
      </c>
      <c r="C238" t="s">
        <v>170</v>
      </c>
      <c r="D238" t="str">
        <f t="shared" si="8"/>
        <v/>
      </c>
      <c r="E238" t="str">
        <f t="shared" si="9"/>
        <v>scarlet begonias</v>
      </c>
      <c r="F238" t="s">
        <v>6944</v>
      </c>
      <c r="G238" t="str">
        <f>_xlfn.IFNA(VLOOKUP(F238,songs!$B$1:$C$1539, 2, FALSE),"")</f>
        <v>Scarlet Begonias</v>
      </c>
      <c r="H238" t="s">
        <v>170</v>
      </c>
    </row>
    <row r="239" spans="1:8" x14ac:dyDescent="0.25">
      <c r="A239">
        <v>238</v>
      </c>
      <c r="B239" t="s">
        <v>363</v>
      </c>
      <c r="C239" t="s">
        <v>3</v>
      </c>
      <c r="D239" t="str">
        <f t="shared" si="8"/>
        <v/>
      </c>
      <c r="E239" t="str">
        <f t="shared" si="9"/>
        <v>big river</v>
      </c>
      <c r="F239" t="s">
        <v>5175</v>
      </c>
      <c r="G239" t="str">
        <f>_xlfn.IFNA(VLOOKUP(F239,songs!$B$1:$C$1539, 2, FALSE),"")</f>
        <v>Big River</v>
      </c>
      <c r="H239" t="s">
        <v>3</v>
      </c>
    </row>
    <row r="240" spans="1:8" x14ac:dyDescent="0.25">
      <c r="A240">
        <v>239</v>
      </c>
      <c r="B240" t="s">
        <v>364</v>
      </c>
      <c r="C240" t="s">
        <v>365</v>
      </c>
      <c r="D240" t="str">
        <f t="shared" si="8"/>
        <v/>
      </c>
      <c r="E240" t="str">
        <f t="shared" si="9"/>
        <v>to lay me down</v>
      </c>
      <c r="F240" t="s">
        <v>7397</v>
      </c>
      <c r="G240" t="str">
        <f>_xlfn.IFNA(VLOOKUP(F240,songs!$B$1:$C$1539, 2, FALSE),"")</f>
        <v>To Lay Me Down</v>
      </c>
      <c r="H240" t="s">
        <v>365</v>
      </c>
    </row>
    <row r="241" spans="1:8" x14ac:dyDescent="0.25">
      <c r="A241">
        <v>265</v>
      </c>
      <c r="B241" t="s">
        <v>398</v>
      </c>
      <c r="C241" t="s">
        <v>399</v>
      </c>
      <c r="D241" t="str">
        <f t="shared" si="8"/>
        <v/>
      </c>
      <c r="E241" t="str">
        <f t="shared" si="9"/>
        <v>caution - spanish jam</v>
      </c>
      <c r="F241" t="s">
        <v>5300</v>
      </c>
      <c r="G241" t="str">
        <f>_xlfn.IFNA(VLOOKUP(F241,songs!$B$1:$C$1539, 2, FALSE),"")</f>
        <v>Caution (Do Not Stop On Tracks)</v>
      </c>
      <c r="H241" t="s">
        <v>7867</v>
      </c>
    </row>
    <row r="242" spans="1:8" x14ac:dyDescent="0.25">
      <c r="A242">
        <v>241</v>
      </c>
      <c r="B242" t="s">
        <v>367</v>
      </c>
      <c r="C242" t="s">
        <v>188</v>
      </c>
      <c r="D242" t="str">
        <f t="shared" si="8"/>
        <v/>
      </c>
      <c r="E242" t="str">
        <f t="shared" si="9"/>
        <v>row jimmy</v>
      </c>
      <c r="F242" t="s">
        <v>6893</v>
      </c>
      <c r="G242" t="str">
        <f>_xlfn.IFNA(VLOOKUP(F242,songs!$B$1:$C$1539, 2, FALSE),"")</f>
        <v>Row Jimmy</v>
      </c>
      <c r="H242" t="s">
        <v>188</v>
      </c>
    </row>
    <row r="243" spans="1:8" x14ac:dyDescent="0.25">
      <c r="A243">
        <v>620</v>
      </c>
      <c r="B243" t="s">
        <v>879</v>
      </c>
      <c r="C243" t="s">
        <v>880</v>
      </c>
      <c r="D243" t="str">
        <f t="shared" si="8"/>
        <v/>
      </c>
      <c r="E243" t="str">
        <f t="shared" si="9"/>
        <v>baba o'riley</v>
      </c>
      <c r="F243" t="s">
        <v>7829</v>
      </c>
      <c r="G243" t="str">
        <f>_xlfn.IFNA(VLOOKUP(F243,songs!$B$1:$C$1539, 2, FALSE),"")</f>
        <v/>
      </c>
      <c r="H243" t="s">
        <v>7867</v>
      </c>
    </row>
    <row r="244" spans="1:8" x14ac:dyDescent="0.25">
      <c r="A244">
        <v>243</v>
      </c>
      <c r="B244" t="s">
        <v>370</v>
      </c>
      <c r="C244" t="s">
        <v>19</v>
      </c>
      <c r="D244" t="str">
        <f t="shared" si="8"/>
        <v/>
      </c>
      <c r="E244" t="str">
        <f t="shared" si="9"/>
        <v>jam</v>
      </c>
      <c r="F244" t="s">
        <v>6165</v>
      </c>
      <c r="G244" t="str">
        <f>_xlfn.IFNA(VLOOKUP(F244,songs!$B$1:$C$1539, 2, FALSE),"")</f>
        <v>Jam</v>
      </c>
      <c r="H244" t="s">
        <v>19</v>
      </c>
    </row>
    <row r="245" spans="1:8" x14ac:dyDescent="0.25">
      <c r="A245">
        <v>244</v>
      </c>
      <c r="B245" t="s">
        <v>371</v>
      </c>
      <c r="C245" t="s">
        <v>183</v>
      </c>
      <c r="D245" t="str">
        <f t="shared" si="8"/>
        <v/>
      </c>
      <c r="E245" t="str">
        <f t="shared" si="9"/>
        <v>u.s. blues</v>
      </c>
      <c r="F245" t="s">
        <v>7464</v>
      </c>
      <c r="G245" t="str">
        <f>_xlfn.IFNA(VLOOKUP(F245,songs!$B$1:$C$1539, 2, FALSE),"")</f>
        <v>U.S. Blues</v>
      </c>
      <c r="H245" t="s">
        <v>183</v>
      </c>
    </row>
    <row r="246" spans="1:8" x14ac:dyDescent="0.25">
      <c r="A246">
        <v>245</v>
      </c>
      <c r="B246" t="s">
        <v>372</v>
      </c>
      <c r="C246" t="s">
        <v>130</v>
      </c>
      <c r="D246" t="str">
        <f t="shared" si="8"/>
        <v/>
      </c>
      <c r="E246" t="str">
        <f t="shared" si="9"/>
        <v>promised land</v>
      </c>
      <c r="F246" t="s">
        <v>6797</v>
      </c>
      <c r="G246" t="str">
        <f>_xlfn.IFNA(VLOOKUP(F246,songs!$B$1:$C$1539, 2, FALSE),"")</f>
        <v>Promised Land</v>
      </c>
      <c r="H246" t="s">
        <v>130</v>
      </c>
    </row>
    <row r="247" spans="1:8" x14ac:dyDescent="0.25">
      <c r="A247">
        <v>269</v>
      </c>
      <c r="B247" t="s">
        <v>403</v>
      </c>
      <c r="C247" t="s">
        <v>36</v>
      </c>
      <c r="D247" t="str">
        <f t="shared" si="8"/>
        <v/>
      </c>
      <c r="E247" t="str">
        <f t="shared" si="9"/>
        <v>goin' down the road feeling bad</v>
      </c>
      <c r="F247" t="s">
        <v>5783</v>
      </c>
      <c r="G247" t="str">
        <f>_xlfn.IFNA(VLOOKUP(F247,songs!$B$1:$C$1539, 2, FALSE),"")</f>
        <v>Goin' Down The Road Feelin' Bad</v>
      </c>
      <c r="H247" t="s">
        <v>7867</v>
      </c>
    </row>
    <row r="248" spans="1:8" x14ac:dyDescent="0.25">
      <c r="A248">
        <v>247</v>
      </c>
      <c r="B248" t="s">
        <v>374</v>
      </c>
      <c r="C248" t="s">
        <v>375</v>
      </c>
      <c r="D248" t="str">
        <f t="shared" si="8"/>
        <v/>
      </c>
      <c r="E248" t="str">
        <f t="shared" si="9"/>
        <v>sunshine daydream</v>
      </c>
      <c r="F248" t="s">
        <v>7157</v>
      </c>
      <c r="G248" t="str">
        <f>_xlfn.IFNA(VLOOKUP(F248,songs!$B$1:$C$1539, 2, FALSE),"")</f>
        <v>Sunshine Daydream</v>
      </c>
      <c r="H248" t="s">
        <v>375</v>
      </c>
    </row>
    <row r="249" spans="1:8" x14ac:dyDescent="0.25">
      <c r="A249">
        <v>248</v>
      </c>
      <c r="B249" t="s">
        <v>376</v>
      </c>
      <c r="C249" t="s">
        <v>377</v>
      </c>
      <c r="D249" t="str">
        <f t="shared" si="8"/>
        <v/>
      </c>
      <c r="E249" t="str">
        <f t="shared" si="9"/>
        <v>ship of fools</v>
      </c>
      <c r="F249" t="s">
        <v>6999</v>
      </c>
      <c r="G249" t="str">
        <f>_xlfn.IFNA(VLOOKUP(F249,songs!$B$1:$C$1539, 2, FALSE),"")</f>
        <v>Ship Of Fools</v>
      </c>
      <c r="H249" t="s">
        <v>866</v>
      </c>
    </row>
    <row r="250" spans="1:8" x14ac:dyDescent="0.25">
      <c r="A250">
        <v>249</v>
      </c>
      <c r="B250" t="s">
        <v>378</v>
      </c>
      <c r="C250" t="s">
        <v>128</v>
      </c>
      <c r="D250" t="str">
        <f t="shared" si="8"/>
        <v/>
      </c>
      <c r="E250" t="str">
        <f t="shared" si="9"/>
        <v>alabama getaway</v>
      </c>
      <c r="F250" t="s">
        <v>5047</v>
      </c>
      <c r="G250" t="str">
        <f>_xlfn.IFNA(VLOOKUP(F250,songs!$B$1:$C$1539, 2, FALSE),"")</f>
        <v>Alabama Getaway</v>
      </c>
      <c r="H250" t="s">
        <v>128</v>
      </c>
    </row>
    <row r="251" spans="1:8" x14ac:dyDescent="0.25">
      <c r="A251">
        <v>250</v>
      </c>
      <c r="B251" t="s">
        <v>379</v>
      </c>
      <c r="C251" t="s">
        <v>154</v>
      </c>
      <c r="D251" t="str">
        <f t="shared" si="8"/>
        <v/>
      </c>
      <c r="E251" t="str">
        <f t="shared" si="9"/>
        <v>greatest story ever told</v>
      </c>
      <c r="F251" t="s">
        <v>5826</v>
      </c>
      <c r="G251" t="str">
        <f>_xlfn.IFNA(VLOOKUP(F251,songs!$B$1:$C$1539, 2, FALSE),"")</f>
        <v>Greatest Story Ever Told</v>
      </c>
      <c r="H251" t="s">
        <v>154</v>
      </c>
    </row>
    <row r="252" spans="1:8" x14ac:dyDescent="0.25">
      <c r="A252">
        <v>251</v>
      </c>
      <c r="B252" t="s">
        <v>380</v>
      </c>
      <c r="C252" t="s">
        <v>156</v>
      </c>
      <c r="D252" t="str">
        <f t="shared" si="8"/>
        <v/>
      </c>
      <c r="E252" t="str">
        <f t="shared" si="9"/>
        <v>they love each other</v>
      </c>
      <c r="F252" t="s">
        <v>7358</v>
      </c>
      <c r="G252" t="str">
        <f>_xlfn.IFNA(VLOOKUP(F252,songs!$B$1:$C$1539, 2, FALSE),"")</f>
        <v>They Love Each Other</v>
      </c>
      <c r="H252" t="s">
        <v>156</v>
      </c>
    </row>
    <row r="253" spans="1:8" x14ac:dyDescent="0.25">
      <c r="A253">
        <v>252</v>
      </c>
      <c r="B253" t="s">
        <v>381</v>
      </c>
      <c r="C253" t="s">
        <v>262</v>
      </c>
      <c r="D253" t="str">
        <f t="shared" si="8"/>
        <v/>
      </c>
      <c r="E253" t="str">
        <f t="shared" si="9"/>
        <v>cassidy</v>
      </c>
      <c r="F253" t="s">
        <v>5291</v>
      </c>
      <c r="G253" t="str">
        <f>_xlfn.IFNA(VLOOKUP(F253,songs!$B$1:$C$1539, 2, FALSE),"")</f>
        <v>Cassidy</v>
      </c>
      <c r="H253" t="s">
        <v>262</v>
      </c>
    </row>
    <row r="254" spans="1:8" x14ac:dyDescent="0.25">
      <c r="A254">
        <v>253</v>
      </c>
      <c r="B254" t="s">
        <v>382</v>
      </c>
      <c r="C254" t="s">
        <v>383</v>
      </c>
      <c r="D254" t="str">
        <f t="shared" si="8"/>
        <v/>
      </c>
      <c r="E254" t="str">
        <f t="shared" si="9"/>
        <v>jack-a-roe</v>
      </c>
      <c r="F254" t="s">
        <v>6162</v>
      </c>
      <c r="G254" t="str">
        <f>_xlfn.IFNA(VLOOKUP(F254,songs!$B$1:$C$1539, 2, FALSE),"")</f>
        <v>Jack-A-Roe</v>
      </c>
      <c r="H254" t="s">
        <v>383</v>
      </c>
    </row>
    <row r="255" spans="1:8" x14ac:dyDescent="0.25">
      <c r="A255">
        <v>254</v>
      </c>
      <c r="B255" t="s">
        <v>384</v>
      </c>
      <c r="C255" t="s">
        <v>255</v>
      </c>
      <c r="D255" t="str">
        <f t="shared" si="8"/>
        <v/>
      </c>
      <c r="E255" t="str">
        <f t="shared" si="9"/>
        <v>little red rooster</v>
      </c>
      <c r="F255" t="s">
        <v>6360</v>
      </c>
      <c r="G255" t="str">
        <f>_xlfn.IFNA(VLOOKUP(F255,songs!$B$1:$C$1539, 2, FALSE),"")</f>
        <v>Little Red Rooster</v>
      </c>
      <c r="H255" t="s">
        <v>255</v>
      </c>
    </row>
    <row r="256" spans="1:8" x14ac:dyDescent="0.25">
      <c r="A256">
        <v>255</v>
      </c>
      <c r="B256" t="s">
        <v>385</v>
      </c>
      <c r="C256" t="s">
        <v>90</v>
      </c>
      <c r="D256" t="str">
        <f t="shared" si="8"/>
        <v/>
      </c>
      <c r="E256" t="str">
        <f t="shared" si="9"/>
        <v>dire wolf</v>
      </c>
      <c r="F256" t="s">
        <v>5497</v>
      </c>
      <c r="G256" t="str">
        <f>_xlfn.IFNA(VLOOKUP(F256,songs!$B$1:$C$1539, 2, FALSE),"")</f>
        <v>Dire Wolf</v>
      </c>
      <c r="H256" t="s">
        <v>90</v>
      </c>
    </row>
    <row r="257" spans="1:8" x14ac:dyDescent="0.25">
      <c r="A257">
        <v>256</v>
      </c>
      <c r="B257" t="s">
        <v>386</v>
      </c>
      <c r="C257" t="s">
        <v>126</v>
      </c>
      <c r="D257" t="str">
        <f t="shared" si="8"/>
        <v/>
      </c>
      <c r="E257" t="str">
        <f t="shared" si="9"/>
        <v>looks like rain</v>
      </c>
      <c r="F257" t="s">
        <v>6398</v>
      </c>
      <c r="G257" t="str">
        <f>_xlfn.IFNA(VLOOKUP(F257,songs!$B$1:$C$1539, 2, FALSE),"")</f>
        <v>Looks Like Rain</v>
      </c>
      <c r="H257" t="s">
        <v>126</v>
      </c>
    </row>
    <row r="258" spans="1:8" x14ac:dyDescent="0.25">
      <c r="A258">
        <v>257</v>
      </c>
      <c r="B258" t="s">
        <v>387</v>
      </c>
      <c r="C258" t="s">
        <v>9</v>
      </c>
      <c r="D258" t="str">
        <f t="shared" si="8"/>
        <v/>
      </c>
      <c r="E258" t="str">
        <f t="shared" si="9"/>
        <v>big railroad blues</v>
      </c>
      <c r="F258" t="s">
        <v>5174</v>
      </c>
      <c r="G258" t="str">
        <f>_xlfn.IFNA(VLOOKUP(F258,songs!$B$1:$C$1539, 2, FALSE),"")</f>
        <v>Big Railroad Blues</v>
      </c>
      <c r="H258" t="s">
        <v>9</v>
      </c>
    </row>
    <row r="259" spans="1:8" x14ac:dyDescent="0.25">
      <c r="A259">
        <v>258</v>
      </c>
      <c r="B259" t="s">
        <v>388</v>
      </c>
      <c r="C259" t="s">
        <v>389</v>
      </c>
      <c r="D259" t="str">
        <f t="shared" si="8"/>
        <v/>
      </c>
      <c r="E259" t="str">
        <f t="shared" si="9"/>
        <v>let it grow</v>
      </c>
      <c r="F259" t="s">
        <v>6308</v>
      </c>
      <c r="G259" t="str">
        <f>_xlfn.IFNA(VLOOKUP(F259,songs!$B$1:$C$1539, 2, FALSE),"")</f>
        <v>Let It Grow</v>
      </c>
      <c r="H259" t="s">
        <v>389</v>
      </c>
    </row>
    <row r="260" spans="1:8" x14ac:dyDescent="0.25">
      <c r="A260">
        <v>259</v>
      </c>
      <c r="B260" t="s">
        <v>390</v>
      </c>
      <c r="C260" t="s">
        <v>264</v>
      </c>
      <c r="D260" t="str">
        <f t="shared" ref="D260:D323" si="10">IF(RIGHT(TRIM(C260),2)="-&gt;","&gt;",IF(RIGHT(TRIM(C260),1)="&gt;","&gt;",""))</f>
        <v/>
      </c>
      <c r="E260" t="str">
        <f t="shared" ref="E260:E323" si="11">LOWER(TRIM(SUBSTITUTE(IF(RIGHT(TRIM(C260),2)="-&gt;",LEFT(TRIM(C260),LEN(TRIM(C260))-2),IF(RIGHT(TRIM(C260),1)="&gt;",LEFT(TRIM(C260),LEN(TRIM(C260))-1),C260)),"//","")))</f>
        <v>deal</v>
      </c>
      <c r="F260" t="s">
        <v>5461</v>
      </c>
      <c r="G260" t="str">
        <f>_xlfn.IFNA(VLOOKUP(F260,songs!$B$1:$C$1539, 2, FALSE),"")</f>
        <v>Deal</v>
      </c>
      <c r="H260" t="s">
        <v>264</v>
      </c>
    </row>
    <row r="261" spans="1:8" x14ac:dyDescent="0.25">
      <c r="A261">
        <v>273</v>
      </c>
      <c r="B261" t="s">
        <v>407</v>
      </c>
      <c r="C261" t="s">
        <v>408</v>
      </c>
      <c r="D261" t="str">
        <f t="shared" si="10"/>
        <v/>
      </c>
      <c r="E261" t="str">
        <f t="shared" si="11"/>
        <v>scarlet begonias (hidden - 1979-11-01)</v>
      </c>
      <c r="F261" t="s">
        <v>6944</v>
      </c>
      <c r="G261" t="str">
        <f>_xlfn.IFNA(VLOOKUP(F261,songs!$B$1:$C$1539, 2, FALSE),"")</f>
        <v>Scarlet Begonias</v>
      </c>
      <c r="H261" t="s">
        <v>7867</v>
      </c>
    </row>
    <row r="262" spans="1:8" x14ac:dyDescent="0.25">
      <c r="A262">
        <v>261</v>
      </c>
      <c r="B262" t="s">
        <v>392</v>
      </c>
      <c r="C262" t="s">
        <v>88</v>
      </c>
      <c r="D262" t="str">
        <f t="shared" si="10"/>
        <v/>
      </c>
      <c r="E262" t="str">
        <f t="shared" si="11"/>
        <v>high time</v>
      </c>
      <c r="F262" t="s">
        <v>5920</v>
      </c>
      <c r="G262" t="str">
        <f>_xlfn.IFNA(VLOOKUP(F262,songs!$B$1:$C$1539, 2, FALSE),"")</f>
        <v>High Time</v>
      </c>
      <c r="H262" t="s">
        <v>88</v>
      </c>
    </row>
    <row r="263" spans="1:8" x14ac:dyDescent="0.25">
      <c r="A263">
        <v>262</v>
      </c>
      <c r="B263" t="s">
        <v>393</v>
      </c>
      <c r="C263" t="s">
        <v>394</v>
      </c>
      <c r="D263" t="str">
        <f t="shared" si="10"/>
        <v/>
      </c>
      <c r="E263" t="str">
        <f t="shared" si="11"/>
        <v>lost sailor</v>
      </c>
      <c r="F263" t="s">
        <v>6403</v>
      </c>
      <c r="G263" t="str">
        <f>_xlfn.IFNA(VLOOKUP(F263,songs!$B$1:$C$1539, 2, FALSE),"")</f>
        <v>Lost Sailor</v>
      </c>
      <c r="H263" t="s">
        <v>394</v>
      </c>
    </row>
    <row r="264" spans="1:8" x14ac:dyDescent="0.25">
      <c r="A264">
        <v>263</v>
      </c>
      <c r="B264" t="s">
        <v>395</v>
      </c>
      <c r="C264" t="s">
        <v>396</v>
      </c>
      <c r="D264" t="str">
        <f t="shared" si="10"/>
        <v/>
      </c>
      <c r="E264" t="str">
        <f t="shared" si="11"/>
        <v>saint of circumstance</v>
      </c>
      <c r="F264" t="s">
        <v>6909</v>
      </c>
      <c r="G264" t="str">
        <f>_xlfn.IFNA(VLOOKUP(F264,songs!$B$1:$C$1539, 2, FALSE),"")</f>
        <v>Saint Of Circumstance</v>
      </c>
      <c r="H264" t="s">
        <v>1486</v>
      </c>
    </row>
    <row r="265" spans="1:8" x14ac:dyDescent="0.25">
      <c r="A265">
        <v>264</v>
      </c>
      <c r="B265" t="s">
        <v>397</v>
      </c>
      <c r="C265" t="s">
        <v>13</v>
      </c>
      <c r="D265" t="str">
        <f t="shared" si="10"/>
        <v/>
      </c>
      <c r="E265" t="str">
        <f t="shared" si="11"/>
        <v>he's gone</v>
      </c>
      <c r="F265" t="s">
        <v>5903</v>
      </c>
      <c r="G265" t="str">
        <f>_xlfn.IFNA(VLOOKUP(F265,songs!$B$1:$C$1539, 2, FALSE),"")</f>
        <v>He's Gone</v>
      </c>
      <c r="H265" t="s">
        <v>13</v>
      </c>
    </row>
    <row r="266" spans="1:8" x14ac:dyDescent="0.25">
      <c r="A266">
        <v>274</v>
      </c>
      <c r="B266" t="s">
        <v>409</v>
      </c>
      <c r="C266" t="s">
        <v>410</v>
      </c>
      <c r="D266" t="str">
        <f t="shared" si="10"/>
        <v/>
      </c>
      <c r="E266" t="str">
        <f t="shared" si="11"/>
        <v>fire on the mountain (hidden - 1979-11-01)</v>
      </c>
      <c r="F266" t="s">
        <v>5675</v>
      </c>
      <c r="G266" t="str">
        <f>_xlfn.IFNA(VLOOKUP(F266,songs!$B$1:$C$1539, 2, FALSE),"")</f>
        <v>Fire On The Mountain</v>
      </c>
      <c r="H266" t="s">
        <v>7867</v>
      </c>
    </row>
    <row r="267" spans="1:8" x14ac:dyDescent="0.25">
      <c r="A267">
        <v>266</v>
      </c>
      <c r="B267" t="s">
        <v>400</v>
      </c>
      <c r="C267" t="s">
        <v>100</v>
      </c>
      <c r="D267" t="str">
        <f t="shared" si="10"/>
        <v/>
      </c>
      <c r="E267" t="str">
        <f t="shared" si="11"/>
        <v>drums</v>
      </c>
      <c r="F267" t="s">
        <v>5568</v>
      </c>
      <c r="G267" t="str">
        <f>_xlfn.IFNA(VLOOKUP(F267,songs!$B$1:$C$1539, 2, FALSE),"")</f>
        <v>Drums</v>
      </c>
      <c r="H267" t="s">
        <v>100</v>
      </c>
    </row>
    <row r="268" spans="1:8" x14ac:dyDescent="0.25">
      <c r="A268">
        <v>267</v>
      </c>
      <c r="B268" t="s">
        <v>401</v>
      </c>
      <c r="C268" t="s">
        <v>19</v>
      </c>
      <c r="D268" t="str">
        <f t="shared" si="10"/>
        <v/>
      </c>
      <c r="E268" t="str">
        <f t="shared" si="11"/>
        <v>jam</v>
      </c>
      <c r="F268" t="s">
        <v>6165</v>
      </c>
      <c r="G268" t="str">
        <f>_xlfn.IFNA(VLOOKUP(F268,songs!$B$1:$C$1539, 2, FALSE),"")</f>
        <v>Jam</v>
      </c>
      <c r="H268" t="s">
        <v>19</v>
      </c>
    </row>
    <row r="269" spans="1:8" x14ac:dyDescent="0.25">
      <c r="A269">
        <v>268</v>
      </c>
      <c r="B269" t="s">
        <v>402</v>
      </c>
      <c r="C269" t="s">
        <v>139</v>
      </c>
      <c r="D269" t="str">
        <f t="shared" si="10"/>
        <v/>
      </c>
      <c r="E269" t="str">
        <f t="shared" si="11"/>
        <v>the other one</v>
      </c>
      <c r="F269" t="s">
        <v>7325</v>
      </c>
      <c r="G269" t="str">
        <f>_xlfn.IFNA(VLOOKUP(F269,songs!$B$1:$C$1539, 2, FALSE),"")</f>
        <v>The Other One</v>
      </c>
      <c r="H269" t="s">
        <v>139</v>
      </c>
    </row>
    <row r="270" spans="1:8" x14ac:dyDescent="0.25">
      <c r="A270">
        <v>278</v>
      </c>
      <c r="B270" t="s">
        <v>414</v>
      </c>
      <c r="C270" t="s">
        <v>190</v>
      </c>
      <c r="D270" t="str">
        <f t="shared" si="10"/>
        <v/>
      </c>
      <c r="E270" t="str">
        <f t="shared" si="11"/>
        <v>black-throated wind</v>
      </c>
      <c r="F270" t="s">
        <v>5193</v>
      </c>
      <c r="G270" t="str">
        <f>_xlfn.IFNA(VLOOKUP(F270,songs!$B$1:$C$1539, 2, FALSE),"")</f>
        <v>Black Throated Wind</v>
      </c>
      <c r="H270" t="s">
        <v>7867</v>
      </c>
    </row>
    <row r="271" spans="1:8" x14ac:dyDescent="0.25">
      <c r="A271">
        <v>270</v>
      </c>
      <c r="B271" t="s">
        <v>404</v>
      </c>
      <c r="C271" t="s">
        <v>73</v>
      </c>
      <c r="D271" t="str">
        <f t="shared" si="10"/>
        <v/>
      </c>
      <c r="E271" t="str">
        <f t="shared" si="11"/>
        <v>wharf rat</v>
      </c>
      <c r="F271" t="s">
        <v>7664</v>
      </c>
      <c r="G271" t="str">
        <f>_xlfn.IFNA(VLOOKUP(F271,songs!$B$1:$C$1539, 2, FALSE),"")</f>
        <v>Wharf Rat</v>
      </c>
      <c r="H271" t="s">
        <v>73</v>
      </c>
    </row>
    <row r="272" spans="1:8" x14ac:dyDescent="0.25">
      <c r="A272">
        <v>271</v>
      </c>
      <c r="B272" t="s">
        <v>405</v>
      </c>
      <c r="C272" t="s">
        <v>242</v>
      </c>
      <c r="D272" t="str">
        <f t="shared" si="10"/>
        <v/>
      </c>
      <c r="E272" t="str">
        <f t="shared" si="11"/>
        <v>good lovin'</v>
      </c>
      <c r="F272" t="s">
        <v>5810</v>
      </c>
      <c r="G272" t="str">
        <f>_xlfn.IFNA(VLOOKUP(F272,songs!$B$1:$C$1539, 2, FALSE),"")</f>
        <v>Good Lovin'</v>
      </c>
      <c r="H272" t="s">
        <v>242</v>
      </c>
    </row>
    <row r="273" spans="1:8" x14ac:dyDescent="0.25">
      <c r="A273">
        <v>272</v>
      </c>
      <c r="B273" t="s">
        <v>406</v>
      </c>
      <c r="C273" t="s">
        <v>215</v>
      </c>
      <c r="D273" t="str">
        <f t="shared" si="10"/>
        <v/>
      </c>
      <c r="E273" t="str">
        <f t="shared" si="11"/>
        <v>don't ease me in</v>
      </c>
      <c r="F273" t="s">
        <v>5513</v>
      </c>
      <c r="G273" t="str">
        <f>_xlfn.IFNA(VLOOKUP(F273,songs!$B$1:$C$1539, 2, FALSE),"")</f>
        <v>Don't Ease Me In</v>
      </c>
      <c r="H273" t="s">
        <v>215</v>
      </c>
    </row>
    <row r="274" spans="1:8" x14ac:dyDescent="0.25">
      <c r="A274">
        <v>284</v>
      </c>
      <c r="B274" t="s">
        <v>421</v>
      </c>
      <c r="C274" t="s">
        <v>422</v>
      </c>
      <c r="D274" t="str">
        <f t="shared" si="10"/>
        <v/>
      </c>
      <c r="E274" t="str">
        <f t="shared" si="11"/>
        <v>weather report suite (into)</v>
      </c>
      <c r="F274" t="s">
        <v>7825</v>
      </c>
      <c r="G274" t="s">
        <v>7879</v>
      </c>
      <c r="H274" t="s">
        <v>7867</v>
      </c>
    </row>
    <row r="275" spans="1:8" x14ac:dyDescent="0.25">
      <c r="A275">
        <v>228</v>
      </c>
      <c r="B275" t="s">
        <v>350</v>
      </c>
      <c r="C275" t="s">
        <v>351</v>
      </c>
      <c r="D275" t="str">
        <f t="shared" si="10"/>
        <v/>
      </c>
      <c r="E275" t="str">
        <f t="shared" si="11"/>
        <v>beer barrel polka</v>
      </c>
      <c r="F275" t="s">
        <v>7823</v>
      </c>
      <c r="G275" t="str">
        <f>_xlfn.IFNA(VLOOKUP(F275,songs!$B$1:$C$1539, 2, FALSE),"")</f>
        <v/>
      </c>
      <c r="H275" t="s">
        <v>7867</v>
      </c>
    </row>
    <row r="276" spans="1:8" x14ac:dyDescent="0.25">
      <c r="A276">
        <v>275</v>
      </c>
      <c r="B276" t="s">
        <v>411</v>
      </c>
      <c r="C276" t="s">
        <v>212</v>
      </c>
      <c r="D276" t="str">
        <f t="shared" si="10"/>
        <v/>
      </c>
      <c r="E276" t="str">
        <f t="shared" si="11"/>
        <v>morning dew</v>
      </c>
      <c r="F276" t="s">
        <v>6555</v>
      </c>
      <c r="G276" t="str">
        <f>_xlfn.IFNA(VLOOKUP(F276,songs!$B$1:$C$1539, 2, FALSE),"")</f>
        <v>Morning Dew</v>
      </c>
      <c r="H276" t="s">
        <v>212</v>
      </c>
    </row>
    <row r="277" spans="1:8" x14ac:dyDescent="0.25">
      <c r="A277">
        <v>276</v>
      </c>
      <c r="B277" t="s">
        <v>412</v>
      </c>
      <c r="C277" t="s">
        <v>186</v>
      </c>
      <c r="D277" t="str">
        <f t="shared" si="10"/>
        <v/>
      </c>
      <c r="E277" t="str">
        <f t="shared" si="11"/>
        <v>mexicali blues</v>
      </c>
      <c r="F277" t="s">
        <v>6499</v>
      </c>
      <c r="G277" t="str">
        <f>_xlfn.IFNA(VLOOKUP(F277,songs!$B$1:$C$1539, 2, FALSE),"")</f>
        <v>Mexicali Blues</v>
      </c>
      <c r="H277" t="s">
        <v>186</v>
      </c>
    </row>
    <row r="278" spans="1:8" x14ac:dyDescent="0.25">
      <c r="A278">
        <v>277</v>
      </c>
      <c r="B278" t="s">
        <v>413</v>
      </c>
      <c r="C278" t="s">
        <v>90</v>
      </c>
      <c r="D278" t="str">
        <f t="shared" si="10"/>
        <v/>
      </c>
      <c r="E278" t="str">
        <f t="shared" si="11"/>
        <v>dire wolf</v>
      </c>
      <c r="F278" t="s">
        <v>5497</v>
      </c>
      <c r="G278" t="str">
        <f>_xlfn.IFNA(VLOOKUP(F278,songs!$B$1:$C$1539, 2, FALSE),"")</f>
        <v>Dire Wolf</v>
      </c>
      <c r="H278" t="s">
        <v>90</v>
      </c>
    </row>
    <row r="279" spans="1:8" x14ac:dyDescent="0.25">
      <c r="A279">
        <v>628</v>
      </c>
      <c r="B279" t="s">
        <v>889</v>
      </c>
      <c r="C279" t="s">
        <v>351</v>
      </c>
      <c r="D279" t="str">
        <f t="shared" si="10"/>
        <v/>
      </c>
      <c r="E279" t="str">
        <f t="shared" si="11"/>
        <v>beer barrel polka</v>
      </c>
      <c r="F279" t="s">
        <v>7823</v>
      </c>
      <c r="G279" t="str">
        <f>_xlfn.IFNA(VLOOKUP(F279,songs!$B$1:$C$1539, 2, FALSE),"")</f>
        <v/>
      </c>
      <c r="H279" t="s">
        <v>7867</v>
      </c>
    </row>
    <row r="280" spans="1:8" x14ac:dyDescent="0.25">
      <c r="A280">
        <v>279</v>
      </c>
      <c r="B280" t="s">
        <v>415</v>
      </c>
      <c r="C280" t="s">
        <v>215</v>
      </c>
      <c r="D280" t="str">
        <f t="shared" si="10"/>
        <v/>
      </c>
      <c r="E280" t="str">
        <f t="shared" si="11"/>
        <v>don't ease me in</v>
      </c>
      <c r="F280" t="s">
        <v>5513</v>
      </c>
      <c r="G280" t="str">
        <f>_xlfn.IFNA(VLOOKUP(F280,songs!$B$1:$C$1539, 2, FALSE),"")</f>
        <v>Don't Ease Me In</v>
      </c>
      <c r="H280" t="s">
        <v>215</v>
      </c>
    </row>
    <row r="281" spans="1:8" x14ac:dyDescent="0.25">
      <c r="A281">
        <v>280</v>
      </c>
      <c r="B281" t="s">
        <v>416</v>
      </c>
      <c r="C281" t="s">
        <v>3</v>
      </c>
      <c r="D281" t="str">
        <f t="shared" si="10"/>
        <v/>
      </c>
      <c r="E281" t="str">
        <f t="shared" si="11"/>
        <v>big river</v>
      </c>
      <c r="F281" t="s">
        <v>5175</v>
      </c>
      <c r="G281" t="str">
        <f>_xlfn.IFNA(VLOOKUP(F281,songs!$B$1:$C$1539, 2, FALSE),"")</f>
        <v>Big River</v>
      </c>
      <c r="H281" t="s">
        <v>3</v>
      </c>
    </row>
    <row r="282" spans="1:8" x14ac:dyDescent="0.25">
      <c r="A282">
        <v>281</v>
      </c>
      <c r="B282" t="s">
        <v>417</v>
      </c>
      <c r="C282" t="s">
        <v>156</v>
      </c>
      <c r="D282" t="str">
        <f t="shared" si="10"/>
        <v/>
      </c>
      <c r="E282" t="str">
        <f t="shared" si="11"/>
        <v>they love each other</v>
      </c>
      <c r="F282" t="s">
        <v>7358</v>
      </c>
      <c r="G282" t="str">
        <f>_xlfn.IFNA(VLOOKUP(F282,songs!$B$1:$C$1539, 2, FALSE),"")</f>
        <v>They Love Each Other</v>
      </c>
      <c r="H282" t="s">
        <v>156</v>
      </c>
    </row>
    <row r="283" spans="1:8" x14ac:dyDescent="0.25">
      <c r="A283">
        <v>282</v>
      </c>
      <c r="B283" t="s">
        <v>418</v>
      </c>
      <c r="C283" t="s">
        <v>419</v>
      </c>
      <c r="D283" t="str">
        <f t="shared" si="10"/>
        <v/>
      </c>
      <c r="E283" t="str">
        <f t="shared" si="11"/>
        <v>playing in the band</v>
      </c>
      <c r="F283" t="s">
        <v>6769</v>
      </c>
      <c r="G283" t="str">
        <f>_xlfn.IFNA(VLOOKUP(F283,songs!$B$1:$C$1539, 2, FALSE),"")</f>
        <v>Playing In The Band</v>
      </c>
      <c r="H283" t="s">
        <v>419</v>
      </c>
    </row>
    <row r="284" spans="1:8" x14ac:dyDescent="0.25">
      <c r="A284">
        <v>283</v>
      </c>
      <c r="B284" t="s">
        <v>420</v>
      </c>
      <c r="C284" t="s">
        <v>1</v>
      </c>
      <c r="D284" t="str">
        <f t="shared" si="10"/>
        <v/>
      </c>
      <c r="E284" t="str">
        <f t="shared" si="11"/>
        <v>here comes sunshine</v>
      </c>
      <c r="F284" t="s">
        <v>5898</v>
      </c>
      <c r="G284" t="str">
        <f>_xlfn.IFNA(VLOOKUP(F284,songs!$B$1:$C$1539, 2, FALSE),"")</f>
        <v>Here Comes Sunshine</v>
      </c>
      <c r="H284" t="s">
        <v>1</v>
      </c>
    </row>
    <row r="285" spans="1:8" x14ac:dyDescent="0.25">
      <c r="A285">
        <v>285</v>
      </c>
      <c r="B285" t="s">
        <v>423</v>
      </c>
      <c r="C285" t="s">
        <v>424</v>
      </c>
      <c r="D285" t="str">
        <f t="shared" si="10"/>
        <v/>
      </c>
      <c r="E285" t="str">
        <f t="shared" si="11"/>
        <v>dark star jam (into)</v>
      </c>
      <c r="F285" t="s">
        <v>5428</v>
      </c>
      <c r="G285" t="str">
        <f>_xlfn.IFNA(VLOOKUP(F285,songs!$B$1:$C$1539, 2, FALSE),"")</f>
        <v>Dark Star</v>
      </c>
      <c r="H285" t="s">
        <v>7867</v>
      </c>
    </row>
    <row r="286" spans="1:8" x14ac:dyDescent="0.25">
      <c r="A286">
        <v>286</v>
      </c>
      <c r="B286" t="s">
        <v>425</v>
      </c>
      <c r="C286" t="s">
        <v>426</v>
      </c>
      <c r="D286" t="str">
        <f t="shared" si="10"/>
        <v/>
      </c>
      <c r="E286" t="str">
        <f t="shared" si="11"/>
        <v>eyes of the world (into)</v>
      </c>
      <c r="F286" t="s">
        <v>5633</v>
      </c>
      <c r="G286" t="str">
        <f>_xlfn.IFNA(VLOOKUP(F286,songs!$B$1:$C$1539, 2, FALSE),"")</f>
        <v>Eyes Of The World</v>
      </c>
      <c r="H286" t="s">
        <v>7867</v>
      </c>
    </row>
    <row r="287" spans="1:8" x14ac:dyDescent="0.25">
      <c r="A287">
        <v>290</v>
      </c>
      <c r="B287" t="s">
        <v>432</v>
      </c>
      <c r="C287" t="s">
        <v>433</v>
      </c>
      <c r="D287" t="str">
        <f t="shared" si="10"/>
        <v/>
      </c>
      <c r="E287" t="str">
        <f t="shared" si="11"/>
        <v>brown-eyed woman &amp; the merry-go-round broke down beer barrel polka</v>
      </c>
      <c r="F287" t="s">
        <v>5255</v>
      </c>
      <c r="G287" t="str">
        <f>_xlfn.IFNA(VLOOKUP(F287,songs!$B$1:$C$1539, 2, FALSE),"")</f>
        <v>Brown Eyed Women</v>
      </c>
      <c r="H287" t="s">
        <v>7867</v>
      </c>
    </row>
    <row r="288" spans="1:8" x14ac:dyDescent="0.25">
      <c r="A288">
        <v>287</v>
      </c>
      <c r="B288" t="s">
        <v>427</v>
      </c>
      <c r="C288" t="s">
        <v>30</v>
      </c>
      <c r="D288" t="str">
        <f t="shared" si="10"/>
        <v/>
      </c>
      <c r="E288" t="str">
        <f t="shared" si="11"/>
        <v>sugar magnolia</v>
      </c>
      <c r="F288" t="s">
        <v>7150</v>
      </c>
      <c r="G288" t="str">
        <f>_xlfn.IFNA(VLOOKUP(F288,songs!$B$1:$C$1539, 2, FALSE),"")</f>
        <v>Sugar Magnolia</v>
      </c>
      <c r="H288" t="s">
        <v>30</v>
      </c>
    </row>
    <row r="289" spans="1:8" x14ac:dyDescent="0.25">
      <c r="A289">
        <v>288</v>
      </c>
      <c r="B289" t="s">
        <v>428</v>
      </c>
      <c r="C289" t="s">
        <v>429</v>
      </c>
      <c r="D289" t="str">
        <f t="shared" si="10"/>
        <v/>
      </c>
      <c r="E289" t="str">
        <f t="shared" si="11"/>
        <v>cold rain and snow</v>
      </c>
      <c r="F289" t="s">
        <v>5347</v>
      </c>
      <c r="G289" t="str">
        <f>_xlfn.IFNA(VLOOKUP(F289,songs!$B$1:$C$1539, 2, FALSE),"")</f>
        <v>Cold Rain And Snow</v>
      </c>
      <c r="H289" t="s">
        <v>429</v>
      </c>
    </row>
    <row r="290" spans="1:8" x14ac:dyDescent="0.25">
      <c r="A290">
        <v>289</v>
      </c>
      <c r="B290" t="s">
        <v>430</v>
      </c>
      <c r="C290" t="s">
        <v>431</v>
      </c>
      <c r="D290" t="str">
        <f t="shared" si="10"/>
        <v/>
      </c>
      <c r="E290" t="str">
        <f t="shared" si="11"/>
        <v>beat it on down the line</v>
      </c>
      <c r="F290" t="s">
        <v>5149</v>
      </c>
      <c r="G290" t="str">
        <f>_xlfn.IFNA(VLOOKUP(F290,songs!$B$1:$C$1539, 2, FALSE),"")</f>
        <v>Beat It On Down The Line</v>
      </c>
      <c r="H290" t="s">
        <v>431</v>
      </c>
    </row>
    <row r="291" spans="1:8" x14ac:dyDescent="0.25">
      <c r="A291">
        <v>293</v>
      </c>
      <c r="B291" t="s">
        <v>437</v>
      </c>
      <c r="C291" t="s">
        <v>7</v>
      </c>
      <c r="D291" t="str">
        <f t="shared" si="10"/>
        <v/>
      </c>
      <c r="E291" t="str">
        <f t="shared" si="11"/>
        <v>weather report suite</v>
      </c>
      <c r="F291" t="s">
        <v>7658</v>
      </c>
      <c r="G291" t="str">
        <f>_xlfn.IFNA(VLOOKUP(F291,songs!$B$1:$C$1539, 2, FALSE),"")</f>
        <v>Weather Report Suite Prelude &gt; Weather Report Suite Part 1</v>
      </c>
      <c r="H291" t="s">
        <v>7867</v>
      </c>
    </row>
    <row r="292" spans="1:8" x14ac:dyDescent="0.25">
      <c r="A292">
        <v>291</v>
      </c>
      <c r="B292" t="s">
        <v>434</v>
      </c>
      <c r="C292" t="s">
        <v>199</v>
      </c>
      <c r="D292" t="str">
        <f t="shared" si="10"/>
        <v/>
      </c>
      <c r="E292" t="str">
        <f t="shared" si="11"/>
        <v>jack straw</v>
      </c>
      <c r="F292" t="s">
        <v>6161</v>
      </c>
      <c r="G292" t="str">
        <f>_xlfn.IFNA(VLOOKUP(F292,songs!$B$1:$C$1539, 2, FALSE),"")</f>
        <v>Jack Straw</v>
      </c>
      <c r="H292" t="s">
        <v>199</v>
      </c>
    </row>
    <row r="293" spans="1:8" x14ac:dyDescent="0.25">
      <c r="A293">
        <v>292</v>
      </c>
      <c r="B293" t="s">
        <v>435</v>
      </c>
      <c r="C293" t="s">
        <v>436</v>
      </c>
      <c r="D293" t="str">
        <f t="shared" si="10"/>
        <v/>
      </c>
      <c r="E293" t="str">
        <f t="shared" si="11"/>
        <v>ramble on rose</v>
      </c>
      <c r="F293" t="s">
        <v>6827</v>
      </c>
      <c r="G293" t="str">
        <f>_xlfn.IFNA(VLOOKUP(F293,songs!$B$1:$C$1539, 2, FALSE),"")</f>
        <v>Ramble On Rose</v>
      </c>
      <c r="H293" t="s">
        <v>436</v>
      </c>
    </row>
    <row r="294" spans="1:8" x14ac:dyDescent="0.25">
      <c r="A294">
        <v>294</v>
      </c>
      <c r="B294" t="s">
        <v>438</v>
      </c>
      <c r="C294" t="s">
        <v>439</v>
      </c>
      <c r="D294" t="str">
        <f t="shared" si="10"/>
        <v/>
      </c>
      <c r="E294" t="str">
        <f t="shared" si="11"/>
        <v>wharf rat (into)</v>
      </c>
      <c r="F294" t="s">
        <v>7664</v>
      </c>
      <c r="G294" t="str">
        <f>_xlfn.IFNA(VLOOKUP(F294,songs!$B$1:$C$1539, 2, FALSE),"")</f>
        <v>Wharf Rat</v>
      </c>
      <c r="H294" t="s">
        <v>7867</v>
      </c>
    </row>
    <row r="295" spans="1:8" x14ac:dyDescent="0.25">
      <c r="A295">
        <v>295</v>
      </c>
      <c r="B295" t="s">
        <v>440</v>
      </c>
      <c r="C295" t="s">
        <v>441</v>
      </c>
      <c r="D295" t="str">
        <f t="shared" si="10"/>
        <v/>
      </c>
      <c r="E295" t="str">
        <f t="shared" si="11"/>
        <v>mississippi half-step uptown toodeloo (into...)</v>
      </c>
      <c r="F295" t="s">
        <v>6531</v>
      </c>
      <c r="G295" t="str">
        <f>_xlfn.IFNA(VLOOKUP(F295,songs!$B$1:$C$1539, 2, FALSE),"")</f>
        <v>Mississippi Half-Step Uptown Toodeloo</v>
      </c>
      <c r="H295" t="s">
        <v>7867</v>
      </c>
    </row>
    <row r="296" spans="1:8" x14ac:dyDescent="0.25">
      <c r="A296">
        <v>296</v>
      </c>
      <c r="B296" t="s">
        <v>442</v>
      </c>
      <c r="C296" t="s">
        <v>443</v>
      </c>
      <c r="D296" t="str">
        <f t="shared" si="10"/>
        <v/>
      </c>
      <c r="E296" t="str">
        <f t="shared" si="11"/>
        <v>playing in the band (into)</v>
      </c>
      <c r="F296" t="s">
        <v>6769</v>
      </c>
      <c r="G296" t="str">
        <f>_xlfn.IFNA(VLOOKUP(F296,songs!$B$1:$C$1539, 2, FALSE),"")</f>
        <v>Playing In The Band</v>
      </c>
      <c r="H296" t="s">
        <v>7867</v>
      </c>
    </row>
    <row r="297" spans="1:8" x14ac:dyDescent="0.25">
      <c r="A297">
        <v>297</v>
      </c>
      <c r="B297" t="s">
        <v>444</v>
      </c>
      <c r="C297" t="s">
        <v>445</v>
      </c>
      <c r="D297" t="str">
        <f t="shared" si="10"/>
        <v/>
      </c>
      <c r="E297" t="str">
        <f t="shared" si="11"/>
        <v>jam (into)</v>
      </c>
      <c r="F297" t="s">
        <v>6165</v>
      </c>
      <c r="G297" t="str">
        <f>_xlfn.IFNA(VLOOKUP(F297,songs!$B$1:$C$1539, 2, FALSE),"")</f>
        <v>Jam</v>
      </c>
      <c r="H297" t="s">
        <v>7867</v>
      </c>
    </row>
    <row r="298" spans="1:8" x14ac:dyDescent="0.25">
      <c r="A298">
        <v>298</v>
      </c>
      <c r="B298" t="s">
        <v>446</v>
      </c>
      <c r="C298" t="s">
        <v>447</v>
      </c>
      <c r="D298" t="str">
        <f t="shared" si="10"/>
        <v/>
      </c>
      <c r="E298" t="str">
        <f t="shared" si="11"/>
        <v>he's gone (into)</v>
      </c>
      <c r="F298" t="s">
        <v>5903</v>
      </c>
      <c r="G298" t="str">
        <f>_xlfn.IFNA(VLOOKUP(F298,songs!$B$1:$C$1539, 2, FALSE),"")</f>
        <v>He's Gone</v>
      </c>
      <c r="H298" t="s">
        <v>7867</v>
      </c>
    </row>
    <row r="299" spans="1:8" x14ac:dyDescent="0.25">
      <c r="A299">
        <v>299</v>
      </c>
      <c r="B299" t="s">
        <v>448</v>
      </c>
      <c r="C299" t="s">
        <v>449</v>
      </c>
      <c r="D299" t="str">
        <f t="shared" si="10"/>
        <v/>
      </c>
      <c r="E299" t="str">
        <f t="shared" si="11"/>
        <v>truckin' (into)</v>
      </c>
      <c r="F299" t="s">
        <v>7436</v>
      </c>
      <c r="G299" t="str">
        <f>_xlfn.IFNA(VLOOKUP(F299,songs!$B$1:$C$1539, 2, FALSE),"")</f>
        <v>Truckin'</v>
      </c>
      <c r="H299" t="s">
        <v>7867</v>
      </c>
    </row>
    <row r="300" spans="1:8" x14ac:dyDescent="0.25">
      <c r="A300">
        <v>305</v>
      </c>
      <c r="B300" t="s">
        <v>456</v>
      </c>
      <c r="C300" t="s">
        <v>102</v>
      </c>
      <c r="D300" t="str">
        <f t="shared" si="10"/>
        <v/>
      </c>
      <c r="E300" t="str">
        <f t="shared" si="11"/>
        <v>me &amp; my uncle</v>
      </c>
      <c r="F300" t="s">
        <v>6486</v>
      </c>
      <c r="G300" t="str">
        <f>_xlfn.IFNA(VLOOKUP(F300,songs!$B$1:$C$1539, 2, FALSE),"")</f>
        <v>Me And My Uncle</v>
      </c>
      <c r="H300" t="s">
        <v>7867</v>
      </c>
    </row>
    <row r="301" spans="1:8" x14ac:dyDescent="0.25">
      <c r="A301">
        <v>300</v>
      </c>
      <c r="B301" t="s">
        <v>450</v>
      </c>
      <c r="C301" t="s">
        <v>24</v>
      </c>
      <c r="D301" t="str">
        <f t="shared" si="10"/>
        <v/>
      </c>
      <c r="E301" t="str">
        <f t="shared" si="11"/>
        <v>stella blue</v>
      </c>
      <c r="F301" t="s">
        <v>7123</v>
      </c>
      <c r="G301" t="str">
        <f>_xlfn.IFNA(VLOOKUP(F301,songs!$B$1:$C$1539, 2, FALSE),"")</f>
        <v>Stella Blue</v>
      </c>
      <c r="H301" t="s">
        <v>24</v>
      </c>
    </row>
    <row r="302" spans="1:8" x14ac:dyDescent="0.25">
      <c r="A302">
        <v>301</v>
      </c>
      <c r="B302" t="s">
        <v>451</v>
      </c>
      <c r="C302" t="s">
        <v>212</v>
      </c>
      <c r="D302" t="str">
        <f t="shared" si="10"/>
        <v/>
      </c>
      <c r="E302" t="str">
        <f t="shared" si="11"/>
        <v>morning dew</v>
      </c>
      <c r="F302" t="s">
        <v>6555</v>
      </c>
      <c r="G302" t="str">
        <f>_xlfn.IFNA(VLOOKUP(F302,songs!$B$1:$C$1539, 2, FALSE),"")</f>
        <v>Morning Dew</v>
      </c>
      <c r="H302" t="s">
        <v>212</v>
      </c>
    </row>
    <row r="303" spans="1:8" x14ac:dyDescent="0.25">
      <c r="A303">
        <v>309</v>
      </c>
      <c r="B303" t="s">
        <v>462</v>
      </c>
      <c r="C303" t="s">
        <v>122</v>
      </c>
      <c r="D303" t="str">
        <f t="shared" si="10"/>
        <v/>
      </c>
      <c r="E303" t="str">
        <f t="shared" si="11"/>
        <v>new minglewood blues</v>
      </c>
      <c r="F303" t="s">
        <v>7869</v>
      </c>
      <c r="G303" t="str">
        <f>_xlfn.IFNA(VLOOKUP(F303,songs!$B$1:$C$1539, 2, FALSE),"")</f>
        <v>Minglewood Blues</v>
      </c>
      <c r="H303" t="s">
        <v>7867</v>
      </c>
    </row>
    <row r="304" spans="1:8" x14ac:dyDescent="0.25">
      <c r="A304">
        <v>303</v>
      </c>
      <c r="B304" t="s">
        <v>454</v>
      </c>
      <c r="C304" t="s">
        <v>130</v>
      </c>
      <c r="D304" t="str">
        <f t="shared" si="10"/>
        <v/>
      </c>
      <c r="E304" t="str">
        <f t="shared" si="11"/>
        <v>promised land</v>
      </c>
      <c r="F304" t="s">
        <v>6797</v>
      </c>
      <c r="G304" t="str">
        <f>_xlfn.IFNA(VLOOKUP(F304,songs!$B$1:$C$1539, 2, FALSE),"")</f>
        <v>Promised Land</v>
      </c>
      <c r="H304" t="s">
        <v>130</v>
      </c>
    </row>
    <row r="305" spans="1:8" x14ac:dyDescent="0.25">
      <c r="A305">
        <v>304</v>
      </c>
      <c r="B305" t="s">
        <v>455</v>
      </c>
      <c r="C305" t="s">
        <v>156</v>
      </c>
      <c r="D305" t="str">
        <f t="shared" si="10"/>
        <v/>
      </c>
      <c r="E305" t="str">
        <f t="shared" si="11"/>
        <v>they love each other</v>
      </c>
      <c r="F305" t="s">
        <v>7358</v>
      </c>
      <c r="G305" t="str">
        <f>_xlfn.IFNA(VLOOKUP(F305,songs!$B$1:$C$1539, 2, FALSE),"")</f>
        <v>They Love Each Other</v>
      </c>
      <c r="H305" t="s">
        <v>156</v>
      </c>
    </row>
    <row r="306" spans="1:8" x14ac:dyDescent="0.25">
      <c r="A306">
        <v>317</v>
      </c>
      <c r="B306" t="s">
        <v>472</v>
      </c>
      <c r="C306" t="s">
        <v>473</v>
      </c>
      <c r="D306" t="str">
        <f t="shared" si="10"/>
        <v/>
      </c>
      <c r="E306" t="str">
        <f t="shared" si="11"/>
        <v>samson &amp; delilah</v>
      </c>
      <c r="F306" t="s">
        <v>6925</v>
      </c>
      <c r="G306" t="str">
        <f>_xlfn.IFNA(VLOOKUP(F306,songs!$B$1:$C$1539, 2, FALSE),"")</f>
        <v>Samson And Delilah</v>
      </c>
      <c r="H306" t="s">
        <v>7867</v>
      </c>
    </row>
    <row r="307" spans="1:8" x14ac:dyDescent="0.25">
      <c r="A307">
        <v>306</v>
      </c>
      <c r="B307" t="s">
        <v>457</v>
      </c>
      <c r="C307" t="s">
        <v>458</v>
      </c>
      <c r="D307" t="str">
        <f t="shared" si="10"/>
        <v/>
      </c>
      <c r="E307" t="str">
        <f t="shared" si="11"/>
        <v>mississippi half-step uptown toodeloo</v>
      </c>
      <c r="F307" t="s">
        <v>6531</v>
      </c>
      <c r="G307" t="str">
        <f>_xlfn.IFNA(VLOOKUP(F307,songs!$B$1:$C$1539, 2, FALSE),"")</f>
        <v>Mississippi Half-Step Uptown Toodeloo</v>
      </c>
      <c r="H307" t="s">
        <v>458</v>
      </c>
    </row>
    <row r="308" spans="1:8" x14ac:dyDescent="0.25">
      <c r="A308">
        <v>307</v>
      </c>
      <c r="B308" t="s">
        <v>459</v>
      </c>
      <c r="C308" t="s">
        <v>126</v>
      </c>
      <c r="D308" t="str">
        <f t="shared" si="10"/>
        <v/>
      </c>
      <c r="E308" t="str">
        <f t="shared" si="11"/>
        <v>looks like rain</v>
      </c>
      <c r="F308" t="s">
        <v>6398</v>
      </c>
      <c r="G308" t="str">
        <f>_xlfn.IFNA(VLOOKUP(F308,songs!$B$1:$C$1539, 2, FALSE),"")</f>
        <v>Looks Like Rain</v>
      </c>
      <c r="H308" t="s">
        <v>126</v>
      </c>
    </row>
    <row r="309" spans="1:8" x14ac:dyDescent="0.25">
      <c r="A309">
        <v>308</v>
      </c>
      <c r="B309" t="s">
        <v>460</v>
      </c>
      <c r="C309" t="s">
        <v>461</v>
      </c>
      <c r="D309" t="str">
        <f t="shared" si="10"/>
        <v/>
      </c>
      <c r="E309" t="str">
        <f t="shared" si="11"/>
        <v>peggy-o</v>
      </c>
      <c r="F309" t="s">
        <v>6749</v>
      </c>
      <c r="G309" t="str">
        <f>_xlfn.IFNA(VLOOKUP(F309,songs!$B$1:$C$1539, 2, FALSE),"")</f>
        <v>Peggy-O</v>
      </c>
      <c r="H309" t="s">
        <v>461</v>
      </c>
    </row>
    <row r="310" spans="1:8" x14ac:dyDescent="0.25">
      <c r="A310">
        <v>335</v>
      </c>
      <c r="B310" t="s">
        <v>493</v>
      </c>
      <c r="C310" t="s">
        <v>494</v>
      </c>
      <c r="D310" t="str">
        <f t="shared" si="10"/>
        <v/>
      </c>
      <c r="E310" t="str">
        <f t="shared" si="11"/>
        <v>uncle john's band jam</v>
      </c>
      <c r="F310" t="s">
        <v>7466</v>
      </c>
      <c r="G310" t="str">
        <f>_xlfn.IFNA(VLOOKUP(F310,songs!$B$1:$C$1539, 2, FALSE),"")</f>
        <v>Uncle John's Band</v>
      </c>
      <c r="H310" t="s">
        <v>7867</v>
      </c>
    </row>
    <row r="311" spans="1:8" x14ac:dyDescent="0.25">
      <c r="A311">
        <v>310</v>
      </c>
      <c r="B311" t="s">
        <v>463</v>
      </c>
      <c r="C311" t="s">
        <v>464</v>
      </c>
      <c r="D311" t="str">
        <f t="shared" si="10"/>
        <v/>
      </c>
      <c r="E311" t="str">
        <f t="shared" si="11"/>
        <v>friend of the devil</v>
      </c>
      <c r="F311" t="s">
        <v>5721</v>
      </c>
      <c r="G311" t="str">
        <f>_xlfn.IFNA(VLOOKUP(F311,songs!$B$1:$C$1539, 2, FALSE),"")</f>
        <v>Friend Of The Devil</v>
      </c>
      <c r="H311" t="s">
        <v>464</v>
      </c>
    </row>
    <row r="312" spans="1:8" x14ac:dyDescent="0.25">
      <c r="A312">
        <v>311</v>
      </c>
      <c r="B312" t="s">
        <v>465</v>
      </c>
      <c r="C312" t="s">
        <v>49</v>
      </c>
      <c r="D312" t="str">
        <f t="shared" si="10"/>
        <v/>
      </c>
      <c r="E312" t="str">
        <f t="shared" si="11"/>
        <v>the music never stopped</v>
      </c>
      <c r="F312" t="s">
        <v>7316</v>
      </c>
      <c r="G312" t="str">
        <f>_xlfn.IFNA(VLOOKUP(F312,songs!$B$1:$C$1539, 2, FALSE),"")</f>
        <v>The Music Never Stopped</v>
      </c>
      <c r="H312" t="s">
        <v>49</v>
      </c>
    </row>
    <row r="313" spans="1:8" x14ac:dyDescent="0.25">
      <c r="A313">
        <v>312</v>
      </c>
      <c r="B313" t="s">
        <v>466</v>
      </c>
      <c r="C313" t="s">
        <v>298</v>
      </c>
      <c r="D313" t="str">
        <f t="shared" si="10"/>
        <v/>
      </c>
      <c r="E313" t="str">
        <f t="shared" si="11"/>
        <v>bertha</v>
      </c>
      <c r="F313" t="s">
        <v>5158</v>
      </c>
      <c r="G313" t="str">
        <f>_xlfn.IFNA(VLOOKUP(F313,songs!$B$1:$C$1539, 2, FALSE),"")</f>
        <v>Bertha</v>
      </c>
      <c r="H313" t="s">
        <v>298</v>
      </c>
    </row>
    <row r="314" spans="1:8" x14ac:dyDescent="0.25">
      <c r="A314">
        <v>313</v>
      </c>
      <c r="B314" t="s">
        <v>467</v>
      </c>
      <c r="C314" t="s">
        <v>242</v>
      </c>
      <c r="D314" t="str">
        <f t="shared" si="10"/>
        <v/>
      </c>
      <c r="E314" t="str">
        <f t="shared" si="11"/>
        <v>good lovin'</v>
      </c>
      <c r="F314" t="s">
        <v>5810</v>
      </c>
      <c r="G314" t="str">
        <f>_xlfn.IFNA(VLOOKUP(F314,songs!$B$1:$C$1539, 2, FALSE),"")</f>
        <v>Good Lovin'</v>
      </c>
      <c r="H314" t="s">
        <v>242</v>
      </c>
    </row>
    <row r="315" spans="1:8" x14ac:dyDescent="0.25">
      <c r="A315">
        <v>314</v>
      </c>
      <c r="B315" t="s">
        <v>468</v>
      </c>
      <c r="C315" t="s">
        <v>291</v>
      </c>
      <c r="D315" t="str">
        <f t="shared" si="10"/>
        <v/>
      </c>
      <c r="E315" t="str">
        <f t="shared" si="11"/>
        <v>loser</v>
      </c>
      <c r="F315" t="s">
        <v>6400</v>
      </c>
      <c r="G315" t="str">
        <f>_xlfn.IFNA(VLOOKUP(F315,songs!$B$1:$C$1539, 2, FALSE),"")</f>
        <v>Loser</v>
      </c>
      <c r="H315" t="s">
        <v>291</v>
      </c>
    </row>
    <row r="316" spans="1:8" x14ac:dyDescent="0.25">
      <c r="A316">
        <v>315</v>
      </c>
      <c r="B316" t="s">
        <v>469</v>
      </c>
      <c r="C316" t="s">
        <v>69</v>
      </c>
      <c r="D316" t="str">
        <f t="shared" si="10"/>
        <v/>
      </c>
      <c r="E316" t="str">
        <f t="shared" si="11"/>
        <v>estimated prophet</v>
      </c>
      <c r="F316" t="s">
        <v>5612</v>
      </c>
      <c r="G316" t="str">
        <f>_xlfn.IFNA(VLOOKUP(F316,songs!$B$1:$C$1539, 2, FALSE),"")</f>
        <v>Estimated Prophet</v>
      </c>
      <c r="H316" t="s">
        <v>69</v>
      </c>
    </row>
    <row r="317" spans="1:8" x14ac:dyDescent="0.25">
      <c r="A317">
        <v>316</v>
      </c>
      <c r="B317" t="s">
        <v>470</v>
      </c>
      <c r="C317" t="s">
        <v>471</v>
      </c>
      <c r="D317" t="str">
        <f t="shared" si="10"/>
        <v/>
      </c>
      <c r="E317" t="str">
        <f t="shared" si="11"/>
        <v>eyes of the world</v>
      </c>
      <c r="F317" t="s">
        <v>5633</v>
      </c>
      <c r="G317" t="str">
        <f>_xlfn.IFNA(VLOOKUP(F317,songs!$B$1:$C$1539, 2, FALSE),"")</f>
        <v>Eyes Of The World</v>
      </c>
      <c r="H317" t="s">
        <v>471</v>
      </c>
    </row>
    <row r="318" spans="1:8" x14ac:dyDescent="0.25">
      <c r="A318">
        <v>337</v>
      </c>
      <c r="B318" t="s">
        <v>496</v>
      </c>
      <c r="C318" t="s">
        <v>32</v>
      </c>
      <c r="D318" t="str">
        <f t="shared" si="10"/>
        <v/>
      </c>
      <c r="E318" t="str">
        <f t="shared" si="11"/>
        <v>st. stephen</v>
      </c>
      <c r="F318" t="s">
        <v>6910</v>
      </c>
      <c r="G318" t="str">
        <f>_xlfn.IFNA(VLOOKUP(F318,songs!$B$1:$C$1539, 2, FALSE),"")</f>
        <v>Saint Stephen</v>
      </c>
      <c r="H318" t="s">
        <v>7867</v>
      </c>
    </row>
    <row r="319" spans="1:8" x14ac:dyDescent="0.25">
      <c r="A319">
        <v>318</v>
      </c>
      <c r="B319" t="s">
        <v>474</v>
      </c>
      <c r="C319" t="s">
        <v>13</v>
      </c>
      <c r="D319" t="str">
        <f t="shared" si="10"/>
        <v/>
      </c>
      <c r="E319" t="str">
        <f t="shared" si="11"/>
        <v>he's gone</v>
      </c>
      <c r="F319" t="s">
        <v>5903</v>
      </c>
      <c r="G319" t="str">
        <f>_xlfn.IFNA(VLOOKUP(F319,songs!$B$1:$C$1539, 2, FALSE),"")</f>
        <v>He's Gone</v>
      </c>
      <c r="H319" t="s">
        <v>13</v>
      </c>
    </row>
    <row r="320" spans="1:8" x14ac:dyDescent="0.25">
      <c r="A320">
        <v>319</v>
      </c>
      <c r="B320" t="s">
        <v>475</v>
      </c>
      <c r="C320" t="s">
        <v>34</v>
      </c>
      <c r="D320" t="str">
        <f t="shared" si="10"/>
        <v/>
      </c>
      <c r="E320" t="str">
        <f t="shared" si="11"/>
        <v>not fade away</v>
      </c>
      <c r="F320" t="s">
        <v>6651</v>
      </c>
      <c r="G320" t="str">
        <f>_xlfn.IFNA(VLOOKUP(F320,songs!$B$1:$C$1539, 2, FALSE),"")</f>
        <v>Not Fade Away</v>
      </c>
      <c r="H320" t="s">
        <v>34</v>
      </c>
    </row>
    <row r="321" spans="1:8" x14ac:dyDescent="0.25">
      <c r="A321">
        <v>320</v>
      </c>
      <c r="B321" t="s">
        <v>476</v>
      </c>
      <c r="C321" t="s">
        <v>15</v>
      </c>
      <c r="D321" t="str">
        <f t="shared" si="10"/>
        <v/>
      </c>
      <c r="E321" t="str">
        <f t="shared" si="11"/>
        <v>truckin'</v>
      </c>
      <c r="F321" t="s">
        <v>7436</v>
      </c>
      <c r="G321" t="str">
        <f>_xlfn.IFNA(VLOOKUP(F321,songs!$B$1:$C$1539, 2, FALSE),"")</f>
        <v>Truckin'</v>
      </c>
      <c r="H321" t="s">
        <v>15</v>
      </c>
    </row>
    <row r="322" spans="1:8" x14ac:dyDescent="0.25">
      <c r="A322">
        <v>321</v>
      </c>
      <c r="B322" t="s">
        <v>477</v>
      </c>
      <c r="C322" t="s">
        <v>75</v>
      </c>
      <c r="D322" t="str">
        <f t="shared" si="10"/>
        <v/>
      </c>
      <c r="E322" t="str">
        <f t="shared" si="11"/>
        <v>terrapin station</v>
      </c>
      <c r="F322" t="s">
        <v>7237</v>
      </c>
      <c r="G322" t="str">
        <f>_xlfn.IFNA(VLOOKUP(F322,songs!$B$1:$C$1539, 2, FALSE),"")</f>
        <v>Terrapin Station</v>
      </c>
      <c r="H322" t="s">
        <v>75</v>
      </c>
    </row>
    <row r="323" spans="1:8" x14ac:dyDescent="0.25">
      <c r="A323">
        <v>322</v>
      </c>
      <c r="B323" t="s">
        <v>478</v>
      </c>
      <c r="C323" t="s">
        <v>479</v>
      </c>
      <c r="D323" t="str">
        <f t="shared" si="10"/>
        <v/>
      </c>
      <c r="E323" t="str">
        <f t="shared" si="11"/>
        <v>good morning little schoolgirl</v>
      </c>
      <c r="F323" t="s">
        <v>5811</v>
      </c>
      <c r="G323" t="str">
        <f>_xlfn.IFNA(VLOOKUP(F323,songs!$B$1:$C$1539, 2, FALSE),"")</f>
        <v>Good Morning Little Schoolgirl</v>
      </c>
      <c r="H323" t="s">
        <v>479</v>
      </c>
    </row>
    <row r="324" spans="1:8" x14ac:dyDescent="0.25">
      <c r="A324">
        <v>323</v>
      </c>
      <c r="B324" t="s">
        <v>480</v>
      </c>
      <c r="C324" t="s">
        <v>81</v>
      </c>
      <c r="D324" t="str">
        <f t="shared" ref="D324:D387" si="12">IF(RIGHT(TRIM(C324),2)="-&gt;","&gt;",IF(RIGHT(TRIM(C324),1)="&gt;","&gt;",""))</f>
        <v/>
      </c>
      <c r="E324" t="str">
        <f t="shared" ref="E324:E387" si="13">LOWER(TRIM(SUBSTITUTE(IF(RIGHT(TRIM(C324),2)="-&gt;",LEFT(TRIM(C324),LEN(TRIM(C324))-2),IF(RIGHT(TRIM(C324),1)="&gt;",LEFT(TRIM(C324),LEN(TRIM(C324))-1),C324)),"//","")))</f>
        <v>casey jones</v>
      </c>
      <c r="F324" t="s">
        <v>5290</v>
      </c>
      <c r="G324" t="str">
        <f>_xlfn.IFNA(VLOOKUP(F324,songs!$B$1:$C$1539, 2, FALSE),"")</f>
        <v>Casey Jones</v>
      </c>
      <c r="H324" t="s">
        <v>81</v>
      </c>
    </row>
    <row r="325" spans="1:8" x14ac:dyDescent="0.25">
      <c r="A325">
        <v>324</v>
      </c>
      <c r="B325" t="s">
        <v>481</v>
      </c>
      <c r="C325" t="s">
        <v>90</v>
      </c>
      <c r="D325" t="str">
        <f t="shared" si="12"/>
        <v/>
      </c>
      <c r="E325" t="str">
        <f t="shared" si="13"/>
        <v>dire wolf</v>
      </c>
      <c r="F325" t="s">
        <v>5497</v>
      </c>
      <c r="G325" t="str">
        <f>_xlfn.IFNA(VLOOKUP(F325,songs!$B$1:$C$1539, 2, FALSE),"")</f>
        <v>Dire Wolf</v>
      </c>
      <c r="H325" t="s">
        <v>90</v>
      </c>
    </row>
    <row r="326" spans="1:8" x14ac:dyDescent="0.25">
      <c r="A326">
        <v>325</v>
      </c>
      <c r="B326" t="s">
        <v>482</v>
      </c>
      <c r="C326" t="s">
        <v>483</v>
      </c>
      <c r="D326" t="str">
        <f t="shared" si="12"/>
        <v/>
      </c>
      <c r="E326" t="str">
        <f t="shared" si="13"/>
        <v>easy wind</v>
      </c>
      <c r="F326" t="s">
        <v>5587</v>
      </c>
      <c r="G326" t="str">
        <f>_xlfn.IFNA(VLOOKUP(F326,songs!$B$1:$C$1539, 2, FALSE),"")</f>
        <v>Easy Wind</v>
      </c>
      <c r="H326" t="s">
        <v>483</v>
      </c>
    </row>
    <row r="327" spans="1:8" x14ac:dyDescent="0.25">
      <c r="A327">
        <v>326</v>
      </c>
      <c r="B327" t="s">
        <v>484</v>
      </c>
      <c r="C327" t="s">
        <v>84</v>
      </c>
      <c r="D327" t="str">
        <f t="shared" si="12"/>
        <v/>
      </c>
      <c r="E327" t="str">
        <f t="shared" si="13"/>
        <v>china cat sunflower</v>
      </c>
      <c r="F327" t="s">
        <v>5319</v>
      </c>
      <c r="G327" t="str">
        <f>_xlfn.IFNA(VLOOKUP(F327,songs!$B$1:$C$1539, 2, FALSE),"")</f>
        <v>China Cat Sunflower</v>
      </c>
      <c r="H327" t="s">
        <v>84</v>
      </c>
    </row>
    <row r="328" spans="1:8" x14ac:dyDescent="0.25">
      <c r="A328">
        <v>327</v>
      </c>
      <c r="B328" t="s">
        <v>485</v>
      </c>
      <c r="C328" t="s">
        <v>86</v>
      </c>
      <c r="D328" t="str">
        <f t="shared" si="12"/>
        <v/>
      </c>
      <c r="E328" t="str">
        <f t="shared" si="13"/>
        <v>i know you rider</v>
      </c>
      <c r="F328" t="s">
        <v>6020</v>
      </c>
      <c r="G328" t="str">
        <f>_xlfn.IFNA(VLOOKUP(F328,songs!$B$1:$C$1539, 2, FALSE),"")</f>
        <v>I Know You Rider</v>
      </c>
      <c r="H328" t="s">
        <v>86</v>
      </c>
    </row>
    <row r="329" spans="1:8" x14ac:dyDescent="0.25">
      <c r="A329">
        <v>328</v>
      </c>
      <c r="B329" t="s">
        <v>486</v>
      </c>
      <c r="C329" t="s">
        <v>88</v>
      </c>
      <c r="D329" t="str">
        <f t="shared" si="12"/>
        <v/>
      </c>
      <c r="E329" t="str">
        <f t="shared" si="13"/>
        <v>high time</v>
      </c>
      <c r="F329" t="s">
        <v>5920</v>
      </c>
      <c r="G329" t="str">
        <f>_xlfn.IFNA(VLOOKUP(F329,songs!$B$1:$C$1539, 2, FALSE),"")</f>
        <v>High Time</v>
      </c>
      <c r="H329" t="s">
        <v>88</v>
      </c>
    </row>
    <row r="330" spans="1:8" x14ac:dyDescent="0.25">
      <c r="A330">
        <v>329</v>
      </c>
      <c r="B330" t="s">
        <v>487</v>
      </c>
      <c r="C330" t="s">
        <v>158</v>
      </c>
      <c r="D330" t="str">
        <f t="shared" si="12"/>
        <v/>
      </c>
      <c r="E330" t="str">
        <f t="shared" si="13"/>
        <v>mama tried</v>
      </c>
      <c r="F330" t="s">
        <v>6454</v>
      </c>
      <c r="G330" t="str">
        <f>_xlfn.IFNA(VLOOKUP(F330,songs!$B$1:$C$1539, 2, FALSE),"")</f>
        <v>Mama Tried</v>
      </c>
      <c r="H330" t="s">
        <v>158</v>
      </c>
    </row>
    <row r="331" spans="1:8" x14ac:dyDescent="0.25">
      <c r="A331">
        <v>330</v>
      </c>
      <c r="B331" t="s">
        <v>488</v>
      </c>
      <c r="C331" t="s">
        <v>242</v>
      </c>
      <c r="D331" t="str">
        <f t="shared" si="12"/>
        <v/>
      </c>
      <c r="E331" t="str">
        <f t="shared" si="13"/>
        <v>good lovin'</v>
      </c>
      <c r="F331" t="s">
        <v>5810</v>
      </c>
      <c r="G331" t="str">
        <f>_xlfn.IFNA(VLOOKUP(F331,songs!$B$1:$C$1539, 2, FALSE),"")</f>
        <v>Good Lovin'</v>
      </c>
      <c r="H331" t="s">
        <v>242</v>
      </c>
    </row>
    <row r="332" spans="1:8" x14ac:dyDescent="0.25">
      <c r="A332">
        <v>331</v>
      </c>
      <c r="B332" t="s">
        <v>489</v>
      </c>
      <c r="C332" t="s">
        <v>225</v>
      </c>
      <c r="D332" t="str">
        <f t="shared" si="12"/>
        <v/>
      </c>
      <c r="E332" t="str">
        <f t="shared" si="13"/>
        <v>cumberland blues</v>
      </c>
      <c r="F332" t="s">
        <v>5411</v>
      </c>
      <c r="G332" t="str">
        <f>_xlfn.IFNA(VLOOKUP(F332,songs!$B$1:$C$1539, 2, FALSE),"")</f>
        <v>Cumberland Blues</v>
      </c>
      <c r="H332" t="s">
        <v>225</v>
      </c>
    </row>
    <row r="333" spans="1:8" x14ac:dyDescent="0.25">
      <c r="A333">
        <v>332</v>
      </c>
      <c r="B333" t="s">
        <v>490</v>
      </c>
      <c r="C333" t="s">
        <v>92</v>
      </c>
      <c r="D333" t="str">
        <f t="shared" si="12"/>
        <v/>
      </c>
      <c r="E333" t="str">
        <f t="shared" si="13"/>
        <v>dark star</v>
      </c>
      <c r="F333" t="s">
        <v>5428</v>
      </c>
      <c r="G333" t="str">
        <f>_xlfn.IFNA(VLOOKUP(F333,songs!$B$1:$C$1539, 2, FALSE),"")</f>
        <v>Dark Star</v>
      </c>
      <c r="H333" t="s">
        <v>92</v>
      </c>
    </row>
    <row r="334" spans="1:8" x14ac:dyDescent="0.25">
      <c r="A334">
        <v>333</v>
      </c>
      <c r="B334" t="s">
        <v>491</v>
      </c>
      <c r="C334" t="s">
        <v>139</v>
      </c>
      <c r="D334" t="str">
        <f t="shared" si="12"/>
        <v/>
      </c>
      <c r="E334" t="str">
        <f t="shared" si="13"/>
        <v>the other one</v>
      </c>
      <c r="F334" t="s">
        <v>7325</v>
      </c>
      <c r="G334" t="str">
        <f>_xlfn.IFNA(VLOOKUP(F334,songs!$B$1:$C$1539, 2, FALSE),"")</f>
        <v>The Other One</v>
      </c>
      <c r="H334" t="s">
        <v>139</v>
      </c>
    </row>
    <row r="335" spans="1:8" x14ac:dyDescent="0.25">
      <c r="A335">
        <v>334</v>
      </c>
      <c r="B335" t="s">
        <v>492</v>
      </c>
      <c r="C335" t="s">
        <v>92</v>
      </c>
      <c r="D335" t="str">
        <f t="shared" si="12"/>
        <v/>
      </c>
      <c r="E335" t="str">
        <f t="shared" si="13"/>
        <v>dark star</v>
      </c>
      <c r="F335" t="s">
        <v>5428</v>
      </c>
      <c r="G335" t="str">
        <f>_xlfn.IFNA(VLOOKUP(F335,songs!$B$1:$C$1539, 2, FALSE),"")</f>
        <v>Dark Star</v>
      </c>
      <c r="H335" t="s">
        <v>92</v>
      </c>
    </row>
    <row r="336" spans="1:8" x14ac:dyDescent="0.25">
      <c r="A336">
        <v>339</v>
      </c>
      <c r="B336" t="s">
        <v>499</v>
      </c>
      <c r="C336" t="s">
        <v>500</v>
      </c>
      <c r="D336" t="str">
        <f t="shared" si="12"/>
        <v/>
      </c>
      <c r="E336" t="str">
        <f t="shared" si="13"/>
        <v>caution</v>
      </c>
      <c r="F336" t="s">
        <v>5300</v>
      </c>
      <c r="G336" t="str">
        <f>_xlfn.IFNA(VLOOKUP(F336,songs!$B$1:$C$1539, 2, FALSE),"")</f>
        <v>Caution (Do Not Stop On Tracks)</v>
      </c>
      <c r="H336" t="s">
        <v>7867</v>
      </c>
    </row>
    <row r="337" spans="1:8" x14ac:dyDescent="0.25">
      <c r="A337">
        <v>336</v>
      </c>
      <c r="B337" t="s">
        <v>495</v>
      </c>
      <c r="C337" t="s">
        <v>92</v>
      </c>
      <c r="D337" t="str">
        <f t="shared" si="12"/>
        <v/>
      </c>
      <c r="E337" t="str">
        <f t="shared" si="13"/>
        <v>dark star</v>
      </c>
      <c r="F337" t="s">
        <v>5428</v>
      </c>
      <c r="G337" t="str">
        <f>_xlfn.IFNA(VLOOKUP(F337,songs!$B$1:$C$1539, 2, FALSE),"")</f>
        <v>Dark Star</v>
      </c>
      <c r="H337" t="s">
        <v>92</v>
      </c>
    </row>
    <row r="338" spans="1:8" x14ac:dyDescent="0.25">
      <c r="A338">
        <v>341</v>
      </c>
      <c r="B338" t="s">
        <v>503</v>
      </c>
      <c r="C338" t="s">
        <v>500</v>
      </c>
      <c r="D338" t="str">
        <f t="shared" si="12"/>
        <v/>
      </c>
      <c r="E338" t="str">
        <f t="shared" si="13"/>
        <v>caution</v>
      </c>
      <c r="F338" t="s">
        <v>5300</v>
      </c>
      <c r="G338" t="str">
        <f>_xlfn.IFNA(VLOOKUP(F338,songs!$B$1:$C$1539, 2, FALSE),"")</f>
        <v>Caution (Do Not Stop On Tracks)</v>
      </c>
      <c r="H338" t="s">
        <v>7867</v>
      </c>
    </row>
    <row r="339" spans="1:8" x14ac:dyDescent="0.25">
      <c r="A339">
        <v>338</v>
      </c>
      <c r="B339" t="s">
        <v>497</v>
      </c>
      <c r="C339" t="s">
        <v>498</v>
      </c>
      <c r="D339" t="str">
        <f t="shared" si="12"/>
        <v/>
      </c>
      <c r="E339" t="str">
        <f t="shared" si="13"/>
        <v>the eleven</v>
      </c>
      <c r="F339" t="s">
        <v>7280</v>
      </c>
      <c r="G339" t="str">
        <f>_xlfn.IFNA(VLOOKUP(F339,songs!$B$1:$C$1539, 2, FALSE),"")</f>
        <v>The Eleven</v>
      </c>
      <c r="H339" t="s">
        <v>498</v>
      </c>
    </row>
    <row r="340" spans="1:8" x14ac:dyDescent="0.25">
      <c r="A340">
        <v>343</v>
      </c>
      <c r="B340" t="s">
        <v>505</v>
      </c>
      <c r="C340" t="s">
        <v>111</v>
      </c>
      <c r="D340" t="str">
        <f t="shared" si="12"/>
        <v/>
      </c>
      <c r="E340" t="str">
        <f t="shared" si="13"/>
        <v>we bid you goodnight</v>
      </c>
      <c r="F340" t="s">
        <v>5082</v>
      </c>
      <c r="G340" t="str">
        <f>_xlfn.IFNA(VLOOKUP(F340,songs!$B$1:$C$1539, 2, FALSE),"")</f>
        <v>And We Bid You Good Night</v>
      </c>
      <c r="H340" t="s">
        <v>7867</v>
      </c>
    </row>
    <row r="341" spans="1:8" x14ac:dyDescent="0.25">
      <c r="A341">
        <v>340</v>
      </c>
      <c r="B341" t="s">
        <v>501</v>
      </c>
      <c r="C341" t="s">
        <v>502</v>
      </c>
      <c r="D341" t="str">
        <f t="shared" si="12"/>
        <v/>
      </c>
      <c r="E341" t="str">
        <f t="shared" si="13"/>
        <v>the main ten</v>
      </c>
      <c r="F341" t="s">
        <v>7307</v>
      </c>
      <c r="G341" t="str">
        <f>_xlfn.IFNA(VLOOKUP(F341,songs!$B$1:$C$1539, 2, FALSE),"")</f>
        <v>The Main Ten</v>
      </c>
      <c r="H341" t="s">
        <v>502</v>
      </c>
    </row>
    <row r="342" spans="1:8" x14ac:dyDescent="0.25">
      <c r="A342">
        <v>366</v>
      </c>
      <c r="B342" t="s">
        <v>542</v>
      </c>
      <c r="C342" t="s">
        <v>543</v>
      </c>
      <c r="D342" t="str">
        <f t="shared" si="12"/>
        <v/>
      </c>
      <c r="E342" t="str">
        <f t="shared" si="13"/>
        <v>the mighty quinn</v>
      </c>
      <c r="F342" t="s">
        <v>6805</v>
      </c>
      <c r="G342" t="str">
        <f>_xlfn.IFNA(VLOOKUP(F342,songs!$B$1:$C$1539, 2, FALSE),"")</f>
        <v>Quinn The Eskimo</v>
      </c>
      <c r="H342" t="s">
        <v>7867</v>
      </c>
    </row>
    <row r="343" spans="1:8" x14ac:dyDescent="0.25">
      <c r="A343">
        <v>342</v>
      </c>
      <c r="B343" t="s">
        <v>504</v>
      </c>
      <c r="C343" t="s">
        <v>109</v>
      </c>
      <c r="D343" t="str">
        <f t="shared" si="12"/>
        <v/>
      </c>
      <c r="E343" t="str">
        <f t="shared" si="13"/>
        <v>feedback</v>
      </c>
      <c r="F343" t="s">
        <v>5657</v>
      </c>
      <c r="G343" t="str">
        <f>_xlfn.IFNA(VLOOKUP(F343,songs!$B$1:$C$1539, 2, FALSE),"")</f>
        <v>Feedback</v>
      </c>
      <c r="H343" t="s">
        <v>109</v>
      </c>
    </row>
    <row r="344" spans="1:8" x14ac:dyDescent="0.25">
      <c r="A344">
        <v>367</v>
      </c>
      <c r="B344" t="s">
        <v>544</v>
      </c>
      <c r="C344" t="s">
        <v>545</v>
      </c>
      <c r="D344" t="str">
        <f t="shared" si="12"/>
        <v/>
      </c>
      <c r="E344" t="str">
        <f t="shared" si="13"/>
        <v>samson and delilah &gt; (1991-03-31 - greensboro')</v>
      </c>
      <c r="F344" t="s">
        <v>6925</v>
      </c>
      <c r="G344" t="str">
        <f>_xlfn.IFNA(VLOOKUP(F344,songs!$B$1:$C$1539, 2, FALSE),"")</f>
        <v>Samson And Delilah</v>
      </c>
      <c r="H344" t="s">
        <v>7867</v>
      </c>
    </row>
    <row r="345" spans="1:8" x14ac:dyDescent="0.25">
      <c r="A345">
        <v>344</v>
      </c>
      <c r="B345" t="s">
        <v>506</v>
      </c>
      <c r="C345" t="s">
        <v>507</v>
      </c>
      <c r="D345" t="str">
        <f t="shared" si="12"/>
        <v/>
      </c>
      <c r="E345" t="str">
        <f t="shared" si="13"/>
        <v>turn on your lovelight</v>
      </c>
      <c r="F345" t="s">
        <v>7447</v>
      </c>
      <c r="G345" t="str">
        <f>_xlfn.IFNA(VLOOKUP(F345,songs!$B$1:$C$1539, 2, FALSE),"")</f>
        <v>Turn On Your Lovelight</v>
      </c>
      <c r="H345" t="s">
        <v>507</v>
      </c>
    </row>
    <row r="346" spans="1:8" x14ac:dyDescent="0.25">
      <c r="A346">
        <v>345</v>
      </c>
      <c r="B346" t="s">
        <v>508</v>
      </c>
      <c r="C346" t="s">
        <v>509</v>
      </c>
      <c r="D346" t="str">
        <f t="shared" si="12"/>
        <v>&gt;</v>
      </c>
      <c r="E346" t="str">
        <f t="shared" si="13"/>
        <v>help on the way</v>
      </c>
      <c r="F346" t="s">
        <v>5895</v>
      </c>
      <c r="G346" t="str">
        <f>_xlfn.IFNA(VLOOKUP(F346,songs!$B$1:$C$1539, 2, FALSE),"")</f>
        <v>Help On The Way</v>
      </c>
      <c r="H346" t="s">
        <v>1382</v>
      </c>
    </row>
    <row r="347" spans="1:8" x14ac:dyDescent="0.25">
      <c r="A347">
        <v>346</v>
      </c>
      <c r="B347" t="s">
        <v>510</v>
      </c>
      <c r="C347" t="s">
        <v>511</v>
      </c>
      <c r="D347" t="str">
        <f t="shared" si="12"/>
        <v>&gt;</v>
      </c>
      <c r="E347" t="str">
        <f t="shared" si="13"/>
        <v>slipknot!</v>
      </c>
      <c r="F347" t="s">
        <v>7035</v>
      </c>
      <c r="G347" t="str">
        <f>_xlfn.IFNA(VLOOKUP(F347,songs!$B$1:$C$1539, 2, FALSE),"")</f>
        <v>Slipknot!</v>
      </c>
      <c r="H347" t="s">
        <v>61</v>
      </c>
    </row>
    <row r="348" spans="1:8" x14ac:dyDescent="0.25">
      <c r="A348">
        <v>347</v>
      </c>
      <c r="B348" t="s">
        <v>512</v>
      </c>
      <c r="C348" t="s">
        <v>513</v>
      </c>
      <c r="D348" t="str">
        <f t="shared" si="12"/>
        <v>&gt;</v>
      </c>
      <c r="E348" t="str">
        <f t="shared" si="13"/>
        <v>franklin's tower</v>
      </c>
      <c r="F348" t="s">
        <v>5712</v>
      </c>
      <c r="G348" t="str">
        <f>_xlfn.IFNA(VLOOKUP(F348,songs!$B$1:$C$1539, 2, FALSE),"")</f>
        <v>Franklin's Tower</v>
      </c>
      <c r="H348" t="s">
        <v>63</v>
      </c>
    </row>
    <row r="349" spans="1:8" x14ac:dyDescent="0.25">
      <c r="A349">
        <v>348</v>
      </c>
      <c r="B349" t="s">
        <v>514</v>
      </c>
      <c r="C349" t="s">
        <v>515</v>
      </c>
      <c r="D349" t="str">
        <f t="shared" si="12"/>
        <v/>
      </c>
      <c r="E349" t="str">
        <f t="shared" si="13"/>
        <v>walkin' blues</v>
      </c>
      <c r="F349" t="s">
        <v>7611</v>
      </c>
      <c r="G349" t="str">
        <f>_xlfn.IFNA(VLOOKUP(F349,songs!$B$1:$C$1539, 2, FALSE),"")</f>
        <v>Walkin' Blues</v>
      </c>
      <c r="H349" t="s">
        <v>515</v>
      </c>
    </row>
    <row r="350" spans="1:8" x14ac:dyDescent="0.25">
      <c r="A350">
        <v>349</v>
      </c>
      <c r="B350" t="s">
        <v>516</v>
      </c>
      <c r="C350" t="s">
        <v>517</v>
      </c>
      <c r="D350" t="str">
        <f t="shared" si="12"/>
        <v>&gt;</v>
      </c>
      <c r="E350" t="str">
        <f t="shared" si="13"/>
        <v>it must have been the roses</v>
      </c>
      <c r="F350" t="s">
        <v>6128</v>
      </c>
      <c r="G350" t="str">
        <f>_xlfn.IFNA(VLOOKUP(F350,songs!$B$1:$C$1539, 2, FALSE),"")</f>
        <v>It Must Have Been The Roses</v>
      </c>
      <c r="H350" t="s">
        <v>1057</v>
      </c>
    </row>
    <row r="351" spans="1:8" x14ac:dyDescent="0.25">
      <c r="A351">
        <v>350</v>
      </c>
      <c r="B351" t="s">
        <v>518</v>
      </c>
      <c r="C351" t="s">
        <v>90</v>
      </c>
      <c r="D351" t="str">
        <f t="shared" si="12"/>
        <v/>
      </c>
      <c r="E351" t="str">
        <f t="shared" si="13"/>
        <v>dire wolf</v>
      </c>
      <c r="F351" t="s">
        <v>5497</v>
      </c>
      <c r="G351" t="str">
        <f>_xlfn.IFNA(VLOOKUP(F351,songs!$B$1:$C$1539, 2, FALSE),"")</f>
        <v>Dire Wolf</v>
      </c>
      <c r="H351" t="s">
        <v>90</v>
      </c>
    </row>
    <row r="352" spans="1:8" x14ac:dyDescent="0.25">
      <c r="A352">
        <v>351</v>
      </c>
      <c r="B352" t="s">
        <v>519</v>
      </c>
      <c r="C352" t="s">
        <v>259</v>
      </c>
      <c r="D352" t="str">
        <f t="shared" si="12"/>
        <v/>
      </c>
      <c r="E352" t="str">
        <f t="shared" si="13"/>
        <v>queen jane approximately</v>
      </c>
      <c r="F352" t="s">
        <v>6804</v>
      </c>
      <c r="G352" t="str">
        <f>_xlfn.IFNA(VLOOKUP(F352,songs!$B$1:$C$1539, 2, FALSE),"")</f>
        <v>Queen Jane Approximately</v>
      </c>
      <c r="H352" t="s">
        <v>259</v>
      </c>
    </row>
    <row r="353" spans="1:8" x14ac:dyDescent="0.25">
      <c r="A353">
        <v>352</v>
      </c>
      <c r="B353" t="s">
        <v>520</v>
      </c>
      <c r="C353" t="s">
        <v>521</v>
      </c>
      <c r="D353" t="str">
        <f t="shared" si="12"/>
        <v>&gt;</v>
      </c>
      <c r="E353" t="str">
        <f t="shared" si="13"/>
        <v>tennessee jed</v>
      </c>
      <c r="F353" t="s">
        <v>7234</v>
      </c>
      <c r="G353" t="str">
        <f>_xlfn.IFNA(VLOOKUP(F353,songs!$B$1:$C$1539, 2, FALSE),"")</f>
        <v>Tennessee Jed</v>
      </c>
      <c r="H353" t="s">
        <v>164</v>
      </c>
    </row>
    <row r="354" spans="1:8" x14ac:dyDescent="0.25">
      <c r="A354">
        <v>353</v>
      </c>
      <c r="B354" t="s">
        <v>522</v>
      </c>
      <c r="C354" t="s">
        <v>49</v>
      </c>
      <c r="D354" t="str">
        <f t="shared" si="12"/>
        <v/>
      </c>
      <c r="E354" t="str">
        <f t="shared" si="13"/>
        <v>the music never stopped</v>
      </c>
      <c r="F354" t="s">
        <v>7316</v>
      </c>
      <c r="G354" t="str">
        <f>_xlfn.IFNA(VLOOKUP(F354,songs!$B$1:$C$1539, 2, FALSE),"")</f>
        <v>The Music Never Stopped</v>
      </c>
      <c r="H354" t="s">
        <v>49</v>
      </c>
    </row>
    <row r="355" spans="1:8" x14ac:dyDescent="0.25">
      <c r="A355">
        <v>354</v>
      </c>
      <c r="B355" t="s">
        <v>523</v>
      </c>
      <c r="C355" t="s">
        <v>524</v>
      </c>
      <c r="D355" t="str">
        <f t="shared" si="12"/>
        <v/>
      </c>
      <c r="E355" t="str">
        <f t="shared" si="13"/>
        <v>victim or the crime</v>
      </c>
      <c r="F355" t="s">
        <v>7594</v>
      </c>
      <c r="G355" t="str">
        <f>_xlfn.IFNA(VLOOKUP(F355,songs!$B$1:$C$1539, 2, FALSE),"")</f>
        <v>Victim Or The Crime</v>
      </c>
      <c r="H355" t="s">
        <v>524</v>
      </c>
    </row>
    <row r="356" spans="1:8" x14ac:dyDescent="0.25">
      <c r="A356">
        <v>355</v>
      </c>
      <c r="B356" t="s">
        <v>525</v>
      </c>
      <c r="C356" t="s">
        <v>526</v>
      </c>
      <c r="D356" t="str">
        <f t="shared" si="12"/>
        <v/>
      </c>
      <c r="E356" t="str">
        <f t="shared" si="13"/>
        <v>crazy fingers</v>
      </c>
      <c r="F356" t="s">
        <v>5390</v>
      </c>
      <c r="G356" t="str">
        <f>_xlfn.IFNA(VLOOKUP(F356,songs!$B$1:$C$1539, 2, FALSE),"")</f>
        <v>Crazy Fingers</v>
      </c>
      <c r="H356" t="s">
        <v>526</v>
      </c>
    </row>
    <row r="357" spans="1:8" x14ac:dyDescent="0.25">
      <c r="A357">
        <v>356</v>
      </c>
      <c r="B357" t="s">
        <v>527</v>
      </c>
      <c r="C357" t="s">
        <v>419</v>
      </c>
      <c r="D357" t="str">
        <f t="shared" si="12"/>
        <v/>
      </c>
      <c r="E357" t="str">
        <f t="shared" si="13"/>
        <v>playing in the band</v>
      </c>
      <c r="F357" t="s">
        <v>6769</v>
      </c>
      <c r="G357" t="str">
        <f>_xlfn.IFNA(VLOOKUP(F357,songs!$B$1:$C$1539, 2, FALSE),"")</f>
        <v>Playing In The Band</v>
      </c>
      <c r="H357" t="s">
        <v>419</v>
      </c>
    </row>
    <row r="358" spans="1:8" x14ac:dyDescent="0.25">
      <c r="A358">
        <v>357</v>
      </c>
      <c r="B358" t="s">
        <v>528</v>
      </c>
      <c r="C358" t="s">
        <v>75</v>
      </c>
      <c r="D358" t="str">
        <f t="shared" si="12"/>
        <v/>
      </c>
      <c r="E358" t="str">
        <f t="shared" si="13"/>
        <v>terrapin station</v>
      </c>
      <c r="F358" t="s">
        <v>7237</v>
      </c>
      <c r="G358" t="str">
        <f>_xlfn.IFNA(VLOOKUP(F358,songs!$B$1:$C$1539, 2, FALSE),"")</f>
        <v>Terrapin Station</v>
      </c>
      <c r="H358" t="s">
        <v>75</v>
      </c>
    </row>
    <row r="359" spans="1:8" x14ac:dyDescent="0.25">
      <c r="A359">
        <v>368</v>
      </c>
      <c r="B359" t="s">
        <v>546</v>
      </c>
      <c r="C359" t="s">
        <v>547</v>
      </c>
      <c r="D359" t="str">
        <f t="shared" si="12"/>
        <v/>
      </c>
      <c r="E359" t="str">
        <f t="shared" si="13"/>
        <v>eyes of the world (1991-03-31 - greensboro')</v>
      </c>
      <c r="F359" t="s">
        <v>5633</v>
      </c>
      <c r="G359" t="str">
        <f>_xlfn.IFNA(VLOOKUP(F359,songs!$B$1:$C$1539, 2, FALSE),"")</f>
        <v>Eyes Of The World</v>
      </c>
      <c r="H359" t="s">
        <v>7867</v>
      </c>
    </row>
    <row r="360" spans="1:8" x14ac:dyDescent="0.25">
      <c r="A360">
        <v>359</v>
      </c>
      <c r="B360" t="s">
        <v>531</v>
      </c>
      <c r="C360" t="s">
        <v>100</v>
      </c>
      <c r="D360" t="str">
        <f t="shared" si="12"/>
        <v/>
      </c>
      <c r="E360" t="str">
        <f t="shared" si="13"/>
        <v>drums</v>
      </c>
      <c r="F360" t="s">
        <v>5568</v>
      </c>
      <c r="G360" t="str">
        <f>_xlfn.IFNA(VLOOKUP(F360,songs!$B$1:$C$1539, 2, FALSE),"")</f>
        <v>Drums</v>
      </c>
      <c r="H360" t="s">
        <v>100</v>
      </c>
    </row>
    <row r="361" spans="1:8" x14ac:dyDescent="0.25">
      <c r="A361">
        <v>360</v>
      </c>
      <c r="B361" t="s">
        <v>532</v>
      </c>
      <c r="C361" t="s">
        <v>277</v>
      </c>
      <c r="D361" t="str">
        <f t="shared" si="12"/>
        <v/>
      </c>
      <c r="E361" t="str">
        <f t="shared" si="13"/>
        <v>space</v>
      </c>
      <c r="F361" t="s">
        <v>7091</v>
      </c>
      <c r="G361" t="str">
        <f>_xlfn.IFNA(VLOOKUP(F361,songs!$B$1:$C$1539, 2, FALSE),"")</f>
        <v>Space</v>
      </c>
      <c r="H361" t="s">
        <v>277</v>
      </c>
    </row>
    <row r="362" spans="1:8" x14ac:dyDescent="0.25">
      <c r="A362">
        <v>361</v>
      </c>
      <c r="B362" t="s">
        <v>533</v>
      </c>
      <c r="C362" t="s">
        <v>534</v>
      </c>
      <c r="D362" t="str">
        <f t="shared" si="12"/>
        <v>&gt;</v>
      </c>
      <c r="E362" t="str">
        <f t="shared" si="13"/>
        <v>that would be something</v>
      </c>
      <c r="F362" t="s">
        <v>7244</v>
      </c>
      <c r="G362" t="str">
        <f>_xlfn.IFNA(VLOOKUP(F362,songs!$B$1:$C$1539, 2, FALSE),"")</f>
        <v>That Would Be Something</v>
      </c>
      <c r="H362" t="s">
        <v>7245</v>
      </c>
    </row>
    <row r="363" spans="1:8" x14ac:dyDescent="0.25">
      <c r="A363">
        <v>362</v>
      </c>
      <c r="B363" t="s">
        <v>535</v>
      </c>
      <c r="C363" t="s">
        <v>536</v>
      </c>
      <c r="D363" t="str">
        <f t="shared" si="12"/>
        <v>&gt;</v>
      </c>
      <c r="E363" t="str">
        <f t="shared" si="13"/>
        <v>playing in the band</v>
      </c>
      <c r="F363" t="s">
        <v>6769</v>
      </c>
      <c r="G363" t="str">
        <f>_xlfn.IFNA(VLOOKUP(F363,songs!$B$1:$C$1539, 2, FALSE),"")</f>
        <v>Playing In The Band</v>
      </c>
      <c r="H363" t="s">
        <v>419</v>
      </c>
    </row>
    <row r="364" spans="1:8" x14ac:dyDescent="0.25">
      <c r="A364">
        <v>363</v>
      </c>
      <c r="B364" t="s">
        <v>537</v>
      </c>
      <c r="C364" t="s">
        <v>538</v>
      </c>
      <c r="D364" t="str">
        <f t="shared" si="12"/>
        <v>&gt;</v>
      </c>
      <c r="E364" t="str">
        <f t="shared" si="13"/>
        <v>china doll</v>
      </c>
      <c r="F364" t="s">
        <v>5320</v>
      </c>
      <c r="G364" t="str">
        <f>_xlfn.IFNA(VLOOKUP(F364,songs!$B$1:$C$1539, 2, FALSE),"")</f>
        <v>China Doll</v>
      </c>
      <c r="H364" t="s">
        <v>304</v>
      </c>
    </row>
    <row r="365" spans="1:8" x14ac:dyDescent="0.25">
      <c r="A365">
        <v>364</v>
      </c>
      <c r="B365" t="s">
        <v>539</v>
      </c>
      <c r="C365" t="s">
        <v>540</v>
      </c>
      <c r="D365" t="str">
        <f t="shared" si="12"/>
        <v>&gt;</v>
      </c>
      <c r="E365" t="str">
        <f t="shared" si="13"/>
        <v>throwing stones</v>
      </c>
      <c r="F365" t="s">
        <v>7383</v>
      </c>
      <c r="G365" t="str">
        <f>_xlfn.IFNA(VLOOKUP(F365,songs!$B$1:$C$1539, 2, FALSE),"")</f>
        <v>Throwing Stones</v>
      </c>
      <c r="H365" t="s">
        <v>877</v>
      </c>
    </row>
    <row r="366" spans="1:8" x14ac:dyDescent="0.25">
      <c r="A366">
        <v>365</v>
      </c>
      <c r="B366" t="s">
        <v>541</v>
      </c>
      <c r="C366" t="s">
        <v>34</v>
      </c>
      <c r="D366" t="str">
        <f t="shared" si="12"/>
        <v/>
      </c>
      <c r="E366" t="str">
        <f t="shared" si="13"/>
        <v>not fade away</v>
      </c>
      <c r="F366" t="s">
        <v>6651</v>
      </c>
      <c r="G366" t="str">
        <f>_xlfn.IFNA(VLOOKUP(F366,songs!$B$1:$C$1539, 2, FALSE),"")</f>
        <v>Not Fade Away</v>
      </c>
      <c r="H366" t="s">
        <v>34</v>
      </c>
    </row>
    <row r="367" spans="1:8" x14ac:dyDescent="0.25">
      <c r="A367">
        <v>372</v>
      </c>
      <c r="B367" t="s">
        <v>551</v>
      </c>
      <c r="C367" t="s">
        <v>122</v>
      </c>
      <c r="D367" t="str">
        <f t="shared" si="12"/>
        <v/>
      </c>
      <c r="E367" t="str">
        <f t="shared" si="13"/>
        <v>new minglewood blues</v>
      </c>
      <c r="F367" t="s">
        <v>7869</v>
      </c>
      <c r="G367" t="str">
        <f>_xlfn.IFNA(VLOOKUP(F367,songs!$B$1:$C$1539, 2, FALSE),"")</f>
        <v>Minglewood Blues</v>
      </c>
      <c r="H367" t="s">
        <v>7867</v>
      </c>
    </row>
    <row r="368" spans="1:8" x14ac:dyDescent="0.25">
      <c r="A368">
        <v>377</v>
      </c>
      <c r="B368" t="s">
        <v>558</v>
      </c>
      <c r="C368" t="s">
        <v>120</v>
      </c>
      <c r="D368" t="str">
        <f t="shared" si="12"/>
        <v/>
      </c>
      <c r="E368" t="str">
        <f t="shared" si="13"/>
        <v>brown-eyed woman</v>
      </c>
      <c r="F368" t="s">
        <v>5255</v>
      </c>
      <c r="G368" t="str">
        <f>_xlfn.IFNA(VLOOKUP(F368,songs!$B$1:$C$1539, 2, FALSE),"")</f>
        <v>Brown Eyed Women</v>
      </c>
      <c r="H368" t="s">
        <v>7867</v>
      </c>
    </row>
    <row r="369" spans="1:8" x14ac:dyDescent="0.25">
      <c r="A369">
        <v>419</v>
      </c>
      <c r="B369" t="s">
        <v>611</v>
      </c>
      <c r="C369" t="s">
        <v>122</v>
      </c>
      <c r="D369" t="str">
        <f t="shared" si="12"/>
        <v/>
      </c>
      <c r="E369" t="str">
        <f t="shared" si="13"/>
        <v>new minglewood blues</v>
      </c>
      <c r="F369" t="s">
        <v>7869</v>
      </c>
      <c r="G369" t="str">
        <f>_xlfn.IFNA(VLOOKUP(F369,songs!$B$1:$C$1539, 2, FALSE),"")</f>
        <v>Minglewood Blues</v>
      </c>
      <c r="H369" t="s">
        <v>7867</v>
      </c>
    </row>
    <row r="370" spans="1:8" x14ac:dyDescent="0.25">
      <c r="A370">
        <v>369</v>
      </c>
      <c r="B370" t="s">
        <v>548</v>
      </c>
      <c r="C370" t="s">
        <v>298</v>
      </c>
      <c r="D370" t="str">
        <f t="shared" si="12"/>
        <v/>
      </c>
      <c r="E370" t="str">
        <f t="shared" si="13"/>
        <v>bertha</v>
      </c>
      <c r="F370" t="s">
        <v>5158</v>
      </c>
      <c r="G370" t="str">
        <f>_xlfn.IFNA(VLOOKUP(F370,songs!$B$1:$C$1539, 2, FALSE),"")</f>
        <v>Bertha</v>
      </c>
      <c r="H370" t="s">
        <v>298</v>
      </c>
    </row>
    <row r="371" spans="1:8" x14ac:dyDescent="0.25">
      <c r="A371">
        <v>370</v>
      </c>
      <c r="B371" t="s">
        <v>549</v>
      </c>
      <c r="C371" t="s">
        <v>242</v>
      </c>
      <c r="D371" t="str">
        <f t="shared" si="12"/>
        <v/>
      </c>
      <c r="E371" t="str">
        <f t="shared" si="13"/>
        <v>good lovin'</v>
      </c>
      <c r="F371" t="s">
        <v>5810</v>
      </c>
      <c r="G371" t="str">
        <f>_xlfn.IFNA(VLOOKUP(F371,songs!$B$1:$C$1539, 2, FALSE),"")</f>
        <v>Good Lovin'</v>
      </c>
      <c r="H371" t="s">
        <v>242</v>
      </c>
    </row>
    <row r="372" spans="1:8" x14ac:dyDescent="0.25">
      <c r="A372">
        <v>371</v>
      </c>
      <c r="B372" t="s">
        <v>550</v>
      </c>
      <c r="C372" t="s">
        <v>429</v>
      </c>
      <c r="D372" t="str">
        <f t="shared" si="12"/>
        <v/>
      </c>
      <c r="E372" t="str">
        <f t="shared" si="13"/>
        <v>cold rain and snow</v>
      </c>
      <c r="F372" t="s">
        <v>5347</v>
      </c>
      <c r="G372" t="str">
        <f>_xlfn.IFNA(VLOOKUP(F372,songs!$B$1:$C$1539, 2, FALSE),"")</f>
        <v>Cold Rain And Snow</v>
      </c>
      <c r="H372" t="s">
        <v>429</v>
      </c>
    </row>
    <row r="373" spans="1:8" x14ac:dyDescent="0.25">
      <c r="A373">
        <v>422</v>
      </c>
      <c r="B373" t="s">
        <v>614</v>
      </c>
      <c r="C373" t="s">
        <v>615</v>
      </c>
      <c r="D373" t="str">
        <f t="shared" si="12"/>
        <v/>
      </c>
      <c r="E373" t="str">
        <f t="shared" si="13"/>
        <v>brown-eyed women</v>
      </c>
      <c r="F373" t="s">
        <v>5255</v>
      </c>
      <c r="G373" t="str">
        <f>_xlfn.IFNA(VLOOKUP(F373,songs!$B$1:$C$1539, 2, FALSE),"")</f>
        <v>Brown Eyed Women</v>
      </c>
      <c r="H373" t="s">
        <v>7867</v>
      </c>
    </row>
    <row r="374" spans="1:8" x14ac:dyDescent="0.25">
      <c r="A374">
        <v>373</v>
      </c>
      <c r="B374" t="s">
        <v>552</v>
      </c>
      <c r="C374" t="s">
        <v>156</v>
      </c>
      <c r="D374" t="str">
        <f t="shared" si="12"/>
        <v/>
      </c>
      <c r="E374" t="str">
        <f t="shared" si="13"/>
        <v>they love each other</v>
      </c>
      <c r="F374" t="s">
        <v>7358</v>
      </c>
      <c r="G374" t="str">
        <f>_xlfn.IFNA(VLOOKUP(F374,songs!$B$1:$C$1539, 2, FALSE),"")</f>
        <v>They Love Each Other</v>
      </c>
      <c r="H374" t="s">
        <v>156</v>
      </c>
    </row>
    <row r="375" spans="1:8" x14ac:dyDescent="0.25">
      <c r="A375">
        <v>374</v>
      </c>
      <c r="B375" t="s">
        <v>553</v>
      </c>
      <c r="C375" t="s">
        <v>554</v>
      </c>
      <c r="D375" t="str">
        <f t="shared" si="12"/>
        <v/>
      </c>
      <c r="E375" t="str">
        <f t="shared" si="13"/>
        <v>it's all over now</v>
      </c>
      <c r="F375" t="s">
        <v>6135</v>
      </c>
      <c r="G375" t="str">
        <f>_xlfn.IFNA(VLOOKUP(F375,songs!$B$1:$C$1539, 2, FALSE),"")</f>
        <v>It's All Over Now</v>
      </c>
      <c r="H375" t="s">
        <v>554</v>
      </c>
    </row>
    <row r="376" spans="1:8" x14ac:dyDescent="0.25">
      <c r="A376">
        <v>375</v>
      </c>
      <c r="B376" t="s">
        <v>555</v>
      </c>
      <c r="C376" t="s">
        <v>556</v>
      </c>
      <c r="D376" t="str">
        <f t="shared" si="12"/>
        <v/>
      </c>
      <c r="E376" t="str">
        <f t="shared" si="13"/>
        <v>dupree's diamond blues</v>
      </c>
      <c r="F376" t="s">
        <v>5573</v>
      </c>
      <c r="G376" t="str">
        <f>_xlfn.IFNA(VLOOKUP(F376,songs!$B$1:$C$1539, 2, FALSE),"")</f>
        <v>Dupree's Diamond Blues</v>
      </c>
      <c r="H376" t="s">
        <v>556</v>
      </c>
    </row>
    <row r="377" spans="1:8" x14ac:dyDescent="0.25">
      <c r="A377">
        <v>376</v>
      </c>
      <c r="B377" t="s">
        <v>557</v>
      </c>
      <c r="C377" t="s">
        <v>126</v>
      </c>
      <c r="D377" t="str">
        <f t="shared" si="12"/>
        <v/>
      </c>
      <c r="E377" t="str">
        <f t="shared" si="13"/>
        <v>looks like rain</v>
      </c>
      <c r="F377" t="s">
        <v>6398</v>
      </c>
      <c r="G377" t="str">
        <f>_xlfn.IFNA(VLOOKUP(F377,songs!$B$1:$C$1539, 2, FALSE),"")</f>
        <v>Looks Like Rain</v>
      </c>
      <c r="H377" t="s">
        <v>126</v>
      </c>
    </row>
    <row r="378" spans="1:8" x14ac:dyDescent="0.25">
      <c r="A378">
        <v>428</v>
      </c>
      <c r="B378" t="s">
        <v>621</v>
      </c>
      <c r="C378" t="s">
        <v>622</v>
      </c>
      <c r="D378" t="str">
        <f t="shared" si="12"/>
        <v>&gt;</v>
      </c>
      <c r="E378" t="str">
        <f t="shared" si="13"/>
        <v>lazy lightnin'</v>
      </c>
      <c r="F378" t="s">
        <v>6293</v>
      </c>
      <c r="G378" t="str">
        <f>_xlfn.IFNA(VLOOKUP(F378,songs!$B$1:$C$1539, 2, FALSE),"")</f>
        <v>Lazy Lightning</v>
      </c>
      <c r="H378" t="s">
        <v>7867</v>
      </c>
    </row>
    <row r="379" spans="1:8" x14ac:dyDescent="0.25">
      <c r="A379">
        <v>378</v>
      </c>
      <c r="B379" t="s">
        <v>559</v>
      </c>
      <c r="C379" t="s">
        <v>560</v>
      </c>
      <c r="D379" t="str">
        <f t="shared" si="12"/>
        <v/>
      </c>
      <c r="E379" t="str">
        <f t="shared" si="13"/>
        <v>passenger</v>
      </c>
      <c r="F379" t="s">
        <v>6738</v>
      </c>
      <c r="G379" t="str">
        <f>_xlfn.IFNA(VLOOKUP(F379,songs!$B$1:$C$1539, 2, FALSE),"")</f>
        <v>Passenger</v>
      </c>
      <c r="H379" t="s">
        <v>560</v>
      </c>
    </row>
    <row r="380" spans="1:8" x14ac:dyDescent="0.25">
      <c r="A380">
        <v>379</v>
      </c>
      <c r="B380" t="s">
        <v>561</v>
      </c>
      <c r="C380" t="s">
        <v>264</v>
      </c>
      <c r="D380" t="str">
        <f t="shared" si="12"/>
        <v/>
      </c>
      <c r="E380" t="str">
        <f t="shared" si="13"/>
        <v>deal</v>
      </c>
      <c r="F380" t="s">
        <v>5461</v>
      </c>
      <c r="G380" t="str">
        <f>_xlfn.IFNA(VLOOKUP(F380,songs!$B$1:$C$1539, 2, FALSE),"")</f>
        <v>Deal</v>
      </c>
      <c r="H380" t="s">
        <v>264</v>
      </c>
    </row>
    <row r="381" spans="1:8" x14ac:dyDescent="0.25">
      <c r="A381">
        <v>380</v>
      </c>
      <c r="B381" t="s">
        <v>562</v>
      </c>
      <c r="C381" t="s">
        <v>49</v>
      </c>
      <c r="D381" t="str">
        <f t="shared" si="12"/>
        <v/>
      </c>
      <c r="E381" t="str">
        <f t="shared" si="13"/>
        <v>the music never stopped</v>
      </c>
      <c r="F381" t="s">
        <v>7316</v>
      </c>
      <c r="G381" t="str">
        <f>_xlfn.IFNA(VLOOKUP(F381,songs!$B$1:$C$1539, 2, FALSE),"")</f>
        <v>The Music Never Stopped</v>
      </c>
      <c r="H381" t="s">
        <v>49</v>
      </c>
    </row>
    <row r="382" spans="1:8" x14ac:dyDescent="0.25">
      <c r="A382">
        <v>381</v>
      </c>
      <c r="B382" t="s">
        <v>563</v>
      </c>
      <c r="C382" t="s">
        <v>69</v>
      </c>
      <c r="D382" t="str">
        <f t="shared" si="12"/>
        <v/>
      </c>
      <c r="E382" t="str">
        <f t="shared" si="13"/>
        <v>estimated prophet</v>
      </c>
      <c r="F382" t="s">
        <v>5612</v>
      </c>
      <c r="G382" t="str">
        <f>_xlfn.IFNA(VLOOKUP(F382,songs!$B$1:$C$1539, 2, FALSE),"")</f>
        <v>Estimated Prophet</v>
      </c>
      <c r="H382" t="s">
        <v>69</v>
      </c>
    </row>
    <row r="383" spans="1:8" x14ac:dyDescent="0.25">
      <c r="A383">
        <v>382</v>
      </c>
      <c r="B383" t="s">
        <v>564</v>
      </c>
      <c r="C383" t="s">
        <v>471</v>
      </c>
      <c r="D383" t="str">
        <f t="shared" si="12"/>
        <v/>
      </c>
      <c r="E383" t="str">
        <f t="shared" si="13"/>
        <v>eyes of the world</v>
      </c>
      <c r="F383" t="s">
        <v>5633</v>
      </c>
      <c r="G383" t="str">
        <f>_xlfn.IFNA(VLOOKUP(F383,songs!$B$1:$C$1539, 2, FALSE),"")</f>
        <v>Eyes Of The World</v>
      </c>
      <c r="H383" t="s">
        <v>471</v>
      </c>
    </row>
    <row r="384" spans="1:8" x14ac:dyDescent="0.25">
      <c r="A384">
        <v>383</v>
      </c>
      <c r="B384" t="s">
        <v>565</v>
      </c>
      <c r="C384" t="s">
        <v>419</v>
      </c>
      <c r="D384" t="str">
        <f t="shared" si="12"/>
        <v/>
      </c>
      <c r="E384" t="str">
        <f t="shared" si="13"/>
        <v>playing in the band</v>
      </c>
      <c r="F384" t="s">
        <v>6769</v>
      </c>
      <c r="G384" t="str">
        <f>_xlfn.IFNA(VLOOKUP(F384,songs!$B$1:$C$1539, 2, FALSE),"")</f>
        <v>Playing In The Band</v>
      </c>
      <c r="H384" t="s">
        <v>419</v>
      </c>
    </row>
    <row r="385" spans="1:8" x14ac:dyDescent="0.25">
      <c r="A385">
        <v>384</v>
      </c>
      <c r="B385" t="s">
        <v>566</v>
      </c>
      <c r="C385" t="s">
        <v>567</v>
      </c>
      <c r="D385" t="str">
        <f t="shared" si="12"/>
        <v/>
      </c>
      <c r="E385" t="str">
        <f t="shared" si="13"/>
        <v>the wheel</v>
      </c>
      <c r="F385" t="s">
        <v>7343</v>
      </c>
      <c r="G385" t="str">
        <f>_xlfn.IFNA(VLOOKUP(F385,songs!$B$1:$C$1539, 2, FALSE),"")</f>
        <v>The Wheel</v>
      </c>
      <c r="H385" t="s">
        <v>567</v>
      </c>
    </row>
    <row r="386" spans="1:8" x14ac:dyDescent="0.25">
      <c r="A386">
        <v>385</v>
      </c>
      <c r="B386" t="s">
        <v>568</v>
      </c>
      <c r="C386" t="s">
        <v>419</v>
      </c>
      <c r="D386" t="str">
        <f t="shared" si="12"/>
        <v/>
      </c>
      <c r="E386" t="str">
        <f t="shared" si="13"/>
        <v>playing in the band</v>
      </c>
      <c r="F386" t="s">
        <v>6769</v>
      </c>
      <c r="G386" t="str">
        <f>_xlfn.IFNA(VLOOKUP(F386,songs!$B$1:$C$1539, 2, FALSE),"")</f>
        <v>Playing In The Band</v>
      </c>
      <c r="H386" t="s">
        <v>419</v>
      </c>
    </row>
    <row r="387" spans="1:8" x14ac:dyDescent="0.25">
      <c r="A387">
        <v>386</v>
      </c>
      <c r="B387" t="s">
        <v>569</v>
      </c>
      <c r="C387" t="s">
        <v>148</v>
      </c>
      <c r="D387" t="str">
        <f t="shared" si="12"/>
        <v/>
      </c>
      <c r="E387" t="str">
        <f t="shared" si="13"/>
        <v>johnny b. goode</v>
      </c>
      <c r="F387" t="s">
        <v>6192</v>
      </c>
      <c r="G387" t="str">
        <f>_xlfn.IFNA(VLOOKUP(F387,songs!$B$1:$C$1539, 2, FALSE),"")</f>
        <v>Johnny B. Goode</v>
      </c>
      <c r="H387" t="s">
        <v>148</v>
      </c>
    </row>
    <row r="388" spans="1:8" x14ac:dyDescent="0.25">
      <c r="A388">
        <v>387</v>
      </c>
      <c r="B388" t="s">
        <v>570</v>
      </c>
      <c r="C388" t="s">
        <v>266</v>
      </c>
      <c r="D388" t="str">
        <f t="shared" ref="D388:D451" si="14">IF(RIGHT(TRIM(C388),2)="-&gt;","&gt;",IF(RIGHT(TRIM(C388),1)="&gt;","&gt;",""))</f>
        <v/>
      </c>
      <c r="E388" t="str">
        <f t="shared" ref="E388:E451" si="15">LOWER(TRIM(SUBSTITUTE(IF(RIGHT(TRIM(C388),2)="-&gt;",LEFT(TRIM(C388),LEN(TRIM(C388))-2),IF(RIGHT(TRIM(C388),1)="&gt;",LEFT(TRIM(C388),LEN(TRIM(C388))-1),C388)),"//","")))</f>
        <v>samson and delilah</v>
      </c>
      <c r="F388" t="s">
        <v>6925</v>
      </c>
      <c r="G388" t="str">
        <f>_xlfn.IFNA(VLOOKUP(F388,songs!$B$1:$C$1539, 2, FALSE),"")</f>
        <v>Samson And Delilah</v>
      </c>
      <c r="H388" t="s">
        <v>266</v>
      </c>
    </row>
    <row r="389" spans="1:8" x14ac:dyDescent="0.25">
      <c r="A389">
        <v>388</v>
      </c>
      <c r="B389" t="s">
        <v>571</v>
      </c>
      <c r="C389" t="s">
        <v>170</v>
      </c>
      <c r="D389" t="str">
        <f t="shared" si="14"/>
        <v/>
      </c>
      <c r="E389" t="str">
        <f t="shared" si="15"/>
        <v>scarlet begonias</v>
      </c>
      <c r="F389" t="s">
        <v>6944</v>
      </c>
      <c r="G389" t="str">
        <f>_xlfn.IFNA(VLOOKUP(F389,songs!$B$1:$C$1539, 2, FALSE),"")</f>
        <v>Scarlet Begonias</v>
      </c>
      <c r="H389" t="s">
        <v>170</v>
      </c>
    </row>
    <row r="390" spans="1:8" x14ac:dyDescent="0.25">
      <c r="A390">
        <v>389</v>
      </c>
      <c r="B390" t="s">
        <v>572</v>
      </c>
      <c r="C390" t="s">
        <v>573</v>
      </c>
      <c r="D390" t="str">
        <f t="shared" si="14"/>
        <v/>
      </c>
      <c r="E390" t="str">
        <f t="shared" si="15"/>
        <v>fire on the mountain</v>
      </c>
      <c r="F390" t="s">
        <v>5675</v>
      </c>
      <c r="G390" t="str">
        <f>_xlfn.IFNA(VLOOKUP(F390,songs!$B$1:$C$1539, 2, FALSE),"")</f>
        <v>Fire On The Mountain</v>
      </c>
      <c r="H390" t="s">
        <v>573</v>
      </c>
    </row>
    <row r="391" spans="1:8" x14ac:dyDescent="0.25">
      <c r="A391">
        <v>390</v>
      </c>
      <c r="B391" t="s">
        <v>574</v>
      </c>
      <c r="C391" t="s">
        <v>15</v>
      </c>
      <c r="D391" t="str">
        <f t="shared" si="14"/>
        <v/>
      </c>
      <c r="E391" t="str">
        <f t="shared" si="15"/>
        <v>truckin'</v>
      </c>
      <c r="F391" t="s">
        <v>7436</v>
      </c>
      <c r="G391" t="str">
        <f>_xlfn.IFNA(VLOOKUP(F391,songs!$B$1:$C$1539, 2, FALSE),"")</f>
        <v>Truckin'</v>
      </c>
      <c r="H391" t="s">
        <v>15</v>
      </c>
    </row>
    <row r="392" spans="1:8" x14ac:dyDescent="0.25">
      <c r="A392">
        <v>391</v>
      </c>
      <c r="B392" t="s">
        <v>575</v>
      </c>
      <c r="C392" t="s">
        <v>100</v>
      </c>
      <c r="D392" t="str">
        <f t="shared" si="14"/>
        <v/>
      </c>
      <c r="E392" t="str">
        <f t="shared" si="15"/>
        <v>drums</v>
      </c>
      <c r="F392" t="s">
        <v>5568</v>
      </c>
      <c r="G392" t="str">
        <f>_xlfn.IFNA(VLOOKUP(F392,songs!$B$1:$C$1539, 2, FALSE),"")</f>
        <v>Drums</v>
      </c>
      <c r="H392" t="s">
        <v>100</v>
      </c>
    </row>
    <row r="393" spans="1:8" x14ac:dyDescent="0.25">
      <c r="A393">
        <v>392</v>
      </c>
      <c r="B393" t="s">
        <v>576</v>
      </c>
      <c r="C393" t="s">
        <v>139</v>
      </c>
      <c r="D393" t="str">
        <f t="shared" si="14"/>
        <v/>
      </c>
      <c r="E393" t="str">
        <f t="shared" si="15"/>
        <v>the other one</v>
      </c>
      <c r="F393" t="s">
        <v>7325</v>
      </c>
      <c r="G393" t="str">
        <f>_xlfn.IFNA(VLOOKUP(F393,songs!$B$1:$C$1539, 2, FALSE),"")</f>
        <v>The Other One</v>
      </c>
      <c r="H393" t="s">
        <v>139</v>
      </c>
    </row>
    <row r="394" spans="1:8" x14ac:dyDescent="0.25">
      <c r="A394">
        <v>393</v>
      </c>
      <c r="B394" t="s">
        <v>577</v>
      </c>
      <c r="C394" t="s">
        <v>73</v>
      </c>
      <c r="D394" t="str">
        <f t="shared" si="14"/>
        <v/>
      </c>
      <c r="E394" t="str">
        <f t="shared" si="15"/>
        <v>wharf rat</v>
      </c>
      <c r="F394" t="s">
        <v>7664</v>
      </c>
      <c r="G394" t="str">
        <f>_xlfn.IFNA(VLOOKUP(F394,songs!$B$1:$C$1539, 2, FALSE),"")</f>
        <v>Wharf Rat</v>
      </c>
      <c r="H394" t="s">
        <v>73</v>
      </c>
    </row>
    <row r="395" spans="1:8" x14ac:dyDescent="0.25">
      <c r="A395">
        <v>394</v>
      </c>
      <c r="B395" t="s">
        <v>578</v>
      </c>
      <c r="C395" t="s">
        <v>579</v>
      </c>
      <c r="D395" t="str">
        <f t="shared" si="14"/>
        <v/>
      </c>
      <c r="E395" t="str">
        <f t="shared" si="15"/>
        <v>around and around</v>
      </c>
      <c r="F395" t="s">
        <v>5103</v>
      </c>
      <c r="G395" t="str">
        <f>_xlfn.IFNA(VLOOKUP(F395,songs!$B$1:$C$1539, 2, FALSE),"")</f>
        <v>Around And Around</v>
      </c>
      <c r="H395" t="s">
        <v>579</v>
      </c>
    </row>
    <row r="396" spans="1:8" x14ac:dyDescent="0.25">
      <c r="A396">
        <v>395</v>
      </c>
      <c r="B396" t="s">
        <v>580</v>
      </c>
      <c r="C396" t="s">
        <v>130</v>
      </c>
      <c r="D396" t="str">
        <f t="shared" si="14"/>
        <v/>
      </c>
      <c r="E396" t="str">
        <f t="shared" si="15"/>
        <v>promised land</v>
      </c>
      <c r="F396" t="s">
        <v>6797</v>
      </c>
      <c r="G396" t="str">
        <f>_xlfn.IFNA(VLOOKUP(F396,songs!$B$1:$C$1539, 2, FALSE),"")</f>
        <v>Promised Land</v>
      </c>
      <c r="H396" t="s">
        <v>130</v>
      </c>
    </row>
    <row r="397" spans="1:8" x14ac:dyDescent="0.25">
      <c r="A397">
        <v>396</v>
      </c>
      <c r="B397" t="s">
        <v>581</v>
      </c>
      <c r="C397" t="s">
        <v>51</v>
      </c>
      <c r="D397" t="str">
        <f t="shared" si="14"/>
        <v/>
      </c>
      <c r="E397" t="str">
        <f t="shared" si="15"/>
        <v>sugaree</v>
      </c>
      <c r="F397" t="s">
        <v>7151</v>
      </c>
      <c r="G397" t="str">
        <f>_xlfn.IFNA(VLOOKUP(F397,songs!$B$1:$C$1539, 2, FALSE),"")</f>
        <v>Sugaree</v>
      </c>
      <c r="H397" t="s">
        <v>51</v>
      </c>
    </row>
    <row r="398" spans="1:8" x14ac:dyDescent="0.25">
      <c r="A398">
        <v>397</v>
      </c>
      <c r="B398" t="s">
        <v>582</v>
      </c>
      <c r="C398" t="s">
        <v>186</v>
      </c>
      <c r="D398" t="str">
        <f t="shared" si="14"/>
        <v/>
      </c>
      <c r="E398" t="str">
        <f t="shared" si="15"/>
        <v>mexicali blues</v>
      </c>
      <c r="F398" t="s">
        <v>6499</v>
      </c>
      <c r="G398" t="str">
        <f>_xlfn.IFNA(VLOOKUP(F398,songs!$B$1:$C$1539, 2, FALSE),"")</f>
        <v>Mexicali Blues</v>
      </c>
      <c r="H398" t="s">
        <v>186</v>
      </c>
    </row>
    <row r="399" spans="1:8" x14ac:dyDescent="0.25">
      <c r="A399">
        <v>398</v>
      </c>
      <c r="B399" t="s">
        <v>583</v>
      </c>
      <c r="C399" t="s">
        <v>164</v>
      </c>
      <c r="D399" t="str">
        <f t="shared" si="14"/>
        <v/>
      </c>
      <c r="E399" t="str">
        <f t="shared" si="15"/>
        <v>tennessee jed</v>
      </c>
      <c r="F399" t="s">
        <v>7234</v>
      </c>
      <c r="G399" t="str">
        <f>_xlfn.IFNA(VLOOKUP(F399,songs!$B$1:$C$1539, 2, FALSE),"")</f>
        <v>Tennessee Jed</v>
      </c>
      <c r="H399" t="s">
        <v>164</v>
      </c>
    </row>
    <row r="400" spans="1:8" x14ac:dyDescent="0.25">
      <c r="A400">
        <v>399</v>
      </c>
      <c r="B400" t="s">
        <v>584</v>
      </c>
      <c r="C400" t="s">
        <v>126</v>
      </c>
      <c r="D400" t="str">
        <f t="shared" si="14"/>
        <v/>
      </c>
      <c r="E400" t="str">
        <f t="shared" si="15"/>
        <v>looks like rain</v>
      </c>
      <c r="F400" t="s">
        <v>6398</v>
      </c>
      <c r="G400" t="str">
        <f>_xlfn.IFNA(VLOOKUP(F400,songs!$B$1:$C$1539, 2, FALSE),"")</f>
        <v>Looks Like Rain</v>
      </c>
      <c r="H400" t="s">
        <v>126</v>
      </c>
    </row>
    <row r="401" spans="1:8" x14ac:dyDescent="0.25">
      <c r="A401">
        <v>400</v>
      </c>
      <c r="B401" t="s">
        <v>585</v>
      </c>
      <c r="C401" t="s">
        <v>215</v>
      </c>
      <c r="D401" t="str">
        <f t="shared" si="14"/>
        <v/>
      </c>
      <c r="E401" t="str">
        <f t="shared" si="15"/>
        <v>don't ease me in</v>
      </c>
      <c r="F401" t="s">
        <v>5513</v>
      </c>
      <c r="G401" t="str">
        <f>_xlfn.IFNA(VLOOKUP(F401,songs!$B$1:$C$1539, 2, FALSE),"")</f>
        <v>Don't Ease Me In</v>
      </c>
      <c r="H401" t="s">
        <v>215</v>
      </c>
    </row>
    <row r="402" spans="1:8" x14ac:dyDescent="0.25">
      <c r="A402">
        <v>401</v>
      </c>
      <c r="B402" t="s">
        <v>586</v>
      </c>
      <c r="C402" t="s">
        <v>199</v>
      </c>
      <c r="D402" t="str">
        <f t="shared" si="14"/>
        <v/>
      </c>
      <c r="E402" t="str">
        <f t="shared" si="15"/>
        <v>jack straw</v>
      </c>
      <c r="F402" t="s">
        <v>6161</v>
      </c>
      <c r="G402" t="str">
        <f>_xlfn.IFNA(VLOOKUP(F402,songs!$B$1:$C$1539, 2, FALSE),"")</f>
        <v>Jack Straw</v>
      </c>
      <c r="H402" t="s">
        <v>199</v>
      </c>
    </row>
    <row r="403" spans="1:8" x14ac:dyDescent="0.25">
      <c r="A403">
        <v>402</v>
      </c>
      <c r="B403" t="s">
        <v>587</v>
      </c>
      <c r="C403" t="s">
        <v>156</v>
      </c>
      <c r="D403" t="str">
        <f t="shared" si="14"/>
        <v/>
      </c>
      <c r="E403" t="str">
        <f t="shared" si="15"/>
        <v>they love each other</v>
      </c>
      <c r="F403" t="s">
        <v>7358</v>
      </c>
      <c r="G403" t="str">
        <f>_xlfn.IFNA(VLOOKUP(F403,songs!$B$1:$C$1539, 2, FALSE),"")</f>
        <v>They Love Each Other</v>
      </c>
      <c r="H403" t="s">
        <v>156</v>
      </c>
    </row>
    <row r="404" spans="1:8" x14ac:dyDescent="0.25">
      <c r="A404">
        <v>403</v>
      </c>
      <c r="B404" t="s">
        <v>588</v>
      </c>
      <c r="C404" t="s">
        <v>327</v>
      </c>
      <c r="D404" t="str">
        <f t="shared" si="14"/>
        <v/>
      </c>
      <c r="E404" t="str">
        <f t="shared" si="15"/>
        <v>el paso</v>
      </c>
      <c r="F404" t="s">
        <v>5600</v>
      </c>
      <c r="G404" t="str">
        <f>_xlfn.IFNA(VLOOKUP(F404,songs!$B$1:$C$1539, 2, FALSE),"")</f>
        <v>El Paso</v>
      </c>
      <c r="H404" t="s">
        <v>327</v>
      </c>
    </row>
    <row r="405" spans="1:8" x14ac:dyDescent="0.25">
      <c r="A405">
        <v>404</v>
      </c>
      <c r="B405" t="s">
        <v>589</v>
      </c>
      <c r="C405" t="s">
        <v>188</v>
      </c>
      <c r="D405" t="str">
        <f t="shared" si="14"/>
        <v/>
      </c>
      <c r="E405" t="str">
        <f t="shared" si="15"/>
        <v>row jimmy</v>
      </c>
      <c r="F405" t="s">
        <v>6893</v>
      </c>
      <c r="G405" t="str">
        <f>_xlfn.IFNA(VLOOKUP(F405,songs!$B$1:$C$1539, 2, FALSE),"")</f>
        <v>Row Jimmy</v>
      </c>
      <c r="H405" t="s">
        <v>188</v>
      </c>
    </row>
    <row r="406" spans="1:8" x14ac:dyDescent="0.25">
      <c r="A406">
        <v>405</v>
      </c>
      <c r="B406" t="s">
        <v>590</v>
      </c>
      <c r="C406" t="s">
        <v>419</v>
      </c>
      <c r="D406" t="str">
        <f t="shared" si="14"/>
        <v/>
      </c>
      <c r="E406" t="str">
        <f t="shared" si="15"/>
        <v>playing in the band</v>
      </c>
      <c r="F406" t="s">
        <v>6769</v>
      </c>
      <c r="G406" t="str">
        <f>_xlfn.IFNA(VLOOKUP(F406,songs!$B$1:$C$1539, 2, FALSE),"")</f>
        <v>Playing In The Band</v>
      </c>
      <c r="H406" t="s">
        <v>419</v>
      </c>
    </row>
    <row r="407" spans="1:8" x14ac:dyDescent="0.25">
      <c r="A407">
        <v>406</v>
      </c>
      <c r="B407" t="s">
        <v>591</v>
      </c>
      <c r="C407" t="s">
        <v>592</v>
      </c>
      <c r="D407" t="str">
        <f t="shared" si="14"/>
        <v>&gt;</v>
      </c>
      <c r="E407" t="str">
        <f t="shared" si="15"/>
        <v>china cat sunflower</v>
      </c>
      <c r="F407" t="s">
        <v>5319</v>
      </c>
      <c r="G407" t="str">
        <f>_xlfn.IFNA(VLOOKUP(F407,songs!$B$1:$C$1539, 2, FALSE),"")</f>
        <v>China Cat Sunflower</v>
      </c>
      <c r="H407" t="s">
        <v>84</v>
      </c>
    </row>
    <row r="408" spans="1:8" x14ac:dyDescent="0.25">
      <c r="A408">
        <v>407</v>
      </c>
      <c r="B408" t="s">
        <v>593</v>
      </c>
      <c r="C408" t="s">
        <v>86</v>
      </c>
      <c r="D408" t="str">
        <f t="shared" si="14"/>
        <v/>
      </c>
      <c r="E408" t="str">
        <f t="shared" si="15"/>
        <v>i know you rider</v>
      </c>
      <c r="F408" t="s">
        <v>6020</v>
      </c>
      <c r="G408" t="str">
        <f>_xlfn.IFNA(VLOOKUP(F408,songs!$B$1:$C$1539, 2, FALSE),"")</f>
        <v>I Know You Rider</v>
      </c>
      <c r="H408" t="s">
        <v>86</v>
      </c>
    </row>
    <row r="409" spans="1:8" x14ac:dyDescent="0.25">
      <c r="A409">
        <v>408</v>
      </c>
      <c r="B409" t="s">
        <v>594</v>
      </c>
      <c r="C409" t="s">
        <v>595</v>
      </c>
      <c r="D409" t="str">
        <f t="shared" si="14"/>
        <v/>
      </c>
      <c r="E409" t="str">
        <f t="shared" si="15"/>
        <v>me and my uncle</v>
      </c>
      <c r="F409" t="s">
        <v>6486</v>
      </c>
      <c r="G409" t="str">
        <f>_xlfn.IFNA(VLOOKUP(F409,songs!$B$1:$C$1539, 2, FALSE),"")</f>
        <v>Me And My Uncle</v>
      </c>
      <c r="H409" t="s">
        <v>903</v>
      </c>
    </row>
    <row r="410" spans="1:8" x14ac:dyDescent="0.25">
      <c r="A410">
        <v>409</v>
      </c>
      <c r="B410" t="s">
        <v>596</v>
      </c>
      <c r="C410" t="s">
        <v>458</v>
      </c>
      <c r="D410" t="str">
        <f t="shared" si="14"/>
        <v/>
      </c>
      <c r="E410" t="str">
        <f t="shared" si="15"/>
        <v>mississippi half-step uptown toodeloo</v>
      </c>
      <c r="F410" t="s">
        <v>6531</v>
      </c>
      <c r="G410" t="str">
        <f>_xlfn.IFNA(VLOOKUP(F410,songs!$B$1:$C$1539, 2, FALSE),"")</f>
        <v>Mississippi Half-Step Uptown Toodeloo</v>
      </c>
      <c r="H410" t="s">
        <v>458</v>
      </c>
    </row>
    <row r="411" spans="1:8" x14ac:dyDescent="0.25">
      <c r="A411">
        <v>410</v>
      </c>
      <c r="B411" t="s">
        <v>597</v>
      </c>
      <c r="C411" t="s">
        <v>3</v>
      </c>
      <c r="D411" t="str">
        <f t="shared" si="14"/>
        <v/>
      </c>
      <c r="E411" t="str">
        <f t="shared" si="15"/>
        <v>big river</v>
      </c>
      <c r="F411" t="s">
        <v>5175</v>
      </c>
      <c r="G411" t="str">
        <f>_xlfn.IFNA(VLOOKUP(F411,songs!$B$1:$C$1539, 2, FALSE),"")</f>
        <v>Big River</v>
      </c>
      <c r="H411" t="s">
        <v>3</v>
      </c>
    </row>
    <row r="412" spans="1:8" x14ac:dyDescent="0.25">
      <c r="A412">
        <v>411</v>
      </c>
      <c r="B412" t="s">
        <v>598</v>
      </c>
      <c r="C412" t="s">
        <v>599</v>
      </c>
      <c r="D412" t="str">
        <f t="shared" si="14"/>
        <v>&gt;</v>
      </c>
      <c r="E412" t="str">
        <f t="shared" si="15"/>
        <v>dark star</v>
      </c>
      <c r="F412" t="s">
        <v>5428</v>
      </c>
      <c r="G412" t="str">
        <f>_xlfn.IFNA(VLOOKUP(F412,songs!$B$1:$C$1539, 2, FALSE),"")</f>
        <v>Dark Star</v>
      </c>
      <c r="H412" t="s">
        <v>92</v>
      </c>
    </row>
    <row r="413" spans="1:8" x14ac:dyDescent="0.25">
      <c r="A413">
        <v>412</v>
      </c>
      <c r="B413" t="s">
        <v>600</v>
      </c>
      <c r="C413" t="s">
        <v>601</v>
      </c>
      <c r="D413" t="str">
        <f t="shared" si="14"/>
        <v>&gt;</v>
      </c>
      <c r="E413" t="str">
        <f t="shared" si="15"/>
        <v>mind left body jam</v>
      </c>
      <c r="F413" t="s">
        <v>6523</v>
      </c>
      <c r="G413" t="str">
        <f>_xlfn.IFNA(VLOOKUP(F413,songs!$B$1:$C$1539, 2, FALSE),"")</f>
        <v>Mind Left Body Jam</v>
      </c>
      <c r="H413" t="s">
        <v>348</v>
      </c>
    </row>
    <row r="414" spans="1:8" x14ac:dyDescent="0.25">
      <c r="A414">
        <v>413</v>
      </c>
      <c r="B414" t="s">
        <v>602</v>
      </c>
      <c r="C414" t="s">
        <v>603</v>
      </c>
      <c r="D414" t="str">
        <f t="shared" si="14"/>
        <v>&gt;</v>
      </c>
      <c r="E414" t="str">
        <f t="shared" si="15"/>
        <v>morning dew</v>
      </c>
      <c r="F414" t="s">
        <v>6555</v>
      </c>
      <c r="G414" t="str">
        <f>_xlfn.IFNA(VLOOKUP(F414,songs!$B$1:$C$1539, 2, FALSE),"")</f>
        <v>Morning Dew</v>
      </c>
      <c r="H414" t="s">
        <v>212</v>
      </c>
    </row>
    <row r="415" spans="1:8" x14ac:dyDescent="0.25">
      <c r="A415">
        <v>414</v>
      </c>
      <c r="B415" t="s">
        <v>604</v>
      </c>
      <c r="C415" t="s">
        <v>605</v>
      </c>
      <c r="D415" t="str">
        <f t="shared" si="14"/>
        <v>&gt;</v>
      </c>
      <c r="E415" t="str">
        <f t="shared" si="15"/>
        <v>sugar magnolia</v>
      </c>
      <c r="F415" t="s">
        <v>7150</v>
      </c>
      <c r="G415" t="str">
        <f>_xlfn.IFNA(VLOOKUP(F415,songs!$B$1:$C$1539, 2, FALSE),"")</f>
        <v>Sugar Magnolia</v>
      </c>
      <c r="H415" t="s">
        <v>30</v>
      </c>
    </row>
    <row r="416" spans="1:8" x14ac:dyDescent="0.25">
      <c r="A416">
        <v>415</v>
      </c>
      <c r="B416" t="s">
        <v>606</v>
      </c>
      <c r="C416" t="s">
        <v>607</v>
      </c>
      <c r="D416" t="str">
        <f t="shared" si="14"/>
        <v>&gt;</v>
      </c>
      <c r="E416" t="str">
        <f t="shared" si="15"/>
        <v>eyes of the world</v>
      </c>
      <c r="F416" t="s">
        <v>5633</v>
      </c>
      <c r="G416" t="str">
        <f>_xlfn.IFNA(VLOOKUP(F416,songs!$B$1:$C$1539, 2, FALSE),"")</f>
        <v>Eyes Of The World</v>
      </c>
      <c r="H416" t="s">
        <v>471</v>
      </c>
    </row>
    <row r="417" spans="1:8" x14ac:dyDescent="0.25">
      <c r="A417">
        <v>416</v>
      </c>
      <c r="B417" t="s">
        <v>608</v>
      </c>
      <c r="C417" t="s">
        <v>24</v>
      </c>
      <c r="D417" t="str">
        <f t="shared" si="14"/>
        <v/>
      </c>
      <c r="E417" t="str">
        <f t="shared" si="15"/>
        <v>stella blue</v>
      </c>
      <c r="F417" t="s">
        <v>7123</v>
      </c>
      <c r="G417" t="str">
        <f>_xlfn.IFNA(VLOOKUP(F417,songs!$B$1:$C$1539, 2, FALSE),"")</f>
        <v>Stella Blue</v>
      </c>
      <c r="H417" t="s">
        <v>24</v>
      </c>
    </row>
    <row r="418" spans="1:8" x14ac:dyDescent="0.25">
      <c r="A418">
        <v>417</v>
      </c>
      <c r="B418" t="s">
        <v>609</v>
      </c>
      <c r="C418" t="s">
        <v>148</v>
      </c>
      <c r="D418" t="str">
        <f t="shared" si="14"/>
        <v/>
      </c>
      <c r="E418" t="str">
        <f t="shared" si="15"/>
        <v>johnny b. goode</v>
      </c>
      <c r="F418" t="s">
        <v>6192</v>
      </c>
      <c r="G418" t="str">
        <f>_xlfn.IFNA(VLOOKUP(F418,songs!$B$1:$C$1539, 2, FALSE),"")</f>
        <v>Johnny B. Goode</v>
      </c>
      <c r="H418" t="s">
        <v>148</v>
      </c>
    </row>
    <row r="419" spans="1:8" x14ac:dyDescent="0.25">
      <c r="A419">
        <v>418</v>
      </c>
      <c r="B419" t="s">
        <v>610</v>
      </c>
      <c r="C419" t="s">
        <v>298</v>
      </c>
      <c r="D419" t="str">
        <f t="shared" si="14"/>
        <v/>
      </c>
      <c r="E419" t="str">
        <f t="shared" si="15"/>
        <v>bertha</v>
      </c>
      <c r="F419" t="s">
        <v>5158</v>
      </c>
      <c r="G419" t="str">
        <f>_xlfn.IFNA(VLOOKUP(F419,songs!$B$1:$C$1539, 2, FALSE),"")</f>
        <v>Bertha</v>
      </c>
      <c r="H419" t="s">
        <v>298</v>
      </c>
    </row>
    <row r="420" spans="1:8" x14ac:dyDescent="0.25">
      <c r="A420">
        <v>431</v>
      </c>
      <c r="B420" t="s">
        <v>625</v>
      </c>
      <c r="C420" t="s">
        <v>626</v>
      </c>
      <c r="D420" t="str">
        <f t="shared" si="14"/>
        <v/>
      </c>
      <c r="E420" t="str">
        <f t="shared" si="15"/>
        <v>dancing in the streets</v>
      </c>
      <c r="F420" t="s">
        <v>5418</v>
      </c>
      <c r="G420" t="str">
        <f>_xlfn.IFNA(VLOOKUP(F420,songs!$B$1:$C$1539, 2, FALSE),"")</f>
        <v>Dancin' In The Streets</v>
      </c>
      <c r="H420" t="s">
        <v>7867</v>
      </c>
    </row>
    <row r="421" spans="1:8" x14ac:dyDescent="0.25">
      <c r="A421">
        <v>420</v>
      </c>
      <c r="B421" t="s">
        <v>612</v>
      </c>
      <c r="C421" t="s">
        <v>336</v>
      </c>
      <c r="D421" t="str">
        <f t="shared" si="14"/>
        <v/>
      </c>
      <c r="E421" t="str">
        <f t="shared" si="15"/>
        <v>ramble on rose</v>
      </c>
      <c r="F421" t="s">
        <v>6827</v>
      </c>
      <c r="G421" t="str">
        <f>_xlfn.IFNA(VLOOKUP(F421,songs!$B$1:$C$1539, 2, FALSE),"")</f>
        <v>Ramble On Rose</v>
      </c>
      <c r="H421" t="s">
        <v>436</v>
      </c>
    </row>
    <row r="422" spans="1:8" x14ac:dyDescent="0.25">
      <c r="A422">
        <v>421</v>
      </c>
      <c r="B422" t="s">
        <v>613</v>
      </c>
      <c r="C422" t="s">
        <v>262</v>
      </c>
      <c r="D422" t="str">
        <f t="shared" si="14"/>
        <v/>
      </c>
      <c r="E422" t="str">
        <f t="shared" si="15"/>
        <v>cassidy</v>
      </c>
      <c r="F422" t="s">
        <v>5291</v>
      </c>
      <c r="G422" t="str">
        <f>_xlfn.IFNA(VLOOKUP(F422,songs!$B$1:$C$1539, 2, FALSE),"")</f>
        <v>Cassidy</v>
      </c>
      <c r="H422" t="s">
        <v>262</v>
      </c>
    </row>
    <row r="423" spans="1:8" x14ac:dyDescent="0.25">
      <c r="A423">
        <v>434</v>
      </c>
      <c r="B423" t="s">
        <v>629</v>
      </c>
      <c r="C423" t="s">
        <v>32</v>
      </c>
      <c r="D423" t="str">
        <f t="shared" si="14"/>
        <v/>
      </c>
      <c r="E423" t="str">
        <f t="shared" si="15"/>
        <v>st. stephen</v>
      </c>
      <c r="F423" t="s">
        <v>6910</v>
      </c>
      <c r="G423" t="str">
        <f>_xlfn.IFNA(VLOOKUP(F423,songs!$B$1:$C$1539, 2, FALSE),"")</f>
        <v>Saint Stephen</v>
      </c>
      <c r="H423" t="s">
        <v>7867</v>
      </c>
    </row>
    <row r="424" spans="1:8" x14ac:dyDescent="0.25">
      <c r="A424">
        <v>423</v>
      </c>
      <c r="B424" t="s">
        <v>616</v>
      </c>
      <c r="C424" t="s">
        <v>158</v>
      </c>
      <c r="D424" t="str">
        <f t="shared" si="14"/>
        <v/>
      </c>
      <c r="E424" t="str">
        <f t="shared" si="15"/>
        <v>mama tried</v>
      </c>
      <c r="F424" t="s">
        <v>6454</v>
      </c>
      <c r="G424" t="str">
        <f>_xlfn.IFNA(VLOOKUP(F424,songs!$B$1:$C$1539, 2, FALSE),"")</f>
        <v>Mama Tried</v>
      </c>
      <c r="H424" t="s">
        <v>158</v>
      </c>
    </row>
    <row r="425" spans="1:8" x14ac:dyDescent="0.25">
      <c r="A425">
        <v>424</v>
      </c>
      <c r="B425" t="s">
        <v>617</v>
      </c>
      <c r="C425" t="s">
        <v>461</v>
      </c>
      <c r="D425" t="str">
        <f t="shared" si="14"/>
        <v/>
      </c>
      <c r="E425" t="str">
        <f t="shared" si="15"/>
        <v>peggy-o</v>
      </c>
      <c r="F425" t="s">
        <v>6749</v>
      </c>
      <c r="G425" t="str">
        <f>_xlfn.IFNA(VLOOKUP(F425,songs!$B$1:$C$1539, 2, FALSE),"")</f>
        <v>Peggy-O</v>
      </c>
      <c r="H425" t="s">
        <v>461</v>
      </c>
    </row>
    <row r="426" spans="1:8" x14ac:dyDescent="0.25">
      <c r="A426">
        <v>425</v>
      </c>
      <c r="B426" t="s">
        <v>618</v>
      </c>
      <c r="C426" t="s">
        <v>291</v>
      </c>
      <c r="D426" t="str">
        <f t="shared" si="14"/>
        <v/>
      </c>
      <c r="E426" t="str">
        <f t="shared" si="15"/>
        <v>loser</v>
      </c>
      <c r="F426" t="s">
        <v>6400</v>
      </c>
      <c r="G426" t="str">
        <f>_xlfn.IFNA(VLOOKUP(F426,songs!$B$1:$C$1539, 2, FALSE),"")</f>
        <v>Loser</v>
      </c>
      <c r="H426" t="s">
        <v>291</v>
      </c>
    </row>
    <row r="427" spans="1:8" x14ac:dyDescent="0.25">
      <c r="A427">
        <v>426</v>
      </c>
      <c r="B427" t="s">
        <v>619</v>
      </c>
      <c r="C427" t="s">
        <v>389</v>
      </c>
      <c r="D427" t="str">
        <f t="shared" si="14"/>
        <v/>
      </c>
      <c r="E427" t="str">
        <f t="shared" si="15"/>
        <v>let it grow</v>
      </c>
      <c r="F427" t="s">
        <v>6308</v>
      </c>
      <c r="G427" t="str">
        <f>_xlfn.IFNA(VLOOKUP(F427,songs!$B$1:$C$1539, 2, FALSE),"")</f>
        <v>Let It Grow</v>
      </c>
      <c r="H427" t="s">
        <v>389</v>
      </c>
    </row>
    <row r="428" spans="1:8" x14ac:dyDescent="0.25">
      <c r="A428">
        <v>427</v>
      </c>
      <c r="B428" t="s">
        <v>620</v>
      </c>
      <c r="C428" t="s">
        <v>51</v>
      </c>
      <c r="D428" t="str">
        <f t="shared" si="14"/>
        <v/>
      </c>
      <c r="E428" t="str">
        <f t="shared" si="15"/>
        <v>sugaree</v>
      </c>
      <c r="F428" t="s">
        <v>7151</v>
      </c>
      <c r="G428" t="str">
        <f>_xlfn.IFNA(VLOOKUP(F428,songs!$B$1:$C$1539, 2, FALSE),"")</f>
        <v>Sugaree</v>
      </c>
      <c r="H428" t="s">
        <v>51</v>
      </c>
    </row>
    <row r="429" spans="1:8" x14ac:dyDescent="0.25">
      <c r="A429">
        <v>438</v>
      </c>
      <c r="B429" t="s">
        <v>633</v>
      </c>
      <c r="C429" t="s">
        <v>32</v>
      </c>
      <c r="D429" t="str">
        <f t="shared" si="14"/>
        <v/>
      </c>
      <c r="E429" t="str">
        <f t="shared" si="15"/>
        <v>st. stephen</v>
      </c>
      <c r="F429" t="s">
        <v>6910</v>
      </c>
      <c r="G429" t="str">
        <f>_xlfn.IFNA(VLOOKUP(F429,songs!$B$1:$C$1539, 2, FALSE),"")</f>
        <v>Saint Stephen</v>
      </c>
      <c r="H429" t="s">
        <v>7867</v>
      </c>
    </row>
    <row r="430" spans="1:8" x14ac:dyDescent="0.25">
      <c r="A430">
        <v>429</v>
      </c>
      <c r="B430" t="s">
        <v>623</v>
      </c>
      <c r="C430" t="s">
        <v>55</v>
      </c>
      <c r="D430" t="str">
        <f t="shared" si="14"/>
        <v/>
      </c>
      <c r="E430" t="str">
        <f t="shared" si="15"/>
        <v>supplication</v>
      </c>
      <c r="F430" t="s">
        <v>7162</v>
      </c>
      <c r="G430" t="str">
        <f>_xlfn.IFNA(VLOOKUP(F430,songs!$B$1:$C$1539, 2, FALSE),"")</f>
        <v>Supplication</v>
      </c>
      <c r="H430" t="s">
        <v>55</v>
      </c>
    </row>
    <row r="431" spans="1:8" x14ac:dyDescent="0.25">
      <c r="A431">
        <v>430</v>
      </c>
      <c r="B431" t="s">
        <v>624</v>
      </c>
      <c r="C431" t="s">
        <v>458</v>
      </c>
      <c r="D431" t="str">
        <f t="shared" si="14"/>
        <v/>
      </c>
      <c r="E431" t="str">
        <f t="shared" si="15"/>
        <v>mississippi half-step uptown toodeloo</v>
      </c>
      <c r="F431" t="s">
        <v>6531</v>
      </c>
      <c r="G431" t="str">
        <f>_xlfn.IFNA(VLOOKUP(F431,songs!$B$1:$C$1539, 2, FALSE),"")</f>
        <v>Mississippi Half-Step Uptown Toodeloo</v>
      </c>
      <c r="H431" t="s">
        <v>458</v>
      </c>
    </row>
    <row r="432" spans="1:8" x14ac:dyDescent="0.25">
      <c r="A432">
        <v>440</v>
      </c>
      <c r="B432" t="s">
        <v>635</v>
      </c>
      <c r="C432" t="s">
        <v>244</v>
      </c>
      <c r="D432" t="str">
        <f t="shared" si="14"/>
        <v/>
      </c>
      <c r="E432" t="str">
        <f t="shared" si="15"/>
        <v>cold rain &amp; snow</v>
      </c>
      <c r="F432" t="s">
        <v>5347</v>
      </c>
      <c r="G432" t="str">
        <f>_xlfn.IFNA(VLOOKUP(F432,songs!$B$1:$C$1539, 2, FALSE),"")</f>
        <v>Cold Rain And Snow</v>
      </c>
      <c r="H432" t="s">
        <v>7867</v>
      </c>
    </row>
    <row r="433" spans="1:8" x14ac:dyDescent="0.25">
      <c r="A433">
        <v>432</v>
      </c>
      <c r="B433" t="s">
        <v>627</v>
      </c>
      <c r="C433" t="s">
        <v>239</v>
      </c>
      <c r="D433" t="str">
        <f t="shared" si="14"/>
        <v/>
      </c>
      <c r="E433" t="str">
        <f t="shared" si="15"/>
        <v>cosmic charlie</v>
      </c>
      <c r="F433" t="s">
        <v>5373</v>
      </c>
      <c r="G433" t="str">
        <f>_xlfn.IFNA(VLOOKUP(F433,songs!$B$1:$C$1539, 2, FALSE),"")</f>
        <v>Cosmic Charlie</v>
      </c>
      <c r="H433" t="s">
        <v>239</v>
      </c>
    </row>
    <row r="434" spans="1:8" x14ac:dyDescent="0.25">
      <c r="A434">
        <v>433</v>
      </c>
      <c r="B434" t="s">
        <v>628</v>
      </c>
      <c r="C434" t="s">
        <v>170</v>
      </c>
      <c r="D434" t="str">
        <f t="shared" si="14"/>
        <v/>
      </c>
      <c r="E434" t="str">
        <f t="shared" si="15"/>
        <v>scarlet begonias</v>
      </c>
      <c r="F434" t="s">
        <v>6944</v>
      </c>
      <c r="G434" t="str">
        <f>_xlfn.IFNA(VLOOKUP(F434,songs!$B$1:$C$1539, 2, FALSE),"")</f>
        <v>Scarlet Begonias</v>
      </c>
      <c r="H434" t="s">
        <v>170</v>
      </c>
    </row>
    <row r="435" spans="1:8" x14ac:dyDescent="0.25">
      <c r="A435">
        <v>444</v>
      </c>
      <c r="B435" t="s">
        <v>639</v>
      </c>
      <c r="C435" t="s">
        <v>122</v>
      </c>
      <c r="D435" t="str">
        <f t="shared" si="14"/>
        <v/>
      </c>
      <c r="E435" t="str">
        <f t="shared" si="15"/>
        <v>new minglewood blues</v>
      </c>
      <c r="F435" t="s">
        <v>7869</v>
      </c>
      <c r="G435" t="str">
        <f>_xlfn.IFNA(VLOOKUP(F435,songs!$B$1:$C$1539, 2, FALSE),"")</f>
        <v>Minglewood Blues</v>
      </c>
      <c r="H435" t="s">
        <v>7867</v>
      </c>
    </row>
    <row r="436" spans="1:8" x14ac:dyDescent="0.25">
      <c r="A436">
        <v>435</v>
      </c>
      <c r="B436" t="s">
        <v>630</v>
      </c>
      <c r="C436" t="s">
        <v>34</v>
      </c>
      <c r="D436" t="str">
        <f t="shared" si="14"/>
        <v/>
      </c>
      <c r="E436" t="str">
        <f t="shared" si="15"/>
        <v>not fade away</v>
      </c>
      <c r="F436" t="s">
        <v>6651</v>
      </c>
      <c r="G436" t="str">
        <f>_xlfn.IFNA(VLOOKUP(F436,songs!$B$1:$C$1539, 2, FALSE),"")</f>
        <v>Not Fade Away</v>
      </c>
      <c r="H436" t="s">
        <v>34</v>
      </c>
    </row>
    <row r="437" spans="1:8" x14ac:dyDescent="0.25">
      <c r="A437">
        <v>436</v>
      </c>
      <c r="B437" t="s">
        <v>631</v>
      </c>
      <c r="C437" t="s">
        <v>100</v>
      </c>
      <c r="D437" t="str">
        <f t="shared" si="14"/>
        <v/>
      </c>
      <c r="E437" t="str">
        <f t="shared" si="15"/>
        <v>drums</v>
      </c>
      <c r="F437" t="s">
        <v>5568</v>
      </c>
      <c r="G437" t="str">
        <f>_xlfn.IFNA(VLOOKUP(F437,songs!$B$1:$C$1539, 2, FALSE),"")</f>
        <v>Drums</v>
      </c>
      <c r="H437" t="s">
        <v>100</v>
      </c>
    </row>
    <row r="438" spans="1:8" x14ac:dyDescent="0.25">
      <c r="A438">
        <v>437</v>
      </c>
      <c r="B438" t="s">
        <v>632</v>
      </c>
      <c r="C438" t="s">
        <v>19</v>
      </c>
      <c r="D438" t="str">
        <f t="shared" si="14"/>
        <v/>
      </c>
      <c r="E438" t="str">
        <f t="shared" si="15"/>
        <v>jam</v>
      </c>
      <c r="F438" t="s">
        <v>6165</v>
      </c>
      <c r="G438" t="str">
        <f>_xlfn.IFNA(VLOOKUP(F438,songs!$B$1:$C$1539, 2, FALSE),"")</f>
        <v>Jam</v>
      </c>
      <c r="H438" t="s">
        <v>19</v>
      </c>
    </row>
    <row r="439" spans="1:8" x14ac:dyDescent="0.25">
      <c r="A439">
        <v>3717</v>
      </c>
      <c r="B439" t="s">
        <v>4735</v>
      </c>
      <c r="C439" t="s">
        <v>4736</v>
      </c>
      <c r="D439" t="str">
        <f t="shared" si="14"/>
        <v/>
      </c>
      <c r="E439" t="str">
        <f t="shared" si="15"/>
        <v>bob's dog story</v>
      </c>
      <c r="F439" t="s">
        <v>7864</v>
      </c>
      <c r="G439" t="str">
        <f>_xlfn.IFNA(VLOOKUP(F439,songs!$B$1:$C$1539, 2, FALSE),"")</f>
        <v/>
      </c>
      <c r="H439" t="s">
        <v>7867</v>
      </c>
    </row>
    <row r="440" spans="1:8" x14ac:dyDescent="0.25">
      <c r="A440">
        <v>439</v>
      </c>
      <c r="B440" t="s">
        <v>634</v>
      </c>
      <c r="C440" t="s">
        <v>30</v>
      </c>
      <c r="D440" t="str">
        <f t="shared" si="14"/>
        <v/>
      </c>
      <c r="E440" t="str">
        <f t="shared" si="15"/>
        <v>sugar magnolia</v>
      </c>
      <c r="F440" t="s">
        <v>7150</v>
      </c>
      <c r="G440" t="str">
        <f>_xlfn.IFNA(VLOOKUP(F440,songs!$B$1:$C$1539, 2, FALSE),"")</f>
        <v>Sugar Magnolia</v>
      </c>
      <c r="H440" t="s">
        <v>30</v>
      </c>
    </row>
    <row r="441" spans="1:8" x14ac:dyDescent="0.25">
      <c r="A441">
        <v>449</v>
      </c>
      <c r="B441" t="s">
        <v>646</v>
      </c>
      <c r="C441" t="s">
        <v>647</v>
      </c>
      <c r="D441" t="str">
        <f t="shared" si="14"/>
        <v/>
      </c>
      <c r="E441" t="str">
        <f t="shared" si="15"/>
        <v>goin down the road feelin bad</v>
      </c>
      <c r="F441" t="s">
        <v>5783</v>
      </c>
      <c r="G441" t="str">
        <f>_xlfn.IFNA(VLOOKUP(F441,songs!$B$1:$C$1539, 2, FALSE),"")</f>
        <v>Goin' Down The Road Feelin' Bad</v>
      </c>
      <c r="H441" t="s">
        <v>7867</v>
      </c>
    </row>
    <row r="442" spans="1:8" x14ac:dyDescent="0.25">
      <c r="A442">
        <v>441</v>
      </c>
      <c r="B442" t="s">
        <v>636</v>
      </c>
      <c r="C442" t="s">
        <v>3</v>
      </c>
      <c r="D442" t="str">
        <f t="shared" si="14"/>
        <v/>
      </c>
      <c r="E442" t="str">
        <f t="shared" si="15"/>
        <v>big river</v>
      </c>
      <c r="F442" t="s">
        <v>5175</v>
      </c>
      <c r="G442" t="str">
        <f>_xlfn.IFNA(VLOOKUP(F442,songs!$B$1:$C$1539, 2, FALSE),"")</f>
        <v>Big River</v>
      </c>
      <c r="H442" t="s">
        <v>3</v>
      </c>
    </row>
    <row r="443" spans="1:8" x14ac:dyDescent="0.25">
      <c r="A443">
        <v>442</v>
      </c>
      <c r="B443" t="s">
        <v>637</v>
      </c>
      <c r="C443" t="s">
        <v>262</v>
      </c>
      <c r="D443" t="str">
        <f t="shared" si="14"/>
        <v/>
      </c>
      <c r="E443" t="str">
        <f t="shared" si="15"/>
        <v>cassidy</v>
      </c>
      <c r="F443" t="s">
        <v>5291</v>
      </c>
      <c r="G443" t="str">
        <f>_xlfn.IFNA(VLOOKUP(F443,songs!$B$1:$C$1539, 2, FALSE),"")</f>
        <v>Cassidy</v>
      </c>
      <c r="H443" t="s">
        <v>262</v>
      </c>
    </row>
    <row r="444" spans="1:8" x14ac:dyDescent="0.25">
      <c r="A444">
        <v>443</v>
      </c>
      <c r="B444" t="s">
        <v>638</v>
      </c>
      <c r="C444" t="s">
        <v>164</v>
      </c>
      <c r="D444" t="str">
        <f t="shared" si="14"/>
        <v/>
      </c>
      <c r="E444" t="str">
        <f t="shared" si="15"/>
        <v>tennessee jed</v>
      </c>
      <c r="F444" t="s">
        <v>7234</v>
      </c>
      <c r="G444" t="str">
        <f>_xlfn.IFNA(VLOOKUP(F444,songs!$B$1:$C$1539, 2, FALSE),"")</f>
        <v>Tennessee Jed</v>
      </c>
      <c r="H444" t="s">
        <v>164</v>
      </c>
    </row>
    <row r="445" spans="1:8" x14ac:dyDescent="0.25">
      <c r="A445">
        <v>358</v>
      </c>
      <c r="B445" t="s">
        <v>529</v>
      </c>
      <c r="C445" t="s">
        <v>530</v>
      </c>
      <c r="D445" t="str">
        <f t="shared" si="14"/>
        <v/>
      </c>
      <c r="E445" t="str">
        <f t="shared" si="15"/>
        <v>boston clam jam</v>
      </c>
      <c r="F445" t="s">
        <v>7827</v>
      </c>
      <c r="G445" t="str">
        <f>_xlfn.IFNA(VLOOKUP(F445,songs!$B$1:$C$1539, 2, FALSE),"")</f>
        <v/>
      </c>
      <c r="H445" t="s">
        <v>7867</v>
      </c>
    </row>
    <row r="446" spans="1:8" x14ac:dyDescent="0.25">
      <c r="A446">
        <v>445</v>
      </c>
      <c r="B446" t="s">
        <v>640</v>
      </c>
      <c r="C446" t="s">
        <v>641</v>
      </c>
      <c r="D446" t="str">
        <f t="shared" si="14"/>
        <v/>
      </c>
      <c r="E446" t="str">
        <f t="shared" si="15"/>
        <v>candyman</v>
      </c>
      <c r="F446" t="s">
        <v>5278</v>
      </c>
      <c r="G446" t="str">
        <f>_xlfn.IFNA(VLOOKUP(F446,songs!$B$1:$C$1539, 2, FALSE),"")</f>
        <v>Candyman</v>
      </c>
      <c r="H446" t="s">
        <v>641</v>
      </c>
    </row>
    <row r="447" spans="1:8" x14ac:dyDescent="0.25">
      <c r="A447">
        <v>446</v>
      </c>
      <c r="B447" t="s">
        <v>642</v>
      </c>
      <c r="C447" t="s">
        <v>554</v>
      </c>
      <c r="D447" t="str">
        <f t="shared" si="14"/>
        <v/>
      </c>
      <c r="E447" t="str">
        <f t="shared" si="15"/>
        <v>it's all over now</v>
      </c>
      <c r="F447" t="s">
        <v>6135</v>
      </c>
      <c r="G447" t="str">
        <f>_xlfn.IFNA(VLOOKUP(F447,songs!$B$1:$C$1539, 2, FALSE),"")</f>
        <v>It's All Over Now</v>
      </c>
      <c r="H447" t="s">
        <v>554</v>
      </c>
    </row>
    <row r="448" spans="1:8" x14ac:dyDescent="0.25">
      <c r="A448">
        <v>447</v>
      </c>
      <c r="B448" t="s">
        <v>643</v>
      </c>
      <c r="C448" t="s">
        <v>124</v>
      </c>
      <c r="D448" t="str">
        <f t="shared" si="14"/>
        <v/>
      </c>
      <c r="E448" t="str">
        <f t="shared" si="15"/>
        <v>friend of the devil</v>
      </c>
      <c r="F448" t="s">
        <v>5721</v>
      </c>
      <c r="G448" t="str">
        <f>_xlfn.IFNA(VLOOKUP(F448,songs!$B$1:$C$1539, 2, FALSE),"")</f>
        <v>Friend Of The Devil</v>
      </c>
      <c r="H448" t="s">
        <v>464</v>
      </c>
    </row>
    <row r="449" spans="1:8" x14ac:dyDescent="0.25">
      <c r="A449">
        <v>448</v>
      </c>
      <c r="B449" t="s">
        <v>644</v>
      </c>
      <c r="C449" t="s">
        <v>645</v>
      </c>
      <c r="D449" t="str">
        <f t="shared" si="14"/>
        <v>&gt;</v>
      </c>
      <c r="E449" t="str">
        <f t="shared" si="15"/>
        <v>let it grow</v>
      </c>
      <c r="F449" t="s">
        <v>6308</v>
      </c>
      <c r="G449" t="str">
        <f>_xlfn.IFNA(VLOOKUP(F449,songs!$B$1:$C$1539, 2, FALSE),"")</f>
        <v>Let It Grow</v>
      </c>
      <c r="H449" t="s">
        <v>389</v>
      </c>
    </row>
    <row r="450" spans="1:8" x14ac:dyDescent="0.25">
      <c r="A450">
        <v>452</v>
      </c>
      <c r="B450" t="s">
        <v>650</v>
      </c>
      <c r="C450" t="s">
        <v>473</v>
      </c>
      <c r="D450" t="str">
        <f t="shared" si="14"/>
        <v/>
      </c>
      <c r="E450" t="str">
        <f t="shared" si="15"/>
        <v>samson &amp; delilah</v>
      </c>
      <c r="F450" t="s">
        <v>6925</v>
      </c>
      <c r="G450" t="str">
        <f>_xlfn.IFNA(VLOOKUP(F450,songs!$B$1:$C$1539, 2, FALSE),"")</f>
        <v>Samson And Delilah</v>
      </c>
      <c r="H450" t="s">
        <v>7867</v>
      </c>
    </row>
    <row r="451" spans="1:8" x14ac:dyDescent="0.25">
      <c r="A451">
        <v>450</v>
      </c>
      <c r="B451" t="s">
        <v>648</v>
      </c>
      <c r="C451" t="s">
        <v>11</v>
      </c>
      <c r="D451" t="str">
        <f t="shared" si="14"/>
        <v/>
      </c>
      <c r="E451" t="str">
        <f t="shared" si="15"/>
        <v>playing in the band</v>
      </c>
      <c r="F451" t="s">
        <v>6769</v>
      </c>
      <c r="G451" t="str">
        <f>_xlfn.IFNA(VLOOKUP(F451,songs!$B$1:$C$1539, 2, FALSE),"")</f>
        <v>Playing In The Band</v>
      </c>
      <c r="H451" t="s">
        <v>419</v>
      </c>
    </row>
    <row r="452" spans="1:8" x14ac:dyDescent="0.25">
      <c r="A452">
        <v>451</v>
      </c>
      <c r="B452" t="s">
        <v>649</v>
      </c>
      <c r="C452" t="s">
        <v>567</v>
      </c>
      <c r="D452" t="str">
        <f t="shared" ref="D452:D515" si="16">IF(RIGHT(TRIM(C452),2)="-&gt;","&gt;",IF(RIGHT(TRIM(C452),1)="&gt;","&gt;",""))</f>
        <v/>
      </c>
      <c r="E452" t="str">
        <f t="shared" ref="E452:E515" si="17">LOWER(TRIM(SUBSTITUTE(IF(RIGHT(TRIM(C452),2)="-&gt;",LEFT(TRIM(C452),LEN(TRIM(C452))-2),IF(RIGHT(TRIM(C452),1)="&gt;",LEFT(TRIM(C452),LEN(TRIM(C452))-1),C452)),"//","")))</f>
        <v>the wheel</v>
      </c>
      <c r="F452" t="s">
        <v>7343</v>
      </c>
      <c r="G452" t="str">
        <f>_xlfn.IFNA(VLOOKUP(F452,songs!$B$1:$C$1539, 2, FALSE),"")</f>
        <v>The Wheel</v>
      </c>
      <c r="H452" t="s">
        <v>567</v>
      </c>
    </row>
    <row r="453" spans="1:8" x14ac:dyDescent="0.25">
      <c r="A453">
        <v>458</v>
      </c>
      <c r="B453" t="s">
        <v>658</v>
      </c>
      <c r="C453" t="s">
        <v>659</v>
      </c>
      <c r="D453" t="str">
        <f t="shared" si="16"/>
        <v/>
      </c>
      <c r="E453" t="str">
        <f t="shared" si="17"/>
        <v>dancing in the streets</v>
      </c>
      <c r="F453" t="s">
        <v>5418</v>
      </c>
      <c r="G453" t="str">
        <f>_xlfn.IFNA(VLOOKUP(F453,songs!$B$1:$C$1539, 2, FALSE),"")</f>
        <v>Dancin' In The Streets</v>
      </c>
      <c r="H453" t="s">
        <v>7867</v>
      </c>
    </row>
    <row r="454" spans="1:8" x14ac:dyDescent="0.25">
      <c r="A454">
        <v>453</v>
      </c>
      <c r="B454" t="s">
        <v>651</v>
      </c>
      <c r="C454" t="s">
        <v>19</v>
      </c>
      <c r="D454" t="str">
        <f t="shared" si="16"/>
        <v/>
      </c>
      <c r="E454" t="str">
        <f t="shared" si="17"/>
        <v>jam</v>
      </c>
      <c r="F454" t="s">
        <v>6165</v>
      </c>
      <c r="G454" t="str">
        <f>_xlfn.IFNA(VLOOKUP(F454,songs!$B$1:$C$1539, 2, FALSE),"")</f>
        <v>Jam</v>
      </c>
      <c r="H454" t="s">
        <v>19</v>
      </c>
    </row>
    <row r="455" spans="1:8" x14ac:dyDescent="0.25">
      <c r="A455">
        <v>454</v>
      </c>
      <c r="B455" t="s">
        <v>652</v>
      </c>
      <c r="C455" t="s">
        <v>653</v>
      </c>
      <c r="D455" t="str">
        <f t="shared" si="16"/>
        <v/>
      </c>
      <c r="E455" t="str">
        <f t="shared" si="17"/>
        <v>comes a time</v>
      </c>
      <c r="F455" t="s">
        <v>5360</v>
      </c>
      <c r="G455" t="str">
        <f>_xlfn.IFNA(VLOOKUP(F455,songs!$B$1:$C$1539, 2, FALSE),"")</f>
        <v>Comes A Time</v>
      </c>
      <c r="H455" t="s">
        <v>1731</v>
      </c>
    </row>
    <row r="456" spans="1:8" x14ac:dyDescent="0.25">
      <c r="A456">
        <v>455</v>
      </c>
      <c r="B456" t="s">
        <v>654</v>
      </c>
      <c r="C456" t="s">
        <v>100</v>
      </c>
      <c r="D456" t="str">
        <f t="shared" si="16"/>
        <v/>
      </c>
      <c r="E456" t="str">
        <f t="shared" si="17"/>
        <v>drums</v>
      </c>
      <c r="F456" t="s">
        <v>5568</v>
      </c>
      <c r="G456" t="str">
        <f>_xlfn.IFNA(VLOOKUP(F456,songs!$B$1:$C$1539, 2, FALSE),"")</f>
        <v>Drums</v>
      </c>
      <c r="H456" t="s">
        <v>100</v>
      </c>
    </row>
    <row r="457" spans="1:8" x14ac:dyDescent="0.25">
      <c r="A457">
        <v>456</v>
      </c>
      <c r="B457" t="s">
        <v>655</v>
      </c>
      <c r="C457" t="s">
        <v>71</v>
      </c>
      <c r="D457" t="str">
        <f t="shared" si="16"/>
        <v/>
      </c>
      <c r="E457" t="str">
        <f t="shared" si="17"/>
        <v>eyes of the world</v>
      </c>
      <c r="F457" t="s">
        <v>5633</v>
      </c>
      <c r="G457" t="str">
        <f>_xlfn.IFNA(VLOOKUP(F457,songs!$B$1:$C$1539, 2, FALSE),"")</f>
        <v>Eyes Of The World</v>
      </c>
      <c r="H457" t="s">
        <v>471</v>
      </c>
    </row>
    <row r="458" spans="1:8" x14ac:dyDescent="0.25">
      <c r="A458">
        <v>465</v>
      </c>
      <c r="B458" t="s">
        <v>666</v>
      </c>
      <c r="C458" t="s">
        <v>667</v>
      </c>
      <c r="D458" t="str">
        <f t="shared" si="16"/>
        <v>&gt;</v>
      </c>
      <c r="E458" t="str">
        <f t="shared" si="17"/>
        <v>dancing in the streets</v>
      </c>
      <c r="F458" t="s">
        <v>5418</v>
      </c>
      <c r="G458" t="str">
        <f>_xlfn.IFNA(VLOOKUP(F458,songs!$B$1:$C$1539, 2, FALSE),"")</f>
        <v>Dancin' In The Streets</v>
      </c>
      <c r="H458" t="s">
        <v>7867</v>
      </c>
    </row>
    <row r="459" spans="1:8" x14ac:dyDescent="0.25">
      <c r="A459">
        <v>471</v>
      </c>
      <c r="B459" t="s">
        <v>674</v>
      </c>
      <c r="C459" t="s">
        <v>615</v>
      </c>
      <c r="D459" t="str">
        <f t="shared" si="16"/>
        <v/>
      </c>
      <c r="E459" t="str">
        <f t="shared" si="17"/>
        <v>brown-eyed women</v>
      </c>
      <c r="F459" t="s">
        <v>5255</v>
      </c>
      <c r="G459" t="str">
        <f>_xlfn.IFNA(VLOOKUP(F459,songs!$B$1:$C$1539, 2, FALSE),"")</f>
        <v>Brown Eyed Women</v>
      </c>
      <c r="H459" t="s">
        <v>7867</v>
      </c>
    </row>
    <row r="460" spans="1:8" x14ac:dyDescent="0.25">
      <c r="A460">
        <v>459</v>
      </c>
      <c r="B460" t="s">
        <v>660</v>
      </c>
      <c r="C460" t="s">
        <v>11</v>
      </c>
      <c r="D460" t="str">
        <f t="shared" si="16"/>
        <v/>
      </c>
      <c r="E460" t="str">
        <f t="shared" si="17"/>
        <v>playing in the band</v>
      </c>
      <c r="F460" t="s">
        <v>6769</v>
      </c>
      <c r="G460" t="str">
        <f>_xlfn.IFNA(VLOOKUP(F460,songs!$B$1:$C$1539, 2, FALSE),"")</f>
        <v>Playing In The Band</v>
      </c>
      <c r="H460" t="s">
        <v>419</v>
      </c>
    </row>
    <row r="461" spans="1:8" x14ac:dyDescent="0.25">
      <c r="A461">
        <v>460</v>
      </c>
      <c r="B461" t="s">
        <v>661</v>
      </c>
      <c r="C461" t="s">
        <v>148</v>
      </c>
      <c r="D461" t="str">
        <f t="shared" si="16"/>
        <v/>
      </c>
      <c r="E461" t="str">
        <f t="shared" si="17"/>
        <v>johnny b. goode</v>
      </c>
      <c r="F461" t="s">
        <v>6192</v>
      </c>
      <c r="G461" t="str">
        <f>_xlfn.IFNA(VLOOKUP(F461,songs!$B$1:$C$1539, 2, FALSE),"")</f>
        <v>Johnny B. Goode</v>
      </c>
      <c r="H461" t="s">
        <v>148</v>
      </c>
    </row>
    <row r="462" spans="1:8" x14ac:dyDescent="0.25">
      <c r="A462">
        <v>461</v>
      </c>
      <c r="B462" t="s">
        <v>662</v>
      </c>
      <c r="C462" t="s">
        <v>277</v>
      </c>
      <c r="D462" t="str">
        <f t="shared" si="16"/>
        <v/>
      </c>
      <c r="E462" t="str">
        <f t="shared" si="17"/>
        <v>space</v>
      </c>
      <c r="F462" t="s">
        <v>7091</v>
      </c>
      <c r="G462" t="str">
        <f>_xlfn.IFNA(VLOOKUP(F462,songs!$B$1:$C$1539, 2, FALSE),"")</f>
        <v>Space</v>
      </c>
      <c r="H462" t="s">
        <v>277</v>
      </c>
    </row>
    <row r="463" spans="1:8" x14ac:dyDescent="0.25">
      <c r="A463">
        <v>462</v>
      </c>
      <c r="B463" t="s">
        <v>663</v>
      </c>
      <c r="C463" t="s">
        <v>268</v>
      </c>
      <c r="D463" t="str">
        <f t="shared" si="16"/>
        <v/>
      </c>
      <c r="E463" t="str">
        <f t="shared" si="17"/>
        <v>iko iko</v>
      </c>
      <c r="F463" t="s">
        <v>6063</v>
      </c>
      <c r="G463" t="str">
        <f>_xlfn.IFNA(VLOOKUP(F463,songs!$B$1:$C$1539, 2, FALSE),"")</f>
        <v>Iko Iko</v>
      </c>
      <c r="H463" t="s">
        <v>268</v>
      </c>
    </row>
    <row r="464" spans="1:8" x14ac:dyDescent="0.25">
      <c r="A464">
        <v>463</v>
      </c>
      <c r="B464" t="s">
        <v>664</v>
      </c>
      <c r="C464" t="s">
        <v>212</v>
      </c>
      <c r="D464" t="str">
        <f t="shared" si="16"/>
        <v/>
      </c>
      <c r="E464" t="str">
        <f t="shared" si="17"/>
        <v>morning dew</v>
      </c>
      <c r="F464" t="s">
        <v>6555</v>
      </c>
      <c r="G464" t="str">
        <f>_xlfn.IFNA(VLOOKUP(F464,songs!$B$1:$C$1539, 2, FALSE),"")</f>
        <v>Morning Dew</v>
      </c>
      <c r="H464" t="s">
        <v>212</v>
      </c>
    </row>
    <row r="465" spans="1:8" x14ac:dyDescent="0.25">
      <c r="A465">
        <v>464</v>
      </c>
      <c r="B465" t="s">
        <v>665</v>
      </c>
      <c r="C465" t="s">
        <v>30</v>
      </c>
      <c r="D465" t="str">
        <f t="shared" si="16"/>
        <v/>
      </c>
      <c r="E465" t="str">
        <f t="shared" si="17"/>
        <v>sugar magnolia</v>
      </c>
      <c r="F465" t="s">
        <v>7150</v>
      </c>
      <c r="G465" t="str">
        <f>_xlfn.IFNA(VLOOKUP(F465,songs!$B$1:$C$1539, 2, FALSE),"")</f>
        <v>Sugar Magnolia</v>
      </c>
      <c r="H465" t="s">
        <v>30</v>
      </c>
    </row>
    <row r="466" spans="1:8" x14ac:dyDescent="0.25">
      <c r="A466">
        <v>486</v>
      </c>
      <c r="B466" t="s">
        <v>698</v>
      </c>
      <c r="C466" t="s">
        <v>168</v>
      </c>
      <c r="D466" t="str">
        <f t="shared" si="16"/>
        <v/>
      </c>
      <c r="E466" t="str">
        <f t="shared" si="17"/>
        <v>keep your day job</v>
      </c>
      <c r="F466" t="s">
        <v>5447</v>
      </c>
      <c r="G466" t="str">
        <f>_xlfn.IFNA(VLOOKUP(F466,songs!$B$1:$C$1539, 2, FALSE),"")</f>
        <v>Day Job</v>
      </c>
      <c r="H466" t="s">
        <v>7867</v>
      </c>
    </row>
    <row r="467" spans="1:8" x14ac:dyDescent="0.25">
      <c r="A467">
        <v>466</v>
      </c>
      <c r="B467" t="s">
        <v>668</v>
      </c>
      <c r="C467" t="s">
        <v>429</v>
      </c>
      <c r="D467" t="str">
        <f t="shared" si="16"/>
        <v/>
      </c>
      <c r="E467" t="str">
        <f t="shared" si="17"/>
        <v>cold rain and snow</v>
      </c>
      <c r="F467" t="s">
        <v>5347</v>
      </c>
      <c r="G467" t="str">
        <f>_xlfn.IFNA(VLOOKUP(F467,songs!$B$1:$C$1539, 2, FALSE),"")</f>
        <v>Cold Rain And Snow</v>
      </c>
      <c r="H467" t="s">
        <v>429</v>
      </c>
    </row>
    <row r="468" spans="1:8" x14ac:dyDescent="0.25">
      <c r="A468">
        <v>467</v>
      </c>
      <c r="B468" t="s">
        <v>669</v>
      </c>
      <c r="C468" t="s">
        <v>255</v>
      </c>
      <c r="D468" t="str">
        <f t="shared" si="16"/>
        <v/>
      </c>
      <c r="E468" t="str">
        <f t="shared" si="17"/>
        <v>little red rooster</v>
      </c>
      <c r="F468" t="s">
        <v>6360</v>
      </c>
      <c r="G468" t="str">
        <f>_xlfn.IFNA(VLOOKUP(F468,songs!$B$1:$C$1539, 2, FALSE),"")</f>
        <v>Little Red Rooster</v>
      </c>
      <c r="H468" t="s">
        <v>255</v>
      </c>
    </row>
    <row r="469" spans="1:8" x14ac:dyDescent="0.25">
      <c r="A469">
        <v>468</v>
      </c>
      <c r="B469" t="s">
        <v>670</v>
      </c>
      <c r="C469" t="s">
        <v>257</v>
      </c>
      <c r="D469" t="str">
        <f t="shared" si="16"/>
        <v/>
      </c>
      <c r="E469" t="str">
        <f t="shared" si="17"/>
        <v>stagger lee</v>
      </c>
      <c r="F469" t="s">
        <v>7101</v>
      </c>
      <c r="G469" t="str">
        <f>_xlfn.IFNA(VLOOKUP(F469,songs!$B$1:$C$1539, 2, FALSE),"")</f>
        <v>Stagger Lee</v>
      </c>
      <c r="H469" t="s">
        <v>257</v>
      </c>
    </row>
    <row r="470" spans="1:8" x14ac:dyDescent="0.25">
      <c r="A470">
        <v>469</v>
      </c>
      <c r="B470" t="s">
        <v>671</v>
      </c>
      <c r="C470" t="s">
        <v>672</v>
      </c>
      <c r="D470" t="str">
        <f t="shared" si="16"/>
        <v>&gt;</v>
      </c>
      <c r="E470" t="str">
        <f t="shared" si="17"/>
        <v>me and my uncle</v>
      </c>
      <c r="F470" t="s">
        <v>6486</v>
      </c>
      <c r="G470" t="str">
        <f>_xlfn.IFNA(VLOOKUP(F470,songs!$B$1:$C$1539, 2, FALSE),"")</f>
        <v>Me And My Uncle</v>
      </c>
      <c r="H470" t="s">
        <v>903</v>
      </c>
    </row>
    <row r="471" spans="1:8" x14ac:dyDescent="0.25">
      <c r="A471">
        <v>470</v>
      </c>
      <c r="B471" t="s">
        <v>673</v>
      </c>
      <c r="C471" t="s">
        <v>3</v>
      </c>
      <c r="D471" t="str">
        <f t="shared" si="16"/>
        <v/>
      </c>
      <c r="E471" t="str">
        <f t="shared" si="17"/>
        <v>big river</v>
      </c>
      <c r="F471" t="s">
        <v>5175</v>
      </c>
      <c r="G471" t="str">
        <f>_xlfn.IFNA(VLOOKUP(F471,songs!$B$1:$C$1539, 2, FALSE),"")</f>
        <v>Big River</v>
      </c>
      <c r="H471" t="s">
        <v>3</v>
      </c>
    </row>
    <row r="472" spans="1:8" x14ac:dyDescent="0.25">
      <c r="A472">
        <v>496</v>
      </c>
      <c r="B472" t="s">
        <v>712</v>
      </c>
      <c r="C472" t="s">
        <v>713</v>
      </c>
      <c r="D472" t="str">
        <f t="shared" si="16"/>
        <v/>
      </c>
      <c r="E472" t="str">
        <f t="shared" si="17"/>
        <v>good morning little school girl</v>
      </c>
      <c r="F472" t="s">
        <v>5811</v>
      </c>
      <c r="G472" t="str">
        <f>_xlfn.IFNA(VLOOKUP(F472,songs!$B$1:$C$1539, 2, FALSE),"")</f>
        <v>Good Morning Little Schoolgirl</v>
      </c>
      <c r="H472" t="s">
        <v>7867</v>
      </c>
    </row>
    <row r="473" spans="1:8" x14ac:dyDescent="0.25">
      <c r="A473">
        <v>472</v>
      </c>
      <c r="B473" t="s">
        <v>675</v>
      </c>
      <c r="C473" t="s">
        <v>676</v>
      </c>
      <c r="D473" t="str">
        <f t="shared" si="16"/>
        <v>&gt;</v>
      </c>
      <c r="E473" t="str">
        <f t="shared" si="17"/>
        <v>jack straw</v>
      </c>
      <c r="F473" t="s">
        <v>6161</v>
      </c>
      <c r="G473" t="str">
        <f>_xlfn.IFNA(VLOOKUP(F473,songs!$B$1:$C$1539, 2, FALSE),"")</f>
        <v>Jack Straw</v>
      </c>
      <c r="H473" t="s">
        <v>199</v>
      </c>
    </row>
    <row r="474" spans="1:8" x14ac:dyDescent="0.25">
      <c r="A474">
        <v>473</v>
      </c>
      <c r="B474" t="s">
        <v>677</v>
      </c>
      <c r="C474" t="s">
        <v>215</v>
      </c>
      <c r="D474" t="str">
        <f t="shared" si="16"/>
        <v/>
      </c>
      <c r="E474" t="str">
        <f t="shared" si="17"/>
        <v>don't ease me in</v>
      </c>
      <c r="F474" t="s">
        <v>5513</v>
      </c>
      <c r="G474" t="str">
        <f>_xlfn.IFNA(VLOOKUP(F474,songs!$B$1:$C$1539, 2, FALSE),"")</f>
        <v>Don't Ease Me In</v>
      </c>
      <c r="H474" t="s">
        <v>215</v>
      </c>
    </row>
    <row r="475" spans="1:8" x14ac:dyDescent="0.25">
      <c r="A475">
        <v>474</v>
      </c>
      <c r="B475" t="s">
        <v>678</v>
      </c>
      <c r="C475" t="s">
        <v>65</v>
      </c>
      <c r="D475" t="str">
        <f t="shared" si="16"/>
        <v/>
      </c>
      <c r="E475" t="str">
        <f t="shared" si="17"/>
        <v>samson and delilah</v>
      </c>
      <c r="F475" t="s">
        <v>6925</v>
      </c>
      <c r="G475" t="str">
        <f>_xlfn.IFNA(VLOOKUP(F475,songs!$B$1:$C$1539, 2, FALSE),"")</f>
        <v>Samson And Delilah</v>
      </c>
      <c r="H475" t="s">
        <v>266</v>
      </c>
    </row>
    <row r="476" spans="1:8" x14ac:dyDescent="0.25">
      <c r="A476">
        <v>475</v>
      </c>
      <c r="B476" t="s">
        <v>679</v>
      </c>
      <c r="C476" t="s">
        <v>88</v>
      </c>
      <c r="D476" t="str">
        <f t="shared" si="16"/>
        <v/>
      </c>
      <c r="E476" t="str">
        <f t="shared" si="17"/>
        <v>high time</v>
      </c>
      <c r="F476" t="s">
        <v>5920</v>
      </c>
      <c r="G476" t="str">
        <f>_xlfn.IFNA(VLOOKUP(F476,songs!$B$1:$C$1539, 2, FALSE),"")</f>
        <v>High Time</v>
      </c>
      <c r="H476" t="s">
        <v>88</v>
      </c>
    </row>
    <row r="477" spans="1:8" x14ac:dyDescent="0.25">
      <c r="A477">
        <v>476</v>
      </c>
      <c r="B477" t="s">
        <v>680</v>
      </c>
      <c r="C477" t="s">
        <v>271</v>
      </c>
      <c r="D477" t="str">
        <f t="shared" si="16"/>
        <v>&gt;</v>
      </c>
      <c r="E477" t="str">
        <f t="shared" si="17"/>
        <v>he's gone</v>
      </c>
      <c r="F477" t="s">
        <v>5903</v>
      </c>
      <c r="G477" t="str">
        <f>_xlfn.IFNA(VLOOKUP(F477,songs!$B$1:$C$1539, 2, FALSE),"")</f>
        <v>He's Gone</v>
      </c>
      <c r="H477" t="s">
        <v>13</v>
      </c>
    </row>
    <row r="478" spans="1:8" x14ac:dyDescent="0.25">
      <c r="A478">
        <v>477</v>
      </c>
      <c r="B478" t="s">
        <v>681</v>
      </c>
      <c r="C478" t="s">
        <v>682</v>
      </c>
      <c r="D478" t="str">
        <f t="shared" si="16"/>
        <v>&gt;</v>
      </c>
      <c r="E478" t="str">
        <f t="shared" si="17"/>
        <v>spoonful</v>
      </c>
      <c r="F478" t="s">
        <v>7097</v>
      </c>
      <c r="G478" t="str">
        <f>_xlfn.IFNA(VLOOKUP(F478,songs!$B$1:$C$1539, 2, FALSE),"")</f>
        <v>Spoonful</v>
      </c>
      <c r="H478" t="s">
        <v>7098</v>
      </c>
    </row>
    <row r="479" spans="1:8" x14ac:dyDescent="0.25">
      <c r="A479">
        <v>478</v>
      </c>
      <c r="B479" t="s">
        <v>683</v>
      </c>
      <c r="C479" t="s">
        <v>684</v>
      </c>
      <c r="D479" t="str">
        <f t="shared" si="16"/>
        <v>&gt;</v>
      </c>
      <c r="E479" t="str">
        <f t="shared" si="17"/>
        <v>comes a time</v>
      </c>
      <c r="F479" t="s">
        <v>5360</v>
      </c>
      <c r="G479" t="str">
        <f>_xlfn.IFNA(VLOOKUP(F479,songs!$B$1:$C$1539, 2, FALSE),"")</f>
        <v>Comes A Time</v>
      </c>
      <c r="H479" t="s">
        <v>1731</v>
      </c>
    </row>
    <row r="480" spans="1:8" x14ac:dyDescent="0.25">
      <c r="A480">
        <v>479</v>
      </c>
      <c r="B480" t="s">
        <v>685</v>
      </c>
      <c r="C480" t="s">
        <v>686</v>
      </c>
      <c r="D480" t="str">
        <f t="shared" si="16"/>
        <v>&gt;</v>
      </c>
      <c r="E480" t="str">
        <f t="shared" si="17"/>
        <v>lost sailor</v>
      </c>
      <c r="F480" t="s">
        <v>6403</v>
      </c>
      <c r="G480" t="str">
        <f>_xlfn.IFNA(VLOOKUP(F480,songs!$B$1:$C$1539, 2, FALSE),"")</f>
        <v>Lost Sailor</v>
      </c>
      <c r="H480" t="s">
        <v>394</v>
      </c>
    </row>
    <row r="481" spans="1:8" x14ac:dyDescent="0.25">
      <c r="A481">
        <v>480</v>
      </c>
      <c r="B481" t="s">
        <v>687</v>
      </c>
      <c r="C481" t="s">
        <v>275</v>
      </c>
      <c r="D481" t="str">
        <f t="shared" si="16"/>
        <v>&gt;</v>
      </c>
      <c r="E481" t="str">
        <f t="shared" si="17"/>
        <v>drums</v>
      </c>
      <c r="F481" t="s">
        <v>5568</v>
      </c>
      <c r="G481" t="str">
        <f>_xlfn.IFNA(VLOOKUP(F481,songs!$B$1:$C$1539, 2, FALSE),"")</f>
        <v>Drums</v>
      </c>
      <c r="H481" t="s">
        <v>100</v>
      </c>
    </row>
    <row r="482" spans="1:8" x14ac:dyDescent="0.25">
      <c r="A482">
        <v>481</v>
      </c>
      <c r="B482" t="s">
        <v>688</v>
      </c>
      <c r="C482" t="s">
        <v>689</v>
      </c>
      <c r="D482" t="str">
        <f t="shared" si="16"/>
        <v>&gt;</v>
      </c>
      <c r="E482" t="str">
        <f t="shared" si="17"/>
        <v>space</v>
      </c>
      <c r="F482" t="s">
        <v>7091</v>
      </c>
      <c r="G482" t="str">
        <f>_xlfn.IFNA(VLOOKUP(F482,songs!$B$1:$C$1539, 2, FALSE),"")</f>
        <v>Space</v>
      </c>
      <c r="H482" t="s">
        <v>277</v>
      </c>
    </row>
    <row r="483" spans="1:8" x14ac:dyDescent="0.25">
      <c r="A483">
        <v>482</v>
      </c>
      <c r="B483" t="s">
        <v>690</v>
      </c>
      <c r="C483" t="s">
        <v>691</v>
      </c>
      <c r="D483" t="str">
        <f t="shared" si="16"/>
        <v>&gt;</v>
      </c>
      <c r="E483" t="str">
        <f t="shared" si="17"/>
        <v>saint of circumstance</v>
      </c>
      <c r="F483" t="s">
        <v>6909</v>
      </c>
      <c r="G483" t="str">
        <f>_xlfn.IFNA(VLOOKUP(F483,songs!$B$1:$C$1539, 2, FALSE),"")</f>
        <v>Saint Of Circumstance</v>
      </c>
      <c r="H483" t="s">
        <v>1486</v>
      </c>
    </row>
    <row r="484" spans="1:8" x14ac:dyDescent="0.25">
      <c r="A484">
        <v>483</v>
      </c>
      <c r="B484" t="s">
        <v>692</v>
      </c>
      <c r="C484" t="s">
        <v>693</v>
      </c>
      <c r="D484" t="str">
        <f t="shared" si="16"/>
        <v>&gt;</v>
      </c>
      <c r="E484" t="str">
        <f t="shared" si="17"/>
        <v>gimme some lovin'</v>
      </c>
      <c r="F484" t="s">
        <v>5766</v>
      </c>
      <c r="G484" t="str">
        <f>_xlfn.IFNA(VLOOKUP(F484,songs!$B$1:$C$1539, 2, FALSE),"")</f>
        <v>Gimme Some Lovin'</v>
      </c>
      <c r="H484" t="s">
        <v>5767</v>
      </c>
    </row>
    <row r="485" spans="1:8" x14ac:dyDescent="0.25">
      <c r="A485">
        <v>484</v>
      </c>
      <c r="B485" t="s">
        <v>694</v>
      </c>
      <c r="C485" t="s">
        <v>695</v>
      </c>
      <c r="D485" t="str">
        <f t="shared" si="16"/>
        <v>&gt;</v>
      </c>
      <c r="E485" t="str">
        <f t="shared" si="17"/>
        <v>she belongs to me</v>
      </c>
      <c r="F485" t="s">
        <v>6975</v>
      </c>
      <c r="G485" t="str">
        <f>_xlfn.IFNA(VLOOKUP(F485,songs!$B$1:$C$1539, 2, FALSE),"")</f>
        <v>She Belongs To Me</v>
      </c>
      <c r="H485" t="s">
        <v>6976</v>
      </c>
    </row>
    <row r="486" spans="1:8" x14ac:dyDescent="0.25">
      <c r="A486">
        <v>485</v>
      </c>
      <c r="B486" t="s">
        <v>696</v>
      </c>
      <c r="C486" t="s">
        <v>697</v>
      </c>
      <c r="D486" t="str">
        <f t="shared" si="16"/>
        <v/>
      </c>
      <c r="E486" t="str">
        <f t="shared" si="17"/>
        <v>gloria</v>
      </c>
      <c r="F486" t="s">
        <v>5774</v>
      </c>
      <c r="G486" t="str">
        <f>_xlfn.IFNA(VLOOKUP(F486,songs!$B$1:$C$1539, 2, FALSE),"")</f>
        <v>Gloria</v>
      </c>
      <c r="H486" t="s">
        <v>697</v>
      </c>
    </row>
    <row r="487" spans="1:8" x14ac:dyDescent="0.25">
      <c r="A487">
        <v>497</v>
      </c>
      <c r="B487" t="s">
        <v>714</v>
      </c>
      <c r="C487" t="s">
        <v>715</v>
      </c>
      <c r="D487" t="str">
        <f t="shared" si="16"/>
        <v>&gt;</v>
      </c>
      <c r="E487" t="str">
        <f t="shared" si="17"/>
        <v>that's it for the other one</v>
      </c>
      <c r="F487" t="s">
        <v>7325</v>
      </c>
      <c r="G487" t="str">
        <f>_xlfn.IFNA(VLOOKUP(F487,songs!$B$1:$C$1539, 2, FALSE),"")</f>
        <v>The Other One</v>
      </c>
      <c r="H487" t="s">
        <v>7867</v>
      </c>
    </row>
    <row r="488" spans="1:8" x14ac:dyDescent="0.25">
      <c r="A488">
        <v>487</v>
      </c>
      <c r="B488" t="s">
        <v>699</v>
      </c>
      <c r="C488" t="s">
        <v>250</v>
      </c>
      <c r="D488" t="str">
        <f t="shared" si="16"/>
        <v/>
      </c>
      <c r="E488" t="str">
        <f t="shared" si="17"/>
        <v>viola lee blues</v>
      </c>
      <c r="F488" t="s">
        <v>7595</v>
      </c>
      <c r="G488" t="str">
        <f>_xlfn.IFNA(VLOOKUP(F488,songs!$B$1:$C$1539, 2, FALSE),"")</f>
        <v>Viola Lee Blues</v>
      </c>
      <c r="H488" t="s">
        <v>250</v>
      </c>
    </row>
    <row r="489" spans="1:8" x14ac:dyDescent="0.25">
      <c r="A489">
        <v>488</v>
      </c>
      <c r="B489" t="s">
        <v>700</v>
      </c>
      <c r="C489" t="s">
        <v>701</v>
      </c>
      <c r="D489" t="str">
        <f t="shared" si="16"/>
        <v/>
      </c>
      <c r="E489" t="str">
        <f t="shared" si="17"/>
        <v>hurts me too</v>
      </c>
      <c r="F489" t="s">
        <v>5979</v>
      </c>
      <c r="G489" t="str">
        <f>_xlfn.IFNA(VLOOKUP(F489,songs!$B$1:$C$1539, 2, FALSE),"")</f>
        <v>Hurts Me Too</v>
      </c>
      <c r="H489" t="s">
        <v>701</v>
      </c>
    </row>
    <row r="490" spans="1:8" x14ac:dyDescent="0.25">
      <c r="A490">
        <v>489</v>
      </c>
      <c r="B490" t="s">
        <v>702</v>
      </c>
      <c r="C490" t="s">
        <v>599</v>
      </c>
      <c r="D490" t="str">
        <f t="shared" si="16"/>
        <v>&gt;</v>
      </c>
      <c r="E490" t="str">
        <f t="shared" si="17"/>
        <v>dark star</v>
      </c>
      <c r="F490" t="s">
        <v>5428</v>
      </c>
      <c r="G490" t="str">
        <f>_xlfn.IFNA(VLOOKUP(F490,songs!$B$1:$C$1539, 2, FALSE),"")</f>
        <v>Dark Star</v>
      </c>
      <c r="H490" t="s">
        <v>92</v>
      </c>
    </row>
    <row r="491" spans="1:8" x14ac:dyDescent="0.25">
      <c r="A491">
        <v>490</v>
      </c>
      <c r="B491" t="s">
        <v>703</v>
      </c>
      <c r="C491" t="s">
        <v>592</v>
      </c>
      <c r="D491" t="str">
        <f t="shared" si="16"/>
        <v>&gt;</v>
      </c>
      <c r="E491" t="str">
        <f t="shared" si="17"/>
        <v>china cat sunflower</v>
      </c>
      <c r="F491" t="s">
        <v>5319</v>
      </c>
      <c r="G491" t="str">
        <f>_xlfn.IFNA(VLOOKUP(F491,songs!$B$1:$C$1539, 2, FALSE),"")</f>
        <v>China Cat Sunflower</v>
      </c>
      <c r="H491" t="s">
        <v>84</v>
      </c>
    </row>
    <row r="492" spans="1:8" x14ac:dyDescent="0.25">
      <c r="A492">
        <v>491</v>
      </c>
      <c r="B492" t="s">
        <v>704</v>
      </c>
      <c r="C492" t="s">
        <v>705</v>
      </c>
      <c r="D492" t="str">
        <f t="shared" si="16"/>
        <v>&gt;</v>
      </c>
      <c r="E492" t="str">
        <f t="shared" si="17"/>
        <v>the eleven</v>
      </c>
      <c r="F492" t="s">
        <v>7280</v>
      </c>
      <c r="G492" t="str">
        <f>_xlfn.IFNA(VLOOKUP(F492,songs!$B$1:$C$1539, 2, FALSE),"")</f>
        <v>The Eleven</v>
      </c>
      <c r="H492" t="s">
        <v>498</v>
      </c>
    </row>
    <row r="493" spans="1:8" x14ac:dyDescent="0.25">
      <c r="A493">
        <v>492</v>
      </c>
      <c r="B493" t="s">
        <v>706</v>
      </c>
      <c r="C493" t="s">
        <v>707</v>
      </c>
      <c r="D493" t="str">
        <f t="shared" si="16"/>
        <v/>
      </c>
      <c r="E493" t="str">
        <f t="shared" si="17"/>
        <v>turn on your lovelight</v>
      </c>
      <c r="F493" t="s">
        <v>7447</v>
      </c>
      <c r="G493" t="str">
        <f>_xlfn.IFNA(VLOOKUP(F493,songs!$B$1:$C$1539, 2, FALSE),"")</f>
        <v>Turn On Your Lovelight</v>
      </c>
      <c r="H493" t="s">
        <v>507</v>
      </c>
    </row>
    <row r="494" spans="1:8" x14ac:dyDescent="0.25">
      <c r="A494">
        <v>493</v>
      </c>
      <c r="B494" t="s">
        <v>708</v>
      </c>
      <c r="C494" t="s">
        <v>709</v>
      </c>
      <c r="D494" t="str">
        <f t="shared" si="16"/>
        <v>&gt;</v>
      </c>
      <c r="E494" t="str">
        <f t="shared" si="17"/>
        <v>born cross-eyed</v>
      </c>
      <c r="F494" t="s">
        <v>5228</v>
      </c>
      <c r="G494" t="str">
        <f>_xlfn.IFNA(VLOOKUP(F494,songs!$B$1:$C$1539, 2, FALSE),"")</f>
        <v>Born Cross-Eyed</v>
      </c>
      <c r="H494" t="s">
        <v>3105</v>
      </c>
    </row>
    <row r="495" spans="1:8" x14ac:dyDescent="0.25">
      <c r="A495">
        <v>494</v>
      </c>
      <c r="B495" t="s">
        <v>710</v>
      </c>
      <c r="C495" t="s">
        <v>177</v>
      </c>
      <c r="D495" t="str">
        <f t="shared" si="16"/>
        <v/>
      </c>
      <c r="E495" t="str">
        <f t="shared" si="17"/>
        <v>spanish jam</v>
      </c>
      <c r="F495" t="s">
        <v>7094</v>
      </c>
      <c r="G495" t="str">
        <f>_xlfn.IFNA(VLOOKUP(F495,songs!$B$1:$C$1539, 2, FALSE),"")</f>
        <v>Spanish Jam</v>
      </c>
      <c r="H495" t="s">
        <v>177</v>
      </c>
    </row>
    <row r="496" spans="1:8" x14ac:dyDescent="0.25">
      <c r="A496">
        <v>495</v>
      </c>
      <c r="B496" t="s">
        <v>711</v>
      </c>
      <c r="C496" t="s">
        <v>212</v>
      </c>
      <c r="D496" t="str">
        <f t="shared" si="16"/>
        <v/>
      </c>
      <c r="E496" t="str">
        <f t="shared" si="17"/>
        <v>morning dew</v>
      </c>
      <c r="F496" t="s">
        <v>6555</v>
      </c>
      <c r="G496" t="str">
        <f>_xlfn.IFNA(VLOOKUP(F496,songs!$B$1:$C$1539, 2, FALSE),"")</f>
        <v>Morning Dew</v>
      </c>
      <c r="H496" t="s">
        <v>212</v>
      </c>
    </row>
    <row r="497" spans="1:8" x14ac:dyDescent="0.25">
      <c r="A497">
        <v>503</v>
      </c>
      <c r="B497" t="s">
        <v>723</v>
      </c>
      <c r="C497" t="s">
        <v>724</v>
      </c>
      <c r="D497" t="str">
        <f t="shared" si="16"/>
        <v>&gt;</v>
      </c>
      <c r="E497" t="str">
        <f t="shared" si="17"/>
        <v>caution</v>
      </c>
      <c r="F497" t="s">
        <v>5300</v>
      </c>
      <c r="G497" t="str">
        <f>_xlfn.IFNA(VLOOKUP(F497,songs!$B$1:$C$1539, 2, FALSE),"")</f>
        <v>Caution (Do Not Stop On Tracks)</v>
      </c>
      <c r="H497" t="s">
        <v>7867</v>
      </c>
    </row>
    <row r="498" spans="1:8" x14ac:dyDescent="0.25">
      <c r="A498">
        <v>507</v>
      </c>
      <c r="B498" t="s">
        <v>728</v>
      </c>
      <c r="C498" t="s">
        <v>190</v>
      </c>
      <c r="D498" t="str">
        <f t="shared" si="16"/>
        <v/>
      </c>
      <c r="E498" t="str">
        <f t="shared" si="17"/>
        <v>black-throated wind</v>
      </c>
      <c r="F498" t="s">
        <v>5193</v>
      </c>
      <c r="G498" t="str">
        <f>_xlfn.IFNA(VLOOKUP(F498,songs!$B$1:$C$1539, 2, FALSE),"")</f>
        <v>Black Throated Wind</v>
      </c>
      <c r="H498" t="s">
        <v>7867</v>
      </c>
    </row>
    <row r="499" spans="1:8" x14ac:dyDescent="0.25">
      <c r="A499">
        <v>498</v>
      </c>
      <c r="B499" t="s">
        <v>716</v>
      </c>
      <c r="C499" t="s">
        <v>717</v>
      </c>
      <c r="D499" t="str">
        <f t="shared" si="16"/>
        <v/>
      </c>
      <c r="E499" t="str">
        <f t="shared" si="17"/>
        <v>new potato caboose</v>
      </c>
      <c r="F499" t="s">
        <v>6621</v>
      </c>
      <c r="G499" t="str">
        <f>_xlfn.IFNA(VLOOKUP(F499,songs!$B$1:$C$1539, 2, FALSE),"")</f>
        <v>New Potato Caboose</v>
      </c>
      <c r="H499" t="s">
        <v>717</v>
      </c>
    </row>
    <row r="500" spans="1:8" x14ac:dyDescent="0.25">
      <c r="A500">
        <v>499</v>
      </c>
      <c r="B500" t="s">
        <v>718</v>
      </c>
      <c r="C500" t="s">
        <v>719</v>
      </c>
      <c r="D500" t="str">
        <f t="shared" si="16"/>
        <v>&gt;</v>
      </c>
      <c r="E500" t="str">
        <f t="shared" si="17"/>
        <v>alligator</v>
      </c>
      <c r="F500" t="s">
        <v>5072</v>
      </c>
      <c r="G500" t="str">
        <f>_xlfn.IFNA(VLOOKUP(F500,songs!$B$1:$C$1539, 2, FALSE),"")</f>
        <v>Alligator</v>
      </c>
      <c r="H500" t="s">
        <v>98</v>
      </c>
    </row>
    <row r="501" spans="1:8" x14ac:dyDescent="0.25">
      <c r="A501">
        <v>500</v>
      </c>
      <c r="B501" t="s">
        <v>720</v>
      </c>
      <c r="C501" t="s">
        <v>592</v>
      </c>
      <c r="D501" t="str">
        <f t="shared" si="16"/>
        <v>&gt;</v>
      </c>
      <c r="E501" t="str">
        <f t="shared" si="17"/>
        <v>china cat sunflower</v>
      </c>
      <c r="F501" t="s">
        <v>5319</v>
      </c>
      <c r="G501" t="str">
        <f>_xlfn.IFNA(VLOOKUP(F501,songs!$B$1:$C$1539, 2, FALSE),"")</f>
        <v>China Cat Sunflower</v>
      </c>
      <c r="H501" t="s">
        <v>84</v>
      </c>
    </row>
    <row r="502" spans="1:8" x14ac:dyDescent="0.25">
      <c r="A502">
        <v>501</v>
      </c>
      <c r="B502" t="s">
        <v>721</v>
      </c>
      <c r="C502" t="s">
        <v>705</v>
      </c>
      <c r="D502" t="str">
        <f t="shared" si="16"/>
        <v>&gt;</v>
      </c>
      <c r="E502" t="str">
        <f t="shared" si="17"/>
        <v>the eleven</v>
      </c>
      <c r="F502" t="s">
        <v>7280</v>
      </c>
      <c r="G502" t="str">
        <f>_xlfn.IFNA(VLOOKUP(F502,songs!$B$1:$C$1539, 2, FALSE),"")</f>
        <v>The Eleven</v>
      </c>
      <c r="H502" t="s">
        <v>498</v>
      </c>
    </row>
    <row r="503" spans="1:8" x14ac:dyDescent="0.25">
      <c r="A503">
        <v>502</v>
      </c>
      <c r="B503" t="s">
        <v>722</v>
      </c>
      <c r="C503" t="s">
        <v>719</v>
      </c>
      <c r="D503" t="str">
        <f t="shared" si="16"/>
        <v>&gt;</v>
      </c>
      <c r="E503" t="str">
        <f t="shared" si="17"/>
        <v>alligator</v>
      </c>
      <c r="F503" t="s">
        <v>5072</v>
      </c>
      <c r="G503" t="str">
        <f>_xlfn.IFNA(VLOOKUP(F503,songs!$B$1:$C$1539, 2, FALSE),"")</f>
        <v>Alligator</v>
      </c>
      <c r="H503" t="s">
        <v>98</v>
      </c>
    </row>
    <row r="504" spans="1:8" x14ac:dyDescent="0.25">
      <c r="A504">
        <v>530</v>
      </c>
      <c r="B504" t="s">
        <v>754</v>
      </c>
      <c r="C504" t="s">
        <v>615</v>
      </c>
      <c r="D504" t="str">
        <f t="shared" si="16"/>
        <v/>
      </c>
      <c r="E504" t="str">
        <f t="shared" si="17"/>
        <v>brown-eyed women</v>
      </c>
      <c r="F504" t="s">
        <v>5255</v>
      </c>
      <c r="G504" t="str">
        <f>_xlfn.IFNA(VLOOKUP(F504,songs!$B$1:$C$1539, 2, FALSE),"")</f>
        <v>Brown Eyed Women</v>
      </c>
      <c r="H504" t="s">
        <v>7867</v>
      </c>
    </row>
    <row r="505" spans="1:8" x14ac:dyDescent="0.25">
      <c r="A505">
        <v>504</v>
      </c>
      <c r="B505" t="s">
        <v>725</v>
      </c>
      <c r="C505" t="s">
        <v>109</v>
      </c>
      <c r="D505" t="str">
        <f t="shared" si="16"/>
        <v/>
      </c>
      <c r="E505" t="str">
        <f t="shared" si="17"/>
        <v>feedback</v>
      </c>
      <c r="F505" t="s">
        <v>5657</v>
      </c>
      <c r="G505" t="str">
        <f>_xlfn.IFNA(VLOOKUP(F505,songs!$B$1:$C$1539, 2, FALSE),"")</f>
        <v>Feedback</v>
      </c>
      <c r="H505" t="s">
        <v>109</v>
      </c>
    </row>
    <row r="506" spans="1:8" x14ac:dyDescent="0.25">
      <c r="A506">
        <v>505</v>
      </c>
      <c r="B506" t="s">
        <v>726</v>
      </c>
      <c r="C506" t="s">
        <v>130</v>
      </c>
      <c r="D506" t="str">
        <f t="shared" si="16"/>
        <v/>
      </c>
      <c r="E506" t="str">
        <f t="shared" si="17"/>
        <v>promised land</v>
      </c>
      <c r="F506" t="s">
        <v>6797</v>
      </c>
      <c r="G506" t="str">
        <f>_xlfn.IFNA(VLOOKUP(F506,songs!$B$1:$C$1539, 2, FALSE),"")</f>
        <v>Promised Land</v>
      </c>
      <c r="H506" t="s">
        <v>130</v>
      </c>
    </row>
    <row r="507" spans="1:8" x14ac:dyDescent="0.25">
      <c r="A507">
        <v>506</v>
      </c>
      <c r="B507" t="s">
        <v>727</v>
      </c>
      <c r="C507" t="s">
        <v>51</v>
      </c>
      <c r="D507" t="str">
        <f t="shared" si="16"/>
        <v/>
      </c>
      <c r="E507" t="str">
        <f t="shared" si="17"/>
        <v>sugaree</v>
      </c>
      <c r="F507" t="s">
        <v>7151</v>
      </c>
      <c r="G507" t="str">
        <f>_xlfn.IFNA(VLOOKUP(F507,songs!$B$1:$C$1539, 2, FALSE),"")</f>
        <v>Sugaree</v>
      </c>
      <c r="H507" t="s">
        <v>51</v>
      </c>
    </row>
    <row r="508" spans="1:8" x14ac:dyDescent="0.25">
      <c r="A508">
        <v>531</v>
      </c>
      <c r="B508" t="s">
        <v>755</v>
      </c>
      <c r="C508" t="s">
        <v>190</v>
      </c>
      <c r="D508" t="str">
        <f t="shared" si="16"/>
        <v/>
      </c>
      <c r="E508" t="str">
        <f t="shared" si="17"/>
        <v>black-throated wind</v>
      </c>
      <c r="F508" t="s">
        <v>5193</v>
      </c>
      <c r="G508" t="str">
        <f>_xlfn.IFNA(VLOOKUP(F508,songs!$B$1:$C$1539, 2, FALSE),"")</f>
        <v>Black Throated Wind</v>
      </c>
      <c r="H508" t="s">
        <v>7867</v>
      </c>
    </row>
    <row r="509" spans="1:8" x14ac:dyDescent="0.25">
      <c r="A509">
        <v>508</v>
      </c>
      <c r="B509" t="s">
        <v>729</v>
      </c>
      <c r="C509" t="s">
        <v>464</v>
      </c>
      <c r="D509" t="str">
        <f t="shared" si="16"/>
        <v/>
      </c>
      <c r="E509" t="str">
        <f t="shared" si="17"/>
        <v>friend of the devil</v>
      </c>
      <c r="F509" t="s">
        <v>5721</v>
      </c>
      <c r="G509" t="str">
        <f>_xlfn.IFNA(VLOOKUP(F509,songs!$B$1:$C$1539, 2, FALSE),"")</f>
        <v>Friend Of The Devil</v>
      </c>
      <c r="H509" t="s">
        <v>464</v>
      </c>
    </row>
    <row r="510" spans="1:8" x14ac:dyDescent="0.25">
      <c r="A510">
        <v>509</v>
      </c>
      <c r="B510" t="s">
        <v>730</v>
      </c>
      <c r="C510" t="s">
        <v>327</v>
      </c>
      <c r="D510" t="str">
        <f t="shared" si="16"/>
        <v/>
      </c>
      <c r="E510" t="str">
        <f t="shared" si="17"/>
        <v>el paso</v>
      </c>
      <c r="F510" t="s">
        <v>5600</v>
      </c>
      <c r="G510" t="str">
        <f>_xlfn.IFNA(VLOOKUP(F510,songs!$B$1:$C$1539, 2, FALSE),"")</f>
        <v>El Paso</v>
      </c>
      <c r="H510" t="s">
        <v>327</v>
      </c>
    </row>
    <row r="511" spans="1:8" x14ac:dyDescent="0.25">
      <c r="A511">
        <v>510</v>
      </c>
      <c r="B511" t="s">
        <v>731</v>
      </c>
      <c r="C511" t="s">
        <v>323</v>
      </c>
      <c r="D511" t="str">
        <f t="shared" si="16"/>
        <v/>
      </c>
      <c r="E511" t="str">
        <f t="shared" si="17"/>
        <v>bird song</v>
      </c>
      <c r="F511" t="s">
        <v>5184</v>
      </c>
      <c r="G511" t="str">
        <f>_xlfn.IFNA(VLOOKUP(F511,songs!$B$1:$C$1539, 2, FALSE),"")</f>
        <v>Bird Song</v>
      </c>
      <c r="H511" t="s">
        <v>323</v>
      </c>
    </row>
    <row r="512" spans="1:8" x14ac:dyDescent="0.25">
      <c r="A512">
        <v>511</v>
      </c>
      <c r="B512" t="s">
        <v>732</v>
      </c>
      <c r="C512" t="s">
        <v>3</v>
      </c>
      <c r="D512" t="str">
        <f t="shared" si="16"/>
        <v/>
      </c>
      <c r="E512" t="str">
        <f t="shared" si="17"/>
        <v>big river</v>
      </c>
      <c r="F512" t="s">
        <v>5175</v>
      </c>
      <c r="G512" t="str">
        <f>_xlfn.IFNA(VLOOKUP(F512,songs!$B$1:$C$1539, 2, FALSE),"")</f>
        <v>Big River</v>
      </c>
      <c r="H512" t="s">
        <v>3</v>
      </c>
    </row>
    <row r="513" spans="1:8" x14ac:dyDescent="0.25">
      <c r="A513">
        <v>512</v>
      </c>
      <c r="B513" t="s">
        <v>733</v>
      </c>
      <c r="C513" t="s">
        <v>164</v>
      </c>
      <c r="D513" t="str">
        <f t="shared" si="16"/>
        <v/>
      </c>
      <c r="E513" t="str">
        <f t="shared" si="17"/>
        <v>tennessee jed</v>
      </c>
      <c r="F513" t="s">
        <v>7234</v>
      </c>
      <c r="G513" t="str">
        <f>_xlfn.IFNA(VLOOKUP(F513,songs!$B$1:$C$1539, 2, FALSE),"")</f>
        <v>Tennessee Jed</v>
      </c>
      <c r="H513" t="s">
        <v>164</v>
      </c>
    </row>
    <row r="514" spans="1:8" x14ac:dyDescent="0.25">
      <c r="A514">
        <v>513</v>
      </c>
      <c r="B514" t="s">
        <v>734</v>
      </c>
      <c r="C514" t="s">
        <v>186</v>
      </c>
      <c r="D514" t="str">
        <f t="shared" si="16"/>
        <v/>
      </c>
      <c r="E514" t="str">
        <f t="shared" si="17"/>
        <v>mexicali blues</v>
      </c>
      <c r="F514" t="s">
        <v>6499</v>
      </c>
      <c r="G514" t="str">
        <f>_xlfn.IFNA(VLOOKUP(F514,songs!$B$1:$C$1539, 2, FALSE),"")</f>
        <v>Mexicali Blues</v>
      </c>
      <c r="H514" t="s">
        <v>186</v>
      </c>
    </row>
    <row r="515" spans="1:8" x14ac:dyDescent="0.25">
      <c r="A515">
        <v>514</v>
      </c>
      <c r="B515" t="s">
        <v>735</v>
      </c>
      <c r="C515" t="s">
        <v>592</v>
      </c>
      <c r="D515" t="str">
        <f t="shared" si="16"/>
        <v>&gt;</v>
      </c>
      <c r="E515" t="str">
        <f t="shared" si="17"/>
        <v>china cat sunflower</v>
      </c>
      <c r="F515" t="s">
        <v>5319</v>
      </c>
      <c r="G515" t="str">
        <f>_xlfn.IFNA(VLOOKUP(F515,songs!$B$1:$C$1539, 2, FALSE),"")</f>
        <v>China Cat Sunflower</v>
      </c>
      <c r="H515" t="s">
        <v>84</v>
      </c>
    </row>
    <row r="516" spans="1:8" x14ac:dyDescent="0.25">
      <c r="A516">
        <v>515</v>
      </c>
      <c r="B516" t="s">
        <v>736</v>
      </c>
      <c r="C516" t="s">
        <v>86</v>
      </c>
      <c r="D516" t="str">
        <f t="shared" ref="D516:D530" si="18">IF(RIGHT(TRIM(C516),2)="-&gt;","&gt;",IF(RIGHT(TRIM(C516),1)="&gt;","&gt;",""))</f>
        <v/>
      </c>
      <c r="E516" t="str">
        <f t="shared" ref="E516:E579" si="19">LOWER(TRIM(SUBSTITUTE(IF(RIGHT(TRIM(C516),2)="-&gt;",LEFT(TRIM(C516),LEN(TRIM(C516))-2),IF(RIGHT(TRIM(C516),1)="&gt;",LEFT(TRIM(C516),LEN(TRIM(C516))-1),C516)),"//","")))</f>
        <v>i know you rider</v>
      </c>
      <c r="F516" t="s">
        <v>6020</v>
      </c>
      <c r="G516" t="str">
        <f>_xlfn.IFNA(VLOOKUP(F516,songs!$B$1:$C$1539, 2, FALSE),"")</f>
        <v>I Know You Rider</v>
      </c>
      <c r="H516" t="s">
        <v>86</v>
      </c>
    </row>
    <row r="517" spans="1:8" x14ac:dyDescent="0.25">
      <c r="A517">
        <v>516</v>
      </c>
      <c r="B517" t="s">
        <v>737</v>
      </c>
      <c r="C517" t="s">
        <v>11</v>
      </c>
      <c r="D517" t="str">
        <f t="shared" si="18"/>
        <v/>
      </c>
      <c r="E517" t="str">
        <f t="shared" si="19"/>
        <v>playing in the band</v>
      </c>
      <c r="F517" t="s">
        <v>6769</v>
      </c>
      <c r="G517" t="str">
        <f>_xlfn.IFNA(VLOOKUP(F517,songs!$B$1:$C$1539, 2, FALSE),"")</f>
        <v>Playing In The Band</v>
      </c>
      <c r="H517" t="s">
        <v>419</v>
      </c>
    </row>
    <row r="518" spans="1:8" x14ac:dyDescent="0.25">
      <c r="A518">
        <v>517</v>
      </c>
      <c r="B518" t="s">
        <v>738</v>
      </c>
      <c r="C518" t="s">
        <v>81</v>
      </c>
      <c r="D518" t="str">
        <f t="shared" si="18"/>
        <v/>
      </c>
      <c r="E518" t="str">
        <f t="shared" si="19"/>
        <v>casey jones</v>
      </c>
      <c r="F518" t="s">
        <v>5290</v>
      </c>
      <c r="G518" t="str">
        <f>_xlfn.IFNA(VLOOKUP(F518,songs!$B$1:$C$1539, 2, FALSE),"")</f>
        <v>Casey Jones</v>
      </c>
      <c r="H518" t="s">
        <v>81</v>
      </c>
    </row>
    <row r="519" spans="1:8" x14ac:dyDescent="0.25">
      <c r="A519">
        <v>518</v>
      </c>
      <c r="B519" t="s">
        <v>739</v>
      </c>
      <c r="C519" t="s">
        <v>15</v>
      </c>
      <c r="D519" t="str">
        <f t="shared" si="18"/>
        <v/>
      </c>
      <c r="E519" t="str">
        <f t="shared" si="19"/>
        <v>truckin'</v>
      </c>
      <c r="F519" t="s">
        <v>7436</v>
      </c>
      <c r="G519" t="str">
        <f>_xlfn.IFNA(VLOOKUP(F519,songs!$B$1:$C$1539, 2, FALSE),"")</f>
        <v>Truckin'</v>
      </c>
      <c r="H519" t="s">
        <v>15</v>
      </c>
    </row>
    <row r="520" spans="1:8" x14ac:dyDescent="0.25">
      <c r="A520">
        <v>519</v>
      </c>
      <c r="B520" t="s">
        <v>740</v>
      </c>
      <c r="C520" t="s">
        <v>291</v>
      </c>
      <c r="D520" t="str">
        <f t="shared" si="18"/>
        <v/>
      </c>
      <c r="E520" t="str">
        <f t="shared" si="19"/>
        <v>loser</v>
      </c>
      <c r="F520" t="s">
        <v>6400</v>
      </c>
      <c r="G520" t="str">
        <f>_xlfn.IFNA(VLOOKUP(F520,songs!$B$1:$C$1539, 2, FALSE),"")</f>
        <v>Loser</v>
      </c>
      <c r="H520" t="s">
        <v>291</v>
      </c>
    </row>
    <row r="521" spans="1:8" x14ac:dyDescent="0.25">
      <c r="A521">
        <v>520</v>
      </c>
      <c r="B521" t="s">
        <v>741</v>
      </c>
      <c r="C521" t="s">
        <v>199</v>
      </c>
      <c r="D521" t="str">
        <f t="shared" si="18"/>
        <v/>
      </c>
      <c r="E521" t="str">
        <f t="shared" si="19"/>
        <v>jack straw</v>
      </c>
      <c r="F521" t="s">
        <v>6161</v>
      </c>
      <c r="G521" t="str">
        <f>_xlfn.IFNA(VLOOKUP(F521,songs!$B$1:$C$1539, 2, FALSE),"")</f>
        <v>Jack Straw</v>
      </c>
      <c r="H521" t="s">
        <v>199</v>
      </c>
    </row>
    <row r="522" spans="1:8" x14ac:dyDescent="0.25">
      <c r="A522">
        <v>521</v>
      </c>
      <c r="B522" t="s">
        <v>742</v>
      </c>
      <c r="C522" t="s">
        <v>743</v>
      </c>
      <c r="D522" t="str">
        <f t="shared" si="18"/>
        <v>&gt;</v>
      </c>
      <c r="E522" t="str">
        <f t="shared" si="19"/>
        <v>mississippi half-step uptown toodeloo</v>
      </c>
      <c r="F522" t="s">
        <v>6531</v>
      </c>
      <c r="G522" t="str">
        <f>_xlfn.IFNA(VLOOKUP(F522,songs!$B$1:$C$1539, 2, FALSE),"")</f>
        <v>Mississippi Half-Step Uptown Toodeloo</v>
      </c>
      <c r="H522" t="s">
        <v>458</v>
      </c>
    </row>
    <row r="523" spans="1:8" x14ac:dyDescent="0.25">
      <c r="A523">
        <v>522</v>
      </c>
      <c r="B523" t="s">
        <v>744</v>
      </c>
      <c r="C523" t="s">
        <v>595</v>
      </c>
      <c r="D523" t="str">
        <f t="shared" si="18"/>
        <v/>
      </c>
      <c r="E523" t="str">
        <f t="shared" si="19"/>
        <v>me and my uncle</v>
      </c>
      <c r="F523" t="s">
        <v>6486</v>
      </c>
      <c r="G523" t="str">
        <f>_xlfn.IFNA(VLOOKUP(F523,songs!$B$1:$C$1539, 2, FALSE),"")</f>
        <v>Me And My Uncle</v>
      </c>
      <c r="H523" t="s">
        <v>903</v>
      </c>
    </row>
    <row r="524" spans="1:8" x14ac:dyDescent="0.25">
      <c r="A524">
        <v>523</v>
      </c>
      <c r="B524" t="s">
        <v>745</v>
      </c>
      <c r="C524" t="s">
        <v>271</v>
      </c>
      <c r="D524" t="str">
        <f t="shared" si="18"/>
        <v>&gt;</v>
      </c>
      <c r="E524" t="str">
        <f t="shared" si="19"/>
        <v>he's gone</v>
      </c>
      <c r="F524" t="s">
        <v>5903</v>
      </c>
      <c r="G524" t="str">
        <f>_xlfn.IFNA(VLOOKUP(F524,songs!$B$1:$C$1539, 2, FALSE),"")</f>
        <v>He's Gone</v>
      </c>
      <c r="H524" t="s">
        <v>13</v>
      </c>
    </row>
    <row r="525" spans="1:8" x14ac:dyDescent="0.25">
      <c r="A525">
        <v>524</v>
      </c>
      <c r="B525" t="s">
        <v>746</v>
      </c>
      <c r="C525" t="s">
        <v>747</v>
      </c>
      <c r="D525" t="str">
        <f t="shared" si="18"/>
        <v>&gt;</v>
      </c>
      <c r="E525" t="str">
        <f t="shared" si="19"/>
        <v>the other one</v>
      </c>
      <c r="F525" t="s">
        <v>7325</v>
      </c>
      <c r="G525" t="str">
        <f>_xlfn.IFNA(VLOOKUP(F525,songs!$B$1:$C$1539, 2, FALSE),"")</f>
        <v>The Other One</v>
      </c>
      <c r="H525" t="s">
        <v>139</v>
      </c>
    </row>
    <row r="526" spans="1:8" x14ac:dyDescent="0.25">
      <c r="A526">
        <v>525</v>
      </c>
      <c r="B526" t="s">
        <v>748</v>
      </c>
      <c r="C526" t="s">
        <v>749</v>
      </c>
      <c r="D526" t="str">
        <f t="shared" si="18"/>
        <v/>
      </c>
      <c r="E526" t="str">
        <f t="shared" si="19"/>
        <v>sing me back home</v>
      </c>
      <c r="F526" t="s">
        <v>7017</v>
      </c>
      <c r="G526" t="str">
        <f>_xlfn.IFNA(VLOOKUP(F526,songs!$B$1:$C$1539, 2, FALSE),"")</f>
        <v>Sing Me Back Home</v>
      </c>
      <c r="H526" t="s">
        <v>749</v>
      </c>
    </row>
    <row r="527" spans="1:8" x14ac:dyDescent="0.25">
      <c r="A527">
        <v>526</v>
      </c>
      <c r="B527" t="s">
        <v>750</v>
      </c>
      <c r="C527" t="s">
        <v>30</v>
      </c>
      <c r="D527" t="str">
        <f t="shared" si="18"/>
        <v/>
      </c>
      <c r="E527" t="str">
        <f t="shared" si="19"/>
        <v>sugar magnolia</v>
      </c>
      <c r="F527" t="s">
        <v>7150</v>
      </c>
      <c r="G527" t="str">
        <f>_xlfn.IFNA(VLOOKUP(F527,songs!$B$1:$C$1539, 2, FALSE),"")</f>
        <v>Sugar Magnolia</v>
      </c>
      <c r="H527" t="s">
        <v>30</v>
      </c>
    </row>
    <row r="528" spans="1:8" x14ac:dyDescent="0.25">
      <c r="A528">
        <v>527</v>
      </c>
      <c r="B528" t="s">
        <v>751</v>
      </c>
      <c r="C528" t="s">
        <v>133</v>
      </c>
      <c r="D528" t="str">
        <f t="shared" si="18"/>
        <v/>
      </c>
      <c r="E528" t="str">
        <f t="shared" si="19"/>
        <v>uncle john's band</v>
      </c>
      <c r="F528" t="s">
        <v>7466</v>
      </c>
      <c r="G528" t="str">
        <f>_xlfn.IFNA(VLOOKUP(F528,songs!$B$1:$C$1539, 2, FALSE),"")</f>
        <v>Uncle John's Band</v>
      </c>
      <c r="H528" t="s">
        <v>133</v>
      </c>
    </row>
    <row r="529" spans="1:8" x14ac:dyDescent="0.25">
      <c r="A529">
        <v>528</v>
      </c>
      <c r="B529" t="s">
        <v>752</v>
      </c>
      <c r="C529" t="s">
        <v>183</v>
      </c>
      <c r="D529" t="str">
        <f t="shared" si="18"/>
        <v/>
      </c>
      <c r="E529" t="str">
        <f t="shared" si="19"/>
        <v>u.s. blues</v>
      </c>
      <c r="F529" t="s">
        <v>7464</v>
      </c>
      <c r="G529" t="str">
        <f>_xlfn.IFNA(VLOOKUP(F529,songs!$B$1:$C$1539, 2, FALSE),"")</f>
        <v>U.S. Blues</v>
      </c>
      <c r="H529" t="s">
        <v>183</v>
      </c>
    </row>
    <row r="530" spans="1:8" x14ac:dyDescent="0.25">
      <c r="A530">
        <v>529</v>
      </c>
      <c r="B530" t="s">
        <v>753</v>
      </c>
      <c r="C530" t="s">
        <v>130</v>
      </c>
      <c r="D530" t="str">
        <f t="shared" si="18"/>
        <v/>
      </c>
      <c r="E530" t="str">
        <f t="shared" si="19"/>
        <v>promised land</v>
      </c>
      <c r="F530" t="s">
        <v>6797</v>
      </c>
      <c r="G530" t="str">
        <f>_xlfn.IFNA(VLOOKUP(F530,songs!$B$1:$C$1539, 2, FALSE),"")</f>
        <v>Promised Land</v>
      </c>
      <c r="H530" t="s">
        <v>130</v>
      </c>
    </row>
    <row r="531" spans="1:8" x14ac:dyDescent="0.25">
      <c r="A531">
        <v>536</v>
      </c>
      <c r="B531" t="s">
        <v>760</v>
      </c>
      <c r="C531" t="s">
        <v>761</v>
      </c>
      <c r="D531" t="s">
        <v>7871</v>
      </c>
      <c r="E531" t="str">
        <f t="shared" si="19"/>
        <v>china cat sunflower-»</v>
      </c>
      <c r="F531" t="s">
        <v>5319</v>
      </c>
      <c r="G531" t="str">
        <f>_xlfn.IFNA(VLOOKUP(F531,songs!$B$1:$C$1539, 2, FALSE),"")</f>
        <v>China Cat Sunflower</v>
      </c>
      <c r="H531" t="s">
        <v>7867</v>
      </c>
    </row>
    <row r="532" spans="1:8" x14ac:dyDescent="0.25">
      <c r="A532">
        <v>538</v>
      </c>
      <c r="B532" t="s">
        <v>763</v>
      </c>
      <c r="C532" t="s">
        <v>7</v>
      </c>
      <c r="D532" t="str">
        <f t="shared" ref="D532:D563" si="20">IF(RIGHT(TRIM(C532),2)="-&gt;","&gt;",IF(RIGHT(TRIM(C532),1)="&gt;","&gt;",""))</f>
        <v/>
      </c>
      <c r="E532" t="str">
        <f t="shared" si="19"/>
        <v>weather report suite</v>
      </c>
      <c r="F532" t="s">
        <v>7658</v>
      </c>
      <c r="G532" t="str">
        <f>_xlfn.IFNA(VLOOKUP(F532,songs!$B$1:$C$1539, 2, FALSE),"")</f>
        <v>Weather Report Suite Prelude &gt; Weather Report Suite Part 1</v>
      </c>
      <c r="H532" t="s">
        <v>7867</v>
      </c>
    </row>
    <row r="533" spans="1:8" x14ac:dyDescent="0.25">
      <c r="A533">
        <v>532</v>
      </c>
      <c r="B533" t="s">
        <v>756</v>
      </c>
      <c r="C533" t="s">
        <v>170</v>
      </c>
      <c r="D533" t="str">
        <f t="shared" si="20"/>
        <v/>
      </c>
      <c r="E533" t="str">
        <f t="shared" si="19"/>
        <v>scarlet begonias</v>
      </c>
      <c r="F533" t="s">
        <v>6944</v>
      </c>
      <c r="G533" t="str">
        <f>_xlfn.IFNA(VLOOKUP(F533,songs!$B$1:$C$1539, 2, FALSE),"")</f>
        <v>Scarlet Begonias</v>
      </c>
      <c r="H533" t="s">
        <v>170</v>
      </c>
    </row>
    <row r="534" spans="1:8" x14ac:dyDescent="0.25">
      <c r="A534">
        <v>533</v>
      </c>
      <c r="B534" t="s">
        <v>757</v>
      </c>
      <c r="C534" t="s">
        <v>431</v>
      </c>
      <c r="D534" t="str">
        <f t="shared" si="20"/>
        <v/>
      </c>
      <c r="E534" t="str">
        <f t="shared" si="19"/>
        <v>beat it on down the line</v>
      </c>
      <c r="F534" t="s">
        <v>5149</v>
      </c>
      <c r="G534" t="str">
        <f>_xlfn.IFNA(VLOOKUP(F534,songs!$B$1:$C$1539, 2, FALSE),"")</f>
        <v>Beat It On Down The Line</v>
      </c>
      <c r="H534" t="s">
        <v>431</v>
      </c>
    </row>
    <row r="535" spans="1:8" x14ac:dyDescent="0.25">
      <c r="A535">
        <v>534</v>
      </c>
      <c r="B535" t="s">
        <v>758</v>
      </c>
      <c r="C535" t="s">
        <v>264</v>
      </c>
      <c r="D535" t="str">
        <f t="shared" si="20"/>
        <v/>
      </c>
      <c r="E535" t="str">
        <f t="shared" si="19"/>
        <v>deal</v>
      </c>
      <c r="F535" t="s">
        <v>5461</v>
      </c>
      <c r="G535" t="str">
        <f>_xlfn.IFNA(VLOOKUP(F535,songs!$B$1:$C$1539, 2, FALSE),"")</f>
        <v>Deal</v>
      </c>
      <c r="H535" t="s">
        <v>264</v>
      </c>
    </row>
    <row r="536" spans="1:8" x14ac:dyDescent="0.25">
      <c r="A536">
        <v>535</v>
      </c>
      <c r="B536" t="s">
        <v>759</v>
      </c>
      <c r="C536" t="s">
        <v>262</v>
      </c>
      <c r="D536" t="str">
        <f t="shared" si="20"/>
        <v/>
      </c>
      <c r="E536" t="str">
        <f t="shared" si="19"/>
        <v>cassidy</v>
      </c>
      <c r="F536" t="s">
        <v>5291</v>
      </c>
      <c r="G536" t="str">
        <f>_xlfn.IFNA(VLOOKUP(F536,songs!$B$1:$C$1539, 2, FALSE),"")</f>
        <v>Cassidy</v>
      </c>
      <c r="H536" t="s">
        <v>262</v>
      </c>
    </row>
    <row r="537" spans="1:8" x14ac:dyDescent="0.25">
      <c r="A537">
        <v>542</v>
      </c>
      <c r="B537" t="s">
        <v>768</v>
      </c>
      <c r="C537" t="s">
        <v>769</v>
      </c>
      <c r="D537" t="str">
        <f t="shared" si="20"/>
        <v>&gt;</v>
      </c>
      <c r="E537" t="str">
        <f t="shared" si="19"/>
        <v>uncle john's band reprise</v>
      </c>
      <c r="F537" t="s">
        <v>7466</v>
      </c>
      <c r="G537" t="str">
        <f>_xlfn.IFNA(VLOOKUP(F537,songs!$B$1:$C$1539, 2, FALSE),"")</f>
        <v>Uncle John's Band</v>
      </c>
      <c r="H537" t="s">
        <v>7867</v>
      </c>
    </row>
    <row r="538" spans="1:8" x14ac:dyDescent="0.25">
      <c r="A538">
        <v>537</v>
      </c>
      <c r="B538" t="s">
        <v>762</v>
      </c>
      <c r="C538" t="s">
        <v>86</v>
      </c>
      <c r="D538" t="str">
        <f t="shared" si="20"/>
        <v/>
      </c>
      <c r="E538" t="str">
        <f t="shared" si="19"/>
        <v>i know you rider</v>
      </c>
      <c r="F538" t="s">
        <v>6020</v>
      </c>
      <c r="G538" t="str">
        <f>_xlfn.IFNA(VLOOKUP(F538,songs!$B$1:$C$1539, 2, FALSE),"")</f>
        <v>I Know You Rider</v>
      </c>
      <c r="H538" t="s">
        <v>86</v>
      </c>
    </row>
    <row r="539" spans="1:8" x14ac:dyDescent="0.25">
      <c r="A539">
        <v>561</v>
      </c>
      <c r="B539" t="s">
        <v>794</v>
      </c>
      <c r="C539" t="s">
        <v>795</v>
      </c>
      <c r="D539" t="str">
        <f t="shared" si="20"/>
        <v>&gt;</v>
      </c>
      <c r="E539" t="str">
        <f t="shared" si="19"/>
        <v>drumz</v>
      </c>
      <c r="F539" t="s">
        <v>5568</v>
      </c>
      <c r="G539" t="str">
        <f>_xlfn.IFNA(VLOOKUP(F539,songs!$B$1:$C$1539, 2, FALSE),"")</f>
        <v>Drums</v>
      </c>
      <c r="H539" t="s">
        <v>7867</v>
      </c>
    </row>
    <row r="540" spans="1:8" x14ac:dyDescent="0.25">
      <c r="A540">
        <v>539</v>
      </c>
      <c r="B540" t="s">
        <v>764</v>
      </c>
      <c r="C540" t="s">
        <v>536</v>
      </c>
      <c r="D540" t="str">
        <f t="shared" si="20"/>
        <v>&gt;</v>
      </c>
      <c r="E540" t="str">
        <f t="shared" si="19"/>
        <v>playing in the band</v>
      </c>
      <c r="F540" t="s">
        <v>6769</v>
      </c>
      <c r="G540" t="str">
        <f>_xlfn.IFNA(VLOOKUP(F540,songs!$B$1:$C$1539, 2, FALSE),"")</f>
        <v>Playing In The Band</v>
      </c>
      <c r="H540" t="s">
        <v>419</v>
      </c>
    </row>
    <row r="541" spans="1:8" x14ac:dyDescent="0.25">
      <c r="A541">
        <v>540</v>
      </c>
      <c r="B541" t="s">
        <v>765</v>
      </c>
      <c r="C541" t="s">
        <v>766</v>
      </c>
      <c r="D541" t="str">
        <f t="shared" si="20"/>
        <v>&gt;</v>
      </c>
      <c r="E541" t="str">
        <f t="shared" si="19"/>
        <v>uncle john's band</v>
      </c>
      <c r="F541" t="s">
        <v>7466</v>
      </c>
      <c r="G541" t="str">
        <f>_xlfn.IFNA(VLOOKUP(F541,songs!$B$1:$C$1539, 2, FALSE),"")</f>
        <v>Uncle John's Band</v>
      </c>
      <c r="H541" t="s">
        <v>133</v>
      </c>
    </row>
    <row r="542" spans="1:8" x14ac:dyDescent="0.25">
      <c r="A542">
        <v>541</v>
      </c>
      <c r="B542" t="s">
        <v>767</v>
      </c>
      <c r="C542" t="s">
        <v>603</v>
      </c>
      <c r="D542" t="str">
        <f t="shared" si="20"/>
        <v>&gt;</v>
      </c>
      <c r="E542" t="str">
        <f t="shared" si="19"/>
        <v>morning dew</v>
      </c>
      <c r="F542" t="s">
        <v>6555</v>
      </c>
      <c r="G542" t="str">
        <f>_xlfn.IFNA(VLOOKUP(F542,songs!$B$1:$C$1539, 2, FALSE),"")</f>
        <v>Morning Dew</v>
      </c>
      <c r="H542" t="s">
        <v>212</v>
      </c>
    </row>
    <row r="543" spans="1:8" x14ac:dyDescent="0.25">
      <c r="A543">
        <v>562</v>
      </c>
      <c r="B543" t="s">
        <v>796</v>
      </c>
      <c r="C543" t="s">
        <v>797</v>
      </c>
      <c r="D543" t="str">
        <f t="shared" si="20"/>
        <v>&gt;</v>
      </c>
      <c r="E543" t="str">
        <f t="shared" si="19"/>
        <v>other one</v>
      </c>
      <c r="F543" t="s">
        <v>7325</v>
      </c>
      <c r="G543" t="str">
        <f>_xlfn.IFNA(VLOOKUP(F543,songs!$B$1:$C$1539, 2, FALSE),"")</f>
        <v>The Other One</v>
      </c>
      <c r="H543" t="s">
        <v>7867</v>
      </c>
    </row>
    <row r="544" spans="1:8" x14ac:dyDescent="0.25">
      <c r="A544">
        <v>543</v>
      </c>
      <c r="B544" t="s">
        <v>770</v>
      </c>
      <c r="C544" t="s">
        <v>771</v>
      </c>
      <c r="D544" t="str">
        <f t="shared" si="20"/>
        <v/>
      </c>
      <c r="E544" t="str">
        <f t="shared" si="19"/>
        <v>playing in the band reprise</v>
      </c>
      <c r="F544" t="s">
        <v>6770</v>
      </c>
      <c r="G544" t="str">
        <f>_xlfn.IFNA(VLOOKUP(F544,songs!$B$1:$C$1539, 2, FALSE),"")</f>
        <v>Playing In The Band Reprise</v>
      </c>
      <c r="H544" t="s">
        <v>6771</v>
      </c>
    </row>
    <row r="545" spans="1:8" x14ac:dyDescent="0.25">
      <c r="A545">
        <v>544</v>
      </c>
      <c r="B545" t="s">
        <v>772</v>
      </c>
      <c r="C545" t="s">
        <v>3</v>
      </c>
      <c r="D545" t="str">
        <f t="shared" si="20"/>
        <v/>
      </c>
      <c r="E545" t="str">
        <f t="shared" si="19"/>
        <v>big river</v>
      </c>
      <c r="F545" t="s">
        <v>5175</v>
      </c>
      <c r="G545" t="str">
        <f>_xlfn.IFNA(VLOOKUP(F545,songs!$B$1:$C$1539, 2, FALSE),"")</f>
        <v>Big River</v>
      </c>
      <c r="H545" t="s">
        <v>3</v>
      </c>
    </row>
    <row r="546" spans="1:8" x14ac:dyDescent="0.25">
      <c r="A546">
        <v>545</v>
      </c>
      <c r="B546" t="s">
        <v>773</v>
      </c>
      <c r="C546" t="s">
        <v>298</v>
      </c>
      <c r="D546" t="str">
        <f t="shared" si="20"/>
        <v/>
      </c>
      <c r="E546" t="str">
        <f t="shared" si="19"/>
        <v>bertha</v>
      </c>
      <c r="F546" t="s">
        <v>5158</v>
      </c>
      <c r="G546" t="str">
        <f>_xlfn.IFNA(VLOOKUP(F546,songs!$B$1:$C$1539, 2, FALSE),"")</f>
        <v>Bertha</v>
      </c>
      <c r="H546" t="s">
        <v>298</v>
      </c>
    </row>
    <row r="547" spans="1:8" x14ac:dyDescent="0.25">
      <c r="A547">
        <v>546</v>
      </c>
      <c r="B547" t="s">
        <v>774</v>
      </c>
      <c r="C547" t="s">
        <v>775</v>
      </c>
      <c r="D547" t="str">
        <f t="shared" si="20"/>
        <v>&gt;</v>
      </c>
      <c r="E547" t="str">
        <f t="shared" si="19"/>
        <v>wharf rat</v>
      </c>
      <c r="F547" t="s">
        <v>7664</v>
      </c>
      <c r="G547" t="str">
        <f>_xlfn.IFNA(VLOOKUP(F547,songs!$B$1:$C$1539, 2, FALSE),"")</f>
        <v>Wharf Rat</v>
      </c>
      <c r="H547" t="s">
        <v>73</v>
      </c>
    </row>
    <row r="548" spans="1:8" x14ac:dyDescent="0.25">
      <c r="A548">
        <v>547</v>
      </c>
      <c r="B548" t="s">
        <v>776</v>
      </c>
      <c r="C548" t="s">
        <v>30</v>
      </c>
      <c r="D548" t="str">
        <f t="shared" si="20"/>
        <v/>
      </c>
      <c r="E548" t="str">
        <f t="shared" si="19"/>
        <v>sugar magnolia</v>
      </c>
      <c r="F548" t="s">
        <v>7150</v>
      </c>
      <c r="G548" t="str">
        <f>_xlfn.IFNA(VLOOKUP(F548,songs!$B$1:$C$1539, 2, FALSE),"")</f>
        <v>Sugar Magnolia</v>
      </c>
      <c r="H548" t="s">
        <v>30</v>
      </c>
    </row>
    <row r="549" spans="1:8" x14ac:dyDescent="0.25">
      <c r="A549">
        <v>548</v>
      </c>
      <c r="B549" t="s">
        <v>777</v>
      </c>
      <c r="C549" t="s">
        <v>199</v>
      </c>
      <c r="D549" t="str">
        <f t="shared" si="20"/>
        <v/>
      </c>
      <c r="E549" t="str">
        <f t="shared" si="19"/>
        <v>jack straw</v>
      </c>
      <c r="F549" t="s">
        <v>6161</v>
      </c>
      <c r="G549" t="str">
        <f>_xlfn.IFNA(VLOOKUP(F549,songs!$B$1:$C$1539, 2, FALSE),"")</f>
        <v>Jack Straw</v>
      </c>
      <c r="H549" t="s">
        <v>199</v>
      </c>
    </row>
    <row r="550" spans="1:8" x14ac:dyDescent="0.25">
      <c r="A550">
        <v>549</v>
      </c>
      <c r="B550" t="s">
        <v>778</v>
      </c>
      <c r="C550" t="s">
        <v>156</v>
      </c>
      <c r="D550" t="str">
        <f t="shared" si="20"/>
        <v/>
      </c>
      <c r="E550" t="str">
        <f t="shared" si="19"/>
        <v>they love each other</v>
      </c>
      <c r="F550" t="s">
        <v>7358</v>
      </c>
      <c r="G550" t="str">
        <f>_xlfn.IFNA(VLOOKUP(F550,songs!$B$1:$C$1539, 2, FALSE),"")</f>
        <v>They Love Each Other</v>
      </c>
      <c r="H550" t="s">
        <v>156</v>
      </c>
    </row>
    <row r="551" spans="1:8" x14ac:dyDescent="0.25">
      <c r="A551">
        <v>550</v>
      </c>
      <c r="B551" t="s">
        <v>779</v>
      </c>
      <c r="C551" t="s">
        <v>262</v>
      </c>
      <c r="D551" t="str">
        <f t="shared" si="20"/>
        <v/>
      </c>
      <c r="E551" t="str">
        <f t="shared" si="19"/>
        <v>cassidy</v>
      </c>
      <c r="F551" t="s">
        <v>5291</v>
      </c>
      <c r="G551" t="str">
        <f>_xlfn.IFNA(VLOOKUP(F551,songs!$B$1:$C$1539, 2, FALSE),"")</f>
        <v>Cassidy</v>
      </c>
      <c r="H551" t="s">
        <v>262</v>
      </c>
    </row>
    <row r="552" spans="1:8" x14ac:dyDescent="0.25">
      <c r="A552">
        <v>551</v>
      </c>
      <c r="B552" t="s">
        <v>780</v>
      </c>
      <c r="C552" t="s">
        <v>436</v>
      </c>
      <c r="D552" t="str">
        <f t="shared" si="20"/>
        <v/>
      </c>
      <c r="E552" t="str">
        <f t="shared" si="19"/>
        <v>ramble on rose</v>
      </c>
      <c r="F552" t="s">
        <v>6827</v>
      </c>
      <c r="G552" t="str">
        <f>_xlfn.IFNA(VLOOKUP(F552,songs!$B$1:$C$1539, 2, FALSE),"")</f>
        <v>Ramble On Rose</v>
      </c>
      <c r="H552" t="s">
        <v>436</v>
      </c>
    </row>
    <row r="553" spans="1:8" x14ac:dyDescent="0.25">
      <c r="A553">
        <v>552</v>
      </c>
      <c r="B553" t="s">
        <v>781</v>
      </c>
      <c r="C553" t="s">
        <v>782</v>
      </c>
      <c r="D553" t="str">
        <f t="shared" si="20"/>
        <v>&gt;</v>
      </c>
      <c r="E553" t="str">
        <f t="shared" si="19"/>
        <v>me and my uncle</v>
      </c>
      <c r="F553" t="s">
        <v>6486</v>
      </c>
      <c r="G553" t="str">
        <f>_xlfn.IFNA(VLOOKUP(F553,songs!$B$1:$C$1539, 2, FALSE),"")</f>
        <v>Me And My Uncle</v>
      </c>
      <c r="H553" t="s">
        <v>903</v>
      </c>
    </row>
    <row r="554" spans="1:8" x14ac:dyDescent="0.25">
      <c r="A554">
        <v>553</v>
      </c>
      <c r="B554" t="s">
        <v>783</v>
      </c>
      <c r="C554" t="s">
        <v>3</v>
      </c>
      <c r="D554" t="str">
        <f t="shared" si="20"/>
        <v/>
      </c>
      <c r="E554" t="str">
        <f t="shared" si="19"/>
        <v>big river</v>
      </c>
      <c r="F554" t="s">
        <v>5175</v>
      </c>
      <c r="G554" t="str">
        <f>_xlfn.IFNA(VLOOKUP(F554,songs!$B$1:$C$1539, 2, FALSE),"")</f>
        <v>Big River</v>
      </c>
      <c r="H554" t="s">
        <v>3</v>
      </c>
    </row>
    <row r="555" spans="1:8" x14ac:dyDescent="0.25">
      <c r="A555">
        <v>554</v>
      </c>
      <c r="B555" t="s">
        <v>784</v>
      </c>
      <c r="C555" t="s">
        <v>461</v>
      </c>
      <c r="D555" t="str">
        <f t="shared" si="20"/>
        <v/>
      </c>
      <c r="E555" t="str">
        <f t="shared" si="19"/>
        <v>peggy-o</v>
      </c>
      <c r="F555" t="s">
        <v>6749</v>
      </c>
      <c r="G555" t="str">
        <f>_xlfn.IFNA(VLOOKUP(F555,songs!$B$1:$C$1539, 2, FALSE),"")</f>
        <v>Peggy-O</v>
      </c>
      <c r="H555" t="s">
        <v>461</v>
      </c>
    </row>
    <row r="556" spans="1:8" x14ac:dyDescent="0.25">
      <c r="A556">
        <v>555</v>
      </c>
      <c r="B556" t="s">
        <v>785</v>
      </c>
      <c r="C556" t="s">
        <v>786</v>
      </c>
      <c r="D556" t="str">
        <f t="shared" si="20"/>
        <v>&gt;</v>
      </c>
      <c r="E556" t="str">
        <f t="shared" si="19"/>
        <v>let it grow</v>
      </c>
      <c r="F556" t="s">
        <v>6308</v>
      </c>
      <c r="G556" t="str">
        <f>_xlfn.IFNA(VLOOKUP(F556,songs!$B$1:$C$1539, 2, FALSE),"")</f>
        <v>Let It Grow</v>
      </c>
      <c r="H556" t="s">
        <v>389</v>
      </c>
    </row>
    <row r="557" spans="1:8" x14ac:dyDescent="0.25">
      <c r="A557">
        <v>556</v>
      </c>
      <c r="B557" t="s">
        <v>787</v>
      </c>
      <c r="C557" t="s">
        <v>264</v>
      </c>
      <c r="D557" t="str">
        <f t="shared" si="20"/>
        <v/>
      </c>
      <c r="E557" t="str">
        <f t="shared" si="19"/>
        <v>deal</v>
      </c>
      <c r="F557" t="s">
        <v>5461</v>
      </c>
      <c r="G557" t="str">
        <f>_xlfn.IFNA(VLOOKUP(F557,songs!$B$1:$C$1539, 2, FALSE),"")</f>
        <v>Deal</v>
      </c>
      <c r="H557" t="s">
        <v>264</v>
      </c>
    </row>
    <row r="558" spans="1:8" x14ac:dyDescent="0.25">
      <c r="A558">
        <v>557</v>
      </c>
      <c r="B558" t="s">
        <v>788</v>
      </c>
      <c r="C558" t="s">
        <v>789</v>
      </c>
      <c r="D558" t="str">
        <f t="shared" si="20"/>
        <v>&gt;</v>
      </c>
      <c r="E558" t="str">
        <f t="shared" si="19"/>
        <v>bertha</v>
      </c>
      <c r="F558" t="s">
        <v>5158</v>
      </c>
      <c r="G558" t="str">
        <f>_xlfn.IFNA(VLOOKUP(F558,songs!$B$1:$C$1539, 2, FALSE),"")</f>
        <v>Bertha</v>
      </c>
      <c r="H558" t="s">
        <v>298</v>
      </c>
    </row>
    <row r="559" spans="1:8" x14ac:dyDescent="0.25">
      <c r="A559">
        <v>558</v>
      </c>
      <c r="B559" t="s">
        <v>790</v>
      </c>
      <c r="C559" t="s">
        <v>242</v>
      </c>
      <c r="D559" t="str">
        <f t="shared" si="20"/>
        <v/>
      </c>
      <c r="E559" t="str">
        <f t="shared" si="19"/>
        <v>good lovin'</v>
      </c>
      <c r="F559" t="s">
        <v>5810</v>
      </c>
      <c r="G559" t="str">
        <f>_xlfn.IFNA(VLOOKUP(F559,songs!$B$1:$C$1539, 2, FALSE),"")</f>
        <v>Good Lovin'</v>
      </c>
      <c r="H559" t="s">
        <v>242</v>
      </c>
    </row>
    <row r="560" spans="1:8" x14ac:dyDescent="0.25">
      <c r="A560">
        <v>559</v>
      </c>
      <c r="B560" t="s">
        <v>791</v>
      </c>
      <c r="C560" t="s">
        <v>792</v>
      </c>
      <c r="D560" t="str">
        <f t="shared" si="20"/>
        <v>&gt;</v>
      </c>
      <c r="E560" t="str">
        <f t="shared" si="19"/>
        <v>estimated prophet</v>
      </c>
      <c r="F560" t="s">
        <v>5612</v>
      </c>
      <c r="G560" t="str">
        <f>_xlfn.IFNA(VLOOKUP(F560,songs!$B$1:$C$1539, 2, FALSE),"")</f>
        <v>Estimated Prophet</v>
      </c>
      <c r="H560" t="s">
        <v>69</v>
      </c>
    </row>
    <row r="561" spans="1:8" x14ac:dyDescent="0.25">
      <c r="A561">
        <v>560</v>
      </c>
      <c r="B561" t="s">
        <v>793</v>
      </c>
      <c r="C561" t="s">
        <v>607</v>
      </c>
      <c r="D561" t="str">
        <f t="shared" si="20"/>
        <v>&gt;</v>
      </c>
      <c r="E561" t="str">
        <f t="shared" si="19"/>
        <v>eyes of the world</v>
      </c>
      <c r="F561" t="s">
        <v>5633</v>
      </c>
      <c r="G561" t="str">
        <f>_xlfn.IFNA(VLOOKUP(F561,songs!$B$1:$C$1539, 2, FALSE),"")</f>
        <v>Eyes Of The World</v>
      </c>
      <c r="H561" t="s">
        <v>471</v>
      </c>
    </row>
    <row r="562" spans="1:8" x14ac:dyDescent="0.25">
      <c r="A562">
        <v>570</v>
      </c>
      <c r="B562" t="s">
        <v>806</v>
      </c>
      <c r="C562" t="s">
        <v>122</v>
      </c>
      <c r="D562" t="str">
        <f t="shared" si="20"/>
        <v/>
      </c>
      <c r="E562" t="str">
        <f t="shared" si="19"/>
        <v>new minglewood blues</v>
      </c>
      <c r="F562" t="s">
        <v>7869</v>
      </c>
      <c r="G562" t="str">
        <f>_xlfn.IFNA(VLOOKUP(F562,songs!$B$1:$C$1539, 2, FALSE),"")</f>
        <v>Minglewood Blues</v>
      </c>
      <c r="H562" t="s">
        <v>7867</v>
      </c>
    </row>
    <row r="563" spans="1:8" x14ac:dyDescent="0.25">
      <c r="A563">
        <v>572</v>
      </c>
      <c r="B563" t="s">
        <v>808</v>
      </c>
      <c r="C563" t="s">
        <v>622</v>
      </c>
      <c r="D563" t="str">
        <f t="shared" si="20"/>
        <v>&gt;</v>
      </c>
      <c r="E563" t="str">
        <f t="shared" si="19"/>
        <v>lazy lightnin'</v>
      </c>
      <c r="F563" t="s">
        <v>6293</v>
      </c>
      <c r="G563" t="str">
        <f>_xlfn.IFNA(VLOOKUP(F563,songs!$B$1:$C$1539, 2, FALSE),"")</f>
        <v>Lazy Lightning</v>
      </c>
      <c r="H563" t="s">
        <v>7867</v>
      </c>
    </row>
    <row r="564" spans="1:8" x14ac:dyDescent="0.25">
      <c r="A564">
        <v>563</v>
      </c>
      <c r="B564" t="s">
        <v>798</v>
      </c>
      <c r="C564" t="s">
        <v>775</v>
      </c>
      <c r="D564" t="str">
        <f t="shared" ref="D564:D583" si="21">IF(RIGHT(TRIM(C564),2)="-&gt;","&gt;",IF(RIGHT(TRIM(C564),1)="&gt;","&gt;",""))</f>
        <v>&gt;</v>
      </c>
      <c r="E564" t="str">
        <f t="shared" si="19"/>
        <v>wharf rat</v>
      </c>
      <c r="F564" t="s">
        <v>7664</v>
      </c>
      <c r="G564" t="str">
        <f>_xlfn.IFNA(VLOOKUP(F564,songs!$B$1:$C$1539, 2, FALSE),"")</f>
        <v>Wharf Rat</v>
      </c>
      <c r="H564" t="s">
        <v>73</v>
      </c>
    </row>
    <row r="565" spans="1:8" x14ac:dyDescent="0.25">
      <c r="A565">
        <v>564</v>
      </c>
      <c r="B565" t="s">
        <v>799</v>
      </c>
      <c r="C565" t="s">
        <v>30</v>
      </c>
      <c r="D565" t="str">
        <f t="shared" si="21"/>
        <v/>
      </c>
      <c r="E565" t="str">
        <f t="shared" si="19"/>
        <v>sugar magnolia</v>
      </c>
      <c r="F565" t="s">
        <v>7150</v>
      </c>
      <c r="G565" t="str">
        <f>_xlfn.IFNA(VLOOKUP(F565,songs!$B$1:$C$1539, 2, FALSE),"")</f>
        <v>Sugar Magnolia</v>
      </c>
      <c r="H565" t="s">
        <v>30</v>
      </c>
    </row>
    <row r="566" spans="1:8" x14ac:dyDescent="0.25">
      <c r="A566">
        <v>565</v>
      </c>
      <c r="B566" t="s">
        <v>800</v>
      </c>
      <c r="C566" t="s">
        <v>113</v>
      </c>
      <c r="D566" t="str">
        <f t="shared" si="21"/>
        <v/>
      </c>
      <c r="E566" t="str">
        <f t="shared" si="19"/>
        <v>cold rain and snow</v>
      </c>
      <c r="F566" t="s">
        <v>5347</v>
      </c>
      <c r="G566" t="str">
        <f>_xlfn.IFNA(VLOOKUP(F566,songs!$B$1:$C$1539, 2, FALSE),"")</f>
        <v>Cold Rain And Snow</v>
      </c>
      <c r="H566" t="s">
        <v>429</v>
      </c>
    </row>
    <row r="567" spans="1:8" x14ac:dyDescent="0.25">
      <c r="A567">
        <v>566</v>
      </c>
      <c r="B567" t="s">
        <v>801</v>
      </c>
      <c r="C567" t="s">
        <v>802</v>
      </c>
      <c r="D567" t="str">
        <f t="shared" si="21"/>
        <v/>
      </c>
      <c r="E567" t="str">
        <f t="shared" si="19"/>
        <v>beat it on down the line</v>
      </c>
      <c r="F567" t="s">
        <v>5149</v>
      </c>
      <c r="G567" t="str">
        <f>_xlfn.IFNA(VLOOKUP(F567,songs!$B$1:$C$1539, 2, FALSE),"")</f>
        <v>Beat It On Down The Line</v>
      </c>
      <c r="H567" t="s">
        <v>431</v>
      </c>
    </row>
    <row r="568" spans="1:8" x14ac:dyDescent="0.25">
      <c r="A568">
        <v>567</v>
      </c>
      <c r="B568" t="s">
        <v>803</v>
      </c>
      <c r="C568" t="s">
        <v>124</v>
      </c>
      <c r="D568" t="str">
        <f t="shared" si="21"/>
        <v/>
      </c>
      <c r="E568" t="str">
        <f t="shared" si="19"/>
        <v>friend of the devil</v>
      </c>
      <c r="F568" t="s">
        <v>5721</v>
      </c>
      <c r="G568" t="str">
        <f>_xlfn.IFNA(VLOOKUP(F568,songs!$B$1:$C$1539, 2, FALSE),"")</f>
        <v>Friend Of The Devil</v>
      </c>
      <c r="H568" t="s">
        <v>464</v>
      </c>
    </row>
    <row r="569" spans="1:8" x14ac:dyDescent="0.25">
      <c r="A569">
        <v>568</v>
      </c>
      <c r="B569" t="s">
        <v>804</v>
      </c>
      <c r="C569" t="s">
        <v>126</v>
      </c>
      <c r="D569" t="str">
        <f t="shared" si="21"/>
        <v/>
      </c>
      <c r="E569" t="str">
        <f t="shared" si="19"/>
        <v>looks like rain</v>
      </c>
      <c r="F569" t="s">
        <v>6398</v>
      </c>
      <c r="G569" t="str">
        <f>_xlfn.IFNA(VLOOKUP(F569,songs!$B$1:$C$1539, 2, FALSE),"")</f>
        <v>Looks Like Rain</v>
      </c>
      <c r="H569" t="s">
        <v>126</v>
      </c>
    </row>
    <row r="570" spans="1:8" x14ac:dyDescent="0.25">
      <c r="A570">
        <v>569</v>
      </c>
      <c r="B570" t="s">
        <v>805</v>
      </c>
      <c r="C570" t="s">
        <v>291</v>
      </c>
      <c r="D570" t="str">
        <f t="shared" si="21"/>
        <v/>
      </c>
      <c r="E570" t="str">
        <f t="shared" si="19"/>
        <v>loser</v>
      </c>
      <c r="F570" t="s">
        <v>6400</v>
      </c>
      <c r="G570" t="str">
        <f>_xlfn.IFNA(VLOOKUP(F570,songs!$B$1:$C$1539, 2, FALSE),"")</f>
        <v>Loser</v>
      </c>
      <c r="H570" t="s">
        <v>291</v>
      </c>
    </row>
    <row r="571" spans="1:8" x14ac:dyDescent="0.25">
      <c r="A571">
        <v>576</v>
      </c>
      <c r="B571" t="s">
        <v>813</v>
      </c>
      <c r="C571" t="s">
        <v>626</v>
      </c>
      <c r="D571" t="str">
        <f t="shared" si="21"/>
        <v/>
      </c>
      <c r="E571" t="str">
        <f t="shared" si="19"/>
        <v>dancing in the streets</v>
      </c>
      <c r="F571" t="s">
        <v>5418</v>
      </c>
      <c r="G571" t="str">
        <f>_xlfn.IFNA(VLOOKUP(F571,songs!$B$1:$C$1539, 2, FALSE),"")</f>
        <v>Dancin' In The Streets</v>
      </c>
      <c r="H571" t="s">
        <v>7867</v>
      </c>
    </row>
    <row r="572" spans="1:8" x14ac:dyDescent="0.25">
      <c r="A572">
        <v>571</v>
      </c>
      <c r="B572" t="s">
        <v>807</v>
      </c>
      <c r="C572" t="s">
        <v>164</v>
      </c>
      <c r="D572" t="str">
        <f t="shared" si="21"/>
        <v/>
      </c>
      <c r="E572" t="str">
        <f t="shared" si="19"/>
        <v>tennessee jed</v>
      </c>
      <c r="F572" t="s">
        <v>7234</v>
      </c>
      <c r="G572" t="str">
        <f>_xlfn.IFNA(VLOOKUP(F572,songs!$B$1:$C$1539, 2, FALSE),"")</f>
        <v>Tennessee Jed</v>
      </c>
      <c r="H572" t="s">
        <v>164</v>
      </c>
    </row>
    <row r="573" spans="1:8" x14ac:dyDescent="0.25">
      <c r="A573">
        <v>583</v>
      </c>
      <c r="B573" t="s">
        <v>821</v>
      </c>
      <c r="C573" t="s">
        <v>822</v>
      </c>
      <c r="D573" t="str">
        <f t="shared" si="21"/>
        <v/>
      </c>
      <c r="E573" t="str">
        <f t="shared" si="19"/>
        <v>duprees diamond blues»</v>
      </c>
      <c r="F573" t="s">
        <v>5573</v>
      </c>
      <c r="G573" t="str">
        <f>_xlfn.IFNA(VLOOKUP(F573,songs!$B$1:$C$1539, 2, FALSE),"")</f>
        <v>Dupree's Diamond Blues</v>
      </c>
      <c r="H573" t="s">
        <v>7867</v>
      </c>
    </row>
    <row r="574" spans="1:8" x14ac:dyDescent="0.25">
      <c r="A574">
        <v>573</v>
      </c>
      <c r="B574" t="s">
        <v>809</v>
      </c>
      <c r="C574" t="s">
        <v>55</v>
      </c>
      <c r="D574" t="str">
        <f t="shared" si="21"/>
        <v/>
      </c>
      <c r="E574" t="str">
        <f t="shared" si="19"/>
        <v>supplication</v>
      </c>
      <c r="F574" t="s">
        <v>7162</v>
      </c>
      <c r="G574" t="str">
        <f>_xlfn.IFNA(VLOOKUP(F574,songs!$B$1:$C$1539, 2, FALSE),"")</f>
        <v>Supplication</v>
      </c>
      <c r="H574" t="s">
        <v>55</v>
      </c>
    </row>
    <row r="575" spans="1:8" x14ac:dyDescent="0.25">
      <c r="A575">
        <v>574</v>
      </c>
      <c r="B575" t="s">
        <v>810</v>
      </c>
      <c r="C575" t="s">
        <v>811</v>
      </c>
      <c r="D575" t="str">
        <f t="shared" si="21"/>
        <v>&gt;</v>
      </c>
      <c r="E575" t="str">
        <f t="shared" si="19"/>
        <v>scarlet begonias</v>
      </c>
      <c r="F575" t="s">
        <v>6944</v>
      </c>
      <c r="G575" t="str">
        <f>_xlfn.IFNA(VLOOKUP(F575,songs!$B$1:$C$1539, 2, FALSE),"")</f>
        <v>Scarlet Begonias</v>
      </c>
      <c r="H575" t="s">
        <v>170</v>
      </c>
    </row>
    <row r="576" spans="1:8" x14ac:dyDescent="0.25">
      <c r="A576">
        <v>575</v>
      </c>
      <c r="B576" t="s">
        <v>812</v>
      </c>
      <c r="C576" t="s">
        <v>172</v>
      </c>
      <c r="D576" t="str">
        <f t="shared" si="21"/>
        <v/>
      </c>
      <c r="E576" t="str">
        <f t="shared" si="19"/>
        <v>fire on the mountain</v>
      </c>
      <c r="F576" t="s">
        <v>5675</v>
      </c>
      <c r="G576" t="str">
        <f>_xlfn.IFNA(VLOOKUP(F576,songs!$B$1:$C$1539, 2, FALSE),"")</f>
        <v>Fire On The Mountain</v>
      </c>
      <c r="H576" t="s">
        <v>573</v>
      </c>
    </row>
    <row r="577" spans="1:8" x14ac:dyDescent="0.25">
      <c r="A577">
        <v>584</v>
      </c>
      <c r="B577" t="s">
        <v>823</v>
      </c>
      <c r="C577" t="s">
        <v>824</v>
      </c>
      <c r="D577" t="str">
        <f t="shared" si="21"/>
        <v/>
      </c>
      <c r="E577" t="str">
        <f t="shared" si="19"/>
        <v>mountains of the moon»</v>
      </c>
      <c r="F577" t="s">
        <v>6568</v>
      </c>
      <c r="G577" t="str">
        <f>_xlfn.IFNA(VLOOKUP(F577,songs!$B$1:$C$1539, 2, FALSE),"")</f>
        <v>Mountains Of The Moon</v>
      </c>
      <c r="H577" t="s">
        <v>7867</v>
      </c>
    </row>
    <row r="578" spans="1:8" x14ac:dyDescent="0.25">
      <c r="A578">
        <v>577</v>
      </c>
      <c r="B578" t="s">
        <v>814</v>
      </c>
      <c r="C578" t="s">
        <v>100</v>
      </c>
      <c r="D578" t="str">
        <f t="shared" si="21"/>
        <v/>
      </c>
      <c r="E578" t="str">
        <f t="shared" si="19"/>
        <v>drums</v>
      </c>
      <c r="F578" t="s">
        <v>5568</v>
      </c>
      <c r="G578" t="str">
        <f>_xlfn.IFNA(VLOOKUP(F578,songs!$B$1:$C$1539, 2, FALSE),"")</f>
        <v>Drums</v>
      </c>
      <c r="H578" t="s">
        <v>100</v>
      </c>
    </row>
    <row r="579" spans="1:8" x14ac:dyDescent="0.25">
      <c r="A579">
        <v>578</v>
      </c>
      <c r="B579" t="s">
        <v>815</v>
      </c>
      <c r="C579" t="s">
        <v>34</v>
      </c>
      <c r="D579" t="str">
        <f t="shared" si="21"/>
        <v/>
      </c>
      <c r="E579" t="str">
        <f t="shared" si="19"/>
        <v>not fade away</v>
      </c>
      <c r="F579" t="s">
        <v>6651</v>
      </c>
      <c r="G579" t="str">
        <f>_xlfn.IFNA(VLOOKUP(F579,songs!$B$1:$C$1539, 2, FALSE),"")</f>
        <v>Not Fade Away</v>
      </c>
      <c r="H579" t="s">
        <v>34</v>
      </c>
    </row>
    <row r="580" spans="1:8" x14ac:dyDescent="0.25">
      <c r="A580">
        <v>579</v>
      </c>
      <c r="B580" t="s">
        <v>816</v>
      </c>
      <c r="C580" t="s">
        <v>24</v>
      </c>
      <c r="D580" t="str">
        <f t="shared" si="21"/>
        <v/>
      </c>
      <c r="E580" t="str">
        <f t="shared" ref="E580:E643" si="22">LOWER(TRIM(SUBSTITUTE(IF(RIGHT(TRIM(C580),2)="-&gt;",LEFT(TRIM(C580),LEN(TRIM(C580))-2),IF(RIGHT(TRIM(C580),1)="&gt;",LEFT(TRIM(C580),LEN(TRIM(C580))-1),C580)),"//","")))</f>
        <v>stella blue</v>
      </c>
      <c r="F580" t="s">
        <v>7123</v>
      </c>
      <c r="G580" t="str">
        <f>_xlfn.IFNA(VLOOKUP(F580,songs!$B$1:$C$1539, 2, FALSE),"")</f>
        <v>Stella Blue</v>
      </c>
      <c r="H580" t="s">
        <v>24</v>
      </c>
    </row>
    <row r="581" spans="1:8" x14ac:dyDescent="0.25">
      <c r="A581">
        <v>580</v>
      </c>
      <c r="B581" t="s">
        <v>817</v>
      </c>
      <c r="C581" t="s">
        <v>579</v>
      </c>
      <c r="D581" t="str">
        <f t="shared" si="21"/>
        <v/>
      </c>
      <c r="E581" t="str">
        <f t="shared" si="22"/>
        <v>around and around</v>
      </c>
      <c r="F581" t="s">
        <v>5103</v>
      </c>
      <c r="G581" t="str">
        <f>_xlfn.IFNA(VLOOKUP(F581,songs!$B$1:$C$1539, 2, FALSE),"")</f>
        <v>Around And Around</v>
      </c>
      <c r="H581" t="s">
        <v>579</v>
      </c>
    </row>
    <row r="582" spans="1:8" x14ac:dyDescent="0.25">
      <c r="A582">
        <v>581</v>
      </c>
      <c r="B582" t="s">
        <v>818</v>
      </c>
      <c r="C582" t="s">
        <v>819</v>
      </c>
      <c r="D582" t="str">
        <f t="shared" si="21"/>
        <v/>
      </c>
      <c r="E582" t="str">
        <f t="shared" si="22"/>
        <v>werewolves of london</v>
      </c>
      <c r="F582" t="s">
        <v>7662</v>
      </c>
      <c r="G582" t="str">
        <f>_xlfn.IFNA(VLOOKUP(F582,songs!$B$1:$C$1539, 2, FALSE),"")</f>
        <v>Werewolves Of London</v>
      </c>
      <c r="H582" t="s">
        <v>819</v>
      </c>
    </row>
    <row r="583" spans="1:8" x14ac:dyDescent="0.25">
      <c r="A583">
        <v>582</v>
      </c>
      <c r="B583" t="s">
        <v>820</v>
      </c>
      <c r="C583" t="s">
        <v>148</v>
      </c>
      <c r="D583" t="str">
        <f t="shared" si="21"/>
        <v/>
      </c>
      <c r="E583" t="str">
        <f t="shared" si="22"/>
        <v>johnny b. goode</v>
      </c>
      <c r="F583" t="s">
        <v>6192</v>
      </c>
      <c r="G583" t="str">
        <f>_xlfn.IFNA(VLOOKUP(F583,songs!$B$1:$C$1539, 2, FALSE),"")</f>
        <v>Johnny B. Goode</v>
      </c>
      <c r="H583" t="s">
        <v>148</v>
      </c>
    </row>
    <row r="584" spans="1:8" x14ac:dyDescent="0.25">
      <c r="A584">
        <v>585</v>
      </c>
      <c r="B584" t="s">
        <v>825</v>
      </c>
      <c r="C584" t="s">
        <v>826</v>
      </c>
      <c r="D584" t="s">
        <v>7871</v>
      </c>
      <c r="E584" t="str">
        <f t="shared" si="22"/>
        <v>china cat sinflower»</v>
      </c>
      <c r="F584" t="s">
        <v>5319</v>
      </c>
      <c r="G584" t="str">
        <f>_xlfn.IFNA(VLOOKUP(F584,songs!$B$1:$C$1539, 2, FALSE),"")</f>
        <v>China Cat Sunflower</v>
      </c>
      <c r="H584" t="s">
        <v>7867</v>
      </c>
    </row>
    <row r="585" spans="1:8" x14ac:dyDescent="0.25">
      <c r="A585">
        <v>587</v>
      </c>
      <c r="B585" t="s">
        <v>829</v>
      </c>
      <c r="C585" t="s">
        <v>830</v>
      </c>
      <c r="D585" t="s">
        <v>7871</v>
      </c>
      <c r="E585" t="str">
        <f t="shared" si="22"/>
        <v>cryptical envelopement»</v>
      </c>
      <c r="F585" t="s">
        <v>5408</v>
      </c>
      <c r="G585" t="str">
        <f>_xlfn.IFNA(VLOOKUP(F585,songs!$B$1:$C$1539, 2, FALSE),"")</f>
        <v>Cryptical Envelopment</v>
      </c>
      <c r="H585" t="s">
        <v>7867</v>
      </c>
    </row>
    <row r="586" spans="1:8" x14ac:dyDescent="0.25">
      <c r="A586">
        <v>588</v>
      </c>
      <c r="B586" t="s">
        <v>831</v>
      </c>
      <c r="C586" t="s">
        <v>832</v>
      </c>
      <c r="D586" t="str">
        <f>IF(RIGHT(TRIM(C586),2)="-&gt;","&gt;",IF(RIGHT(TRIM(C586),1)="&gt;","&gt;",""))</f>
        <v/>
      </c>
      <c r="E586" t="str">
        <f t="shared" si="22"/>
        <v>the other one»</v>
      </c>
      <c r="F586" t="s">
        <v>7325</v>
      </c>
      <c r="G586" t="str">
        <f>_xlfn.IFNA(VLOOKUP(F586,songs!$B$1:$C$1539, 2, FALSE),"")</f>
        <v>The Other One</v>
      </c>
      <c r="H586" t="s">
        <v>7867</v>
      </c>
    </row>
    <row r="587" spans="1:8" x14ac:dyDescent="0.25">
      <c r="A587">
        <v>586</v>
      </c>
      <c r="B587" t="s">
        <v>827</v>
      </c>
      <c r="C587" t="s">
        <v>828</v>
      </c>
      <c r="D587" t="str">
        <f>IF(RIGHT(TRIM(C587),2)="-&gt;","&gt;",IF(RIGHT(TRIM(C587),1)="&gt;","&gt;",""))</f>
        <v/>
      </c>
      <c r="E587" t="str">
        <f t="shared" si="22"/>
        <v>doin' that rag</v>
      </c>
      <c r="F587" t="s">
        <v>5508</v>
      </c>
      <c r="G587" t="str">
        <f>_xlfn.IFNA(VLOOKUP(F587,songs!$B$1:$C$1539, 2, FALSE),"")</f>
        <v>Doin' That Rag</v>
      </c>
      <c r="H587" t="s">
        <v>828</v>
      </c>
    </row>
    <row r="588" spans="1:8" x14ac:dyDescent="0.25">
      <c r="A588">
        <v>589</v>
      </c>
      <c r="B588" t="s">
        <v>833</v>
      </c>
      <c r="C588" t="s">
        <v>834</v>
      </c>
      <c r="D588" t="s">
        <v>7871</v>
      </c>
      <c r="E588" t="str">
        <f t="shared" si="22"/>
        <v>the eleven»</v>
      </c>
      <c r="F588" t="s">
        <v>7280</v>
      </c>
      <c r="G588" t="str">
        <f>_xlfn.IFNA(VLOOKUP(F588,songs!$B$1:$C$1539, 2, FALSE),"")</f>
        <v>The Eleven</v>
      </c>
      <c r="H588" t="s">
        <v>7867</v>
      </c>
    </row>
    <row r="589" spans="1:8" x14ac:dyDescent="0.25">
      <c r="A589">
        <v>590</v>
      </c>
      <c r="B589" t="s">
        <v>835</v>
      </c>
      <c r="C589" t="s">
        <v>832</v>
      </c>
      <c r="D589" t="str">
        <f>IF(RIGHT(TRIM(C589),2)="-&gt;","&gt;",IF(RIGHT(TRIM(C589),1)="&gt;","&gt;",""))</f>
        <v/>
      </c>
      <c r="E589" t="str">
        <f t="shared" si="22"/>
        <v>the other one»</v>
      </c>
      <c r="F589" t="s">
        <v>7325</v>
      </c>
      <c r="G589" t="str">
        <f>_xlfn.IFNA(VLOOKUP(F589,songs!$B$1:$C$1539, 2, FALSE),"")</f>
        <v>The Other One</v>
      </c>
      <c r="H589" t="s">
        <v>7867</v>
      </c>
    </row>
    <row r="590" spans="1:8" x14ac:dyDescent="0.25">
      <c r="A590">
        <v>591</v>
      </c>
      <c r="B590" t="s">
        <v>836</v>
      </c>
      <c r="C590" t="s">
        <v>837</v>
      </c>
      <c r="D590" t="str">
        <f>IF(RIGHT(TRIM(C590),2)="-&gt;","&gt;",IF(RIGHT(TRIM(C590),1)="&gt;","&gt;",""))</f>
        <v/>
      </c>
      <c r="E590" t="str">
        <f t="shared" si="22"/>
        <v>i know its a sin</v>
      </c>
      <c r="F590" t="s">
        <v>6018</v>
      </c>
      <c r="G590" t="str">
        <f>_xlfn.IFNA(VLOOKUP(F590,songs!$B$1:$C$1539, 2, FALSE),"")</f>
        <v>I Know It's A Sin</v>
      </c>
      <c r="H590" t="s">
        <v>7867</v>
      </c>
    </row>
    <row r="591" spans="1:8" x14ac:dyDescent="0.25">
      <c r="A591">
        <v>592</v>
      </c>
      <c r="B591" t="s">
        <v>838</v>
      </c>
      <c r="C591" t="s">
        <v>839</v>
      </c>
      <c r="D591" t="str">
        <f>IF(RIGHT(TRIM(C591),2)="-&gt;","&gt;",IF(RIGHT(TRIM(C591),1)="&gt;","&gt;",""))</f>
        <v/>
      </c>
      <c r="E591" t="str">
        <f t="shared" si="22"/>
        <v>lovelight»</v>
      </c>
      <c r="F591" t="s">
        <v>7447</v>
      </c>
      <c r="G591" t="str">
        <f>_xlfn.IFNA(VLOOKUP(F591,songs!$B$1:$C$1539, 2, FALSE),"")</f>
        <v>Turn On Your Lovelight</v>
      </c>
      <c r="H591" t="s">
        <v>7867</v>
      </c>
    </row>
    <row r="592" spans="1:8" x14ac:dyDescent="0.25">
      <c r="A592">
        <v>593</v>
      </c>
      <c r="B592" t="s">
        <v>840</v>
      </c>
      <c r="C592" t="s">
        <v>841</v>
      </c>
      <c r="D592" t="s">
        <v>7871</v>
      </c>
      <c r="E592" t="str">
        <f t="shared" si="22"/>
        <v>me and my uncle»</v>
      </c>
      <c r="F592" t="s">
        <v>6486</v>
      </c>
      <c r="G592" t="str">
        <f>_xlfn.IFNA(VLOOKUP(F592,songs!$B$1:$C$1539, 2, FALSE),"")</f>
        <v>Me And My Uncle</v>
      </c>
      <c r="H592" t="s">
        <v>7867</v>
      </c>
    </row>
    <row r="593" spans="1:8" x14ac:dyDescent="0.25">
      <c r="A593">
        <v>595</v>
      </c>
      <c r="B593" t="s">
        <v>844</v>
      </c>
      <c r="C593" t="s">
        <v>845</v>
      </c>
      <c r="D593" t="s">
        <v>7871</v>
      </c>
      <c r="E593" t="str">
        <f t="shared" si="22"/>
        <v>dark star»</v>
      </c>
      <c r="F593" t="s">
        <v>5428</v>
      </c>
      <c r="G593" t="str">
        <f>_xlfn.IFNA(VLOOKUP(F593,songs!$B$1:$C$1539, 2, FALSE),"")</f>
        <v>Dark Star</v>
      </c>
      <c r="H593" t="s">
        <v>7867</v>
      </c>
    </row>
    <row r="594" spans="1:8" x14ac:dyDescent="0.25">
      <c r="A594">
        <v>596</v>
      </c>
      <c r="B594" t="s">
        <v>846</v>
      </c>
      <c r="C594" t="s">
        <v>847</v>
      </c>
      <c r="D594" t="str">
        <f>IF(RIGHT(TRIM(C594),2)="-&gt;","&gt;",IF(RIGHT(TRIM(C594),1)="&gt;","&gt;",""))</f>
        <v/>
      </c>
      <c r="E594" t="str">
        <f t="shared" si="22"/>
        <v>st. stephen»</v>
      </c>
      <c r="F594" t="s">
        <v>6910</v>
      </c>
      <c r="G594" t="str">
        <f>_xlfn.IFNA(VLOOKUP(F594,songs!$B$1:$C$1539, 2, FALSE),"")</f>
        <v>Saint Stephen</v>
      </c>
      <c r="H594" t="s">
        <v>7867</v>
      </c>
    </row>
    <row r="595" spans="1:8" x14ac:dyDescent="0.25">
      <c r="A595">
        <v>594</v>
      </c>
      <c r="B595" t="s">
        <v>842</v>
      </c>
      <c r="C595" t="s">
        <v>843</v>
      </c>
      <c r="D595" t="str">
        <f>IF(RIGHT(TRIM(C595),2)="-&gt;","&gt;",IF(RIGHT(TRIM(C595),1)="&gt;","&gt;",""))</f>
        <v/>
      </c>
      <c r="E595" t="str">
        <f t="shared" si="22"/>
        <v>sitting on top of the world</v>
      </c>
      <c r="F595" t="s">
        <v>7024</v>
      </c>
      <c r="G595" t="str">
        <f>_xlfn.IFNA(VLOOKUP(F595,songs!$B$1:$C$1539, 2, FALSE),"")</f>
        <v>Sitting On Top Of The World</v>
      </c>
      <c r="H595" t="s">
        <v>843</v>
      </c>
    </row>
    <row r="596" spans="1:8" x14ac:dyDescent="0.25">
      <c r="A596">
        <v>597</v>
      </c>
      <c r="B596" t="s">
        <v>848</v>
      </c>
      <c r="C596" t="s">
        <v>834</v>
      </c>
      <c r="D596" t="s">
        <v>7871</v>
      </c>
      <c r="E596" t="str">
        <f t="shared" si="22"/>
        <v>the eleven»</v>
      </c>
      <c r="F596" t="s">
        <v>7280</v>
      </c>
      <c r="G596" t="str">
        <f>_xlfn.IFNA(VLOOKUP(F596,songs!$B$1:$C$1539, 2, FALSE),"")</f>
        <v>The Eleven</v>
      </c>
      <c r="H596" t="s">
        <v>7867</v>
      </c>
    </row>
    <row r="597" spans="1:8" x14ac:dyDescent="0.25">
      <c r="A597">
        <v>598</v>
      </c>
      <c r="B597" t="s">
        <v>849</v>
      </c>
      <c r="C597" t="s">
        <v>850</v>
      </c>
      <c r="D597" t="str">
        <f t="shared" ref="D597:D660" si="23">IF(RIGHT(TRIM(C597),2)="-&gt;","&gt;",IF(RIGHT(TRIM(C597),1)="&gt;","&gt;",""))</f>
        <v/>
      </c>
      <c r="E597" t="str">
        <f t="shared" si="22"/>
        <v>lovelight</v>
      </c>
      <c r="F597" t="s">
        <v>7447</v>
      </c>
      <c r="G597" t="str">
        <f>_xlfn.IFNA(VLOOKUP(F597,songs!$B$1:$C$1539, 2, FALSE),"")</f>
        <v>Turn On Your Lovelight</v>
      </c>
      <c r="H597" t="s">
        <v>7867</v>
      </c>
    </row>
    <row r="598" spans="1:8" x14ac:dyDescent="0.25">
      <c r="A598">
        <v>601</v>
      </c>
      <c r="B598" t="s">
        <v>854</v>
      </c>
      <c r="C598" t="s">
        <v>615</v>
      </c>
      <c r="D598" t="str">
        <f t="shared" si="23"/>
        <v/>
      </c>
      <c r="E598" t="str">
        <f t="shared" si="22"/>
        <v>brown-eyed women</v>
      </c>
      <c r="F598" t="s">
        <v>5255</v>
      </c>
      <c r="G598" t="str">
        <f>_xlfn.IFNA(VLOOKUP(F598,songs!$B$1:$C$1539, 2, FALSE),"")</f>
        <v>Brown Eyed Women</v>
      </c>
      <c r="H598" t="s">
        <v>7867</v>
      </c>
    </row>
    <row r="599" spans="1:8" x14ac:dyDescent="0.25">
      <c r="A599">
        <v>604</v>
      </c>
      <c r="B599" t="s">
        <v>859</v>
      </c>
      <c r="C599" t="s">
        <v>860</v>
      </c>
      <c r="D599" t="str">
        <f t="shared" si="23"/>
        <v/>
      </c>
      <c r="E599" t="str">
        <f t="shared" si="22"/>
        <v>stuck inside mobile w- the memphis blues</v>
      </c>
      <c r="F599" t="s">
        <v>7144</v>
      </c>
      <c r="G599" t="str">
        <f>_xlfn.IFNA(VLOOKUP(F599,songs!$B$1:$C$1539, 2, FALSE),"")</f>
        <v>Stuck Inside Of Mobile With The Memphis Blues Again</v>
      </c>
      <c r="H599" t="s">
        <v>7867</v>
      </c>
    </row>
    <row r="600" spans="1:8" x14ac:dyDescent="0.25">
      <c r="A600">
        <v>599</v>
      </c>
      <c r="B600" t="s">
        <v>851</v>
      </c>
      <c r="C600" t="s">
        <v>212</v>
      </c>
      <c r="D600" t="str">
        <f t="shared" si="23"/>
        <v/>
      </c>
      <c r="E600" t="str">
        <f t="shared" si="22"/>
        <v>morning dew</v>
      </c>
      <c r="F600" t="s">
        <v>6555</v>
      </c>
      <c r="G600" t="str">
        <f>_xlfn.IFNA(VLOOKUP(F600,songs!$B$1:$C$1539, 2, FALSE),"")</f>
        <v>Morning Dew</v>
      </c>
      <c r="H600" t="s">
        <v>212</v>
      </c>
    </row>
    <row r="601" spans="1:8" x14ac:dyDescent="0.25">
      <c r="A601">
        <v>600</v>
      </c>
      <c r="B601" t="s">
        <v>852</v>
      </c>
      <c r="C601" t="s">
        <v>853</v>
      </c>
      <c r="D601" t="str">
        <f t="shared" si="23"/>
        <v/>
      </c>
      <c r="E601" t="str">
        <f t="shared" si="22"/>
        <v>feel like a stranger</v>
      </c>
      <c r="F601" t="s">
        <v>5658</v>
      </c>
      <c r="G601" t="str">
        <f>_xlfn.IFNA(VLOOKUP(F601,songs!$B$1:$C$1539, 2, FALSE),"")</f>
        <v>Feel Like A Stranger</v>
      </c>
      <c r="H601" t="s">
        <v>853</v>
      </c>
    </row>
    <row r="602" spans="1:8" x14ac:dyDescent="0.25">
      <c r="A602">
        <v>630</v>
      </c>
      <c r="B602" t="s">
        <v>891</v>
      </c>
      <c r="C602" t="s">
        <v>892</v>
      </c>
      <c r="D602" t="str">
        <f t="shared" si="23"/>
        <v/>
      </c>
      <c r="E602" t="str">
        <f t="shared" si="22"/>
        <v>playin' in the band</v>
      </c>
      <c r="F602" t="s">
        <v>6769</v>
      </c>
      <c r="G602" t="str">
        <f>_xlfn.IFNA(VLOOKUP(F602,songs!$B$1:$C$1539, 2, FALSE),"")</f>
        <v>Playing In The Band</v>
      </c>
      <c r="H602" t="s">
        <v>7867</v>
      </c>
    </row>
    <row r="603" spans="1:8" x14ac:dyDescent="0.25">
      <c r="A603">
        <v>602</v>
      </c>
      <c r="B603" t="s">
        <v>855</v>
      </c>
      <c r="C603" t="s">
        <v>856</v>
      </c>
      <c r="D603" t="str">
        <f t="shared" si="23"/>
        <v/>
      </c>
      <c r="E603" t="str">
        <f t="shared" si="22"/>
        <v>the same thing</v>
      </c>
      <c r="F603" t="s">
        <v>7329</v>
      </c>
      <c r="G603" t="str">
        <f>_xlfn.IFNA(VLOOKUP(F603,songs!$B$1:$C$1539, 2, FALSE),"")</f>
        <v>The Same Thing</v>
      </c>
      <c r="H603" t="s">
        <v>856</v>
      </c>
    </row>
    <row r="604" spans="1:8" x14ac:dyDescent="0.25">
      <c r="A604">
        <v>603</v>
      </c>
      <c r="B604" t="s">
        <v>857</v>
      </c>
      <c r="C604" t="s">
        <v>858</v>
      </c>
      <c r="D604" t="str">
        <f t="shared" si="23"/>
        <v/>
      </c>
      <c r="E604" t="str">
        <f t="shared" si="22"/>
        <v>loose lucy</v>
      </c>
      <c r="F604" t="s">
        <v>6399</v>
      </c>
      <c r="G604" t="str">
        <f>_xlfn.IFNA(VLOOKUP(F604,songs!$B$1:$C$1539, 2, FALSE),"")</f>
        <v>Loose Lucy</v>
      </c>
      <c r="H604" t="s">
        <v>858</v>
      </c>
    </row>
    <row r="605" spans="1:8" x14ac:dyDescent="0.25">
      <c r="A605">
        <v>637</v>
      </c>
      <c r="B605" t="s">
        <v>900</v>
      </c>
      <c r="C605" t="s">
        <v>901</v>
      </c>
      <c r="D605" t="str">
        <f t="shared" si="23"/>
        <v/>
      </c>
      <c r="E605" t="str">
        <f t="shared" si="22"/>
        <v>mississippi half-step</v>
      </c>
      <c r="F605" t="s">
        <v>6531</v>
      </c>
      <c r="G605" t="str">
        <f>_xlfn.IFNA(VLOOKUP(F605,songs!$B$1:$C$1539, 2, FALSE),"")</f>
        <v>Mississippi Half-Step Uptown Toodeloo</v>
      </c>
      <c r="H605" t="s">
        <v>7867</v>
      </c>
    </row>
    <row r="606" spans="1:8" x14ac:dyDescent="0.25">
      <c r="A606">
        <v>605</v>
      </c>
      <c r="B606" t="s">
        <v>861</v>
      </c>
      <c r="C606" t="s">
        <v>188</v>
      </c>
      <c r="D606" t="str">
        <f t="shared" si="23"/>
        <v/>
      </c>
      <c r="E606" t="str">
        <f t="shared" si="22"/>
        <v>row jimmy</v>
      </c>
      <c r="F606" t="s">
        <v>6893</v>
      </c>
      <c r="G606" t="str">
        <f>_xlfn.IFNA(VLOOKUP(F606,songs!$B$1:$C$1539, 2, FALSE),"")</f>
        <v>Row Jimmy</v>
      </c>
      <c r="H606" t="s">
        <v>188</v>
      </c>
    </row>
    <row r="607" spans="1:8" x14ac:dyDescent="0.25">
      <c r="A607">
        <v>606</v>
      </c>
      <c r="B607" t="s">
        <v>862</v>
      </c>
      <c r="C607" t="s">
        <v>389</v>
      </c>
      <c r="D607" t="str">
        <f t="shared" si="23"/>
        <v/>
      </c>
      <c r="E607" t="str">
        <f t="shared" si="22"/>
        <v>let it grow</v>
      </c>
      <c r="F607" t="s">
        <v>6308</v>
      </c>
      <c r="G607" t="str">
        <f>_xlfn.IFNA(VLOOKUP(F607,songs!$B$1:$C$1539, 2, FALSE),"")</f>
        <v>Let It Grow</v>
      </c>
      <c r="H607" t="s">
        <v>389</v>
      </c>
    </row>
    <row r="608" spans="1:8" x14ac:dyDescent="0.25">
      <c r="A608">
        <v>607</v>
      </c>
      <c r="B608" t="s">
        <v>863</v>
      </c>
      <c r="C608" t="s">
        <v>150</v>
      </c>
      <c r="D608" t="str">
        <f t="shared" si="23"/>
        <v/>
      </c>
      <c r="E608" t="str">
        <f t="shared" si="22"/>
        <v>shakedown street</v>
      </c>
      <c r="F608" t="s">
        <v>6972</v>
      </c>
      <c r="G608" t="str">
        <f>_xlfn.IFNA(VLOOKUP(F608,songs!$B$1:$C$1539, 2, FALSE),"")</f>
        <v>Shakedown Street</v>
      </c>
      <c r="H608" t="s">
        <v>150</v>
      </c>
    </row>
    <row r="609" spans="1:8" x14ac:dyDescent="0.25">
      <c r="A609">
        <v>608</v>
      </c>
      <c r="B609" t="s">
        <v>864</v>
      </c>
      <c r="C609" t="s">
        <v>266</v>
      </c>
      <c r="D609" t="str">
        <f t="shared" si="23"/>
        <v/>
      </c>
      <c r="E609" t="str">
        <f t="shared" si="22"/>
        <v>samson and delilah</v>
      </c>
      <c r="F609" t="s">
        <v>6925</v>
      </c>
      <c r="G609" t="str">
        <f>_xlfn.IFNA(VLOOKUP(F609,songs!$B$1:$C$1539, 2, FALSE),"")</f>
        <v>Samson And Delilah</v>
      </c>
      <c r="H609" t="s">
        <v>266</v>
      </c>
    </row>
    <row r="610" spans="1:8" x14ac:dyDescent="0.25">
      <c r="A610">
        <v>609</v>
      </c>
      <c r="B610" t="s">
        <v>865</v>
      </c>
      <c r="C610" t="s">
        <v>866</v>
      </c>
      <c r="D610" t="str">
        <f t="shared" si="23"/>
        <v/>
      </c>
      <c r="E610" t="str">
        <f t="shared" si="22"/>
        <v>ship of fools</v>
      </c>
      <c r="F610" t="s">
        <v>6999</v>
      </c>
      <c r="G610" t="str">
        <f>_xlfn.IFNA(VLOOKUP(F610,songs!$B$1:$C$1539, 2, FALSE),"")</f>
        <v>Ship Of Fools</v>
      </c>
      <c r="H610" t="s">
        <v>866</v>
      </c>
    </row>
    <row r="611" spans="1:8" x14ac:dyDescent="0.25">
      <c r="A611">
        <v>610</v>
      </c>
      <c r="B611" t="s">
        <v>867</v>
      </c>
      <c r="C611" t="s">
        <v>419</v>
      </c>
      <c r="D611" t="str">
        <f t="shared" si="23"/>
        <v/>
      </c>
      <c r="E611" t="str">
        <f t="shared" si="22"/>
        <v>playing in the band</v>
      </c>
      <c r="F611" t="s">
        <v>6769</v>
      </c>
      <c r="G611" t="str">
        <f>_xlfn.IFNA(VLOOKUP(F611,songs!$B$1:$C$1539, 2, FALSE),"")</f>
        <v>Playing In The Band</v>
      </c>
      <c r="H611" t="s">
        <v>419</v>
      </c>
    </row>
    <row r="612" spans="1:8" x14ac:dyDescent="0.25">
      <c r="A612">
        <v>611</v>
      </c>
      <c r="B612" t="s">
        <v>868</v>
      </c>
      <c r="C612" t="s">
        <v>100</v>
      </c>
      <c r="D612" t="str">
        <f t="shared" si="23"/>
        <v/>
      </c>
      <c r="E612" t="str">
        <f t="shared" si="22"/>
        <v>drums</v>
      </c>
      <c r="F612" t="s">
        <v>5568</v>
      </c>
      <c r="G612" t="str">
        <f>_xlfn.IFNA(VLOOKUP(F612,songs!$B$1:$C$1539, 2, FALSE),"")</f>
        <v>Drums</v>
      </c>
      <c r="H612" t="s">
        <v>100</v>
      </c>
    </row>
    <row r="613" spans="1:8" x14ac:dyDescent="0.25">
      <c r="A613">
        <v>612</v>
      </c>
      <c r="B613" t="s">
        <v>869</v>
      </c>
      <c r="C613" t="s">
        <v>277</v>
      </c>
      <c r="D613" t="str">
        <f t="shared" si="23"/>
        <v/>
      </c>
      <c r="E613" t="str">
        <f t="shared" si="22"/>
        <v>space</v>
      </c>
      <c r="F613" t="s">
        <v>7091</v>
      </c>
      <c r="G613" t="str">
        <f>_xlfn.IFNA(VLOOKUP(F613,songs!$B$1:$C$1539, 2, FALSE),"")</f>
        <v>Space</v>
      </c>
      <c r="H613" t="s">
        <v>277</v>
      </c>
    </row>
    <row r="614" spans="1:8" x14ac:dyDescent="0.25">
      <c r="A614">
        <v>613</v>
      </c>
      <c r="B614" t="s">
        <v>870</v>
      </c>
      <c r="C614" t="s">
        <v>92</v>
      </c>
      <c r="D614" t="str">
        <f t="shared" si="23"/>
        <v/>
      </c>
      <c r="E614" t="str">
        <f t="shared" si="22"/>
        <v>dark star</v>
      </c>
      <c r="F614" t="s">
        <v>5428</v>
      </c>
      <c r="G614" t="str">
        <f>_xlfn.IFNA(VLOOKUP(F614,songs!$B$1:$C$1539, 2, FALSE),"")</f>
        <v>Dark Star</v>
      </c>
      <c r="H614" t="s">
        <v>92</v>
      </c>
    </row>
    <row r="615" spans="1:8" x14ac:dyDescent="0.25">
      <c r="A615">
        <v>614</v>
      </c>
      <c r="B615" t="s">
        <v>871</v>
      </c>
      <c r="C615" t="s">
        <v>872</v>
      </c>
      <c r="D615" t="str">
        <f t="shared" si="23"/>
        <v/>
      </c>
      <c r="E615" t="str">
        <f t="shared" si="22"/>
        <v>all along the watchtower</v>
      </c>
      <c r="F615" t="s">
        <v>5051</v>
      </c>
      <c r="G615" t="str">
        <f>_xlfn.IFNA(VLOOKUP(F615,songs!$B$1:$C$1539, 2, FALSE),"")</f>
        <v>All Along The Watchtower</v>
      </c>
      <c r="H615" t="s">
        <v>872</v>
      </c>
    </row>
    <row r="616" spans="1:8" x14ac:dyDescent="0.25">
      <c r="A616">
        <v>615</v>
      </c>
      <c r="B616" t="s">
        <v>873</v>
      </c>
      <c r="C616" t="s">
        <v>24</v>
      </c>
      <c r="D616" t="str">
        <f t="shared" si="23"/>
        <v/>
      </c>
      <c r="E616" t="str">
        <f t="shared" si="22"/>
        <v>stella blue</v>
      </c>
      <c r="F616" t="s">
        <v>7123</v>
      </c>
      <c r="G616" t="str">
        <f>_xlfn.IFNA(VLOOKUP(F616,songs!$B$1:$C$1539, 2, FALSE),"")</f>
        <v>Stella Blue</v>
      </c>
      <c r="H616" t="s">
        <v>24</v>
      </c>
    </row>
    <row r="617" spans="1:8" x14ac:dyDescent="0.25">
      <c r="A617">
        <v>616</v>
      </c>
      <c r="B617" t="s">
        <v>874</v>
      </c>
      <c r="C617" t="s">
        <v>242</v>
      </c>
      <c r="D617" t="str">
        <f t="shared" si="23"/>
        <v/>
      </c>
      <c r="E617" t="str">
        <f t="shared" si="22"/>
        <v>good lovin'</v>
      </c>
      <c r="F617" t="s">
        <v>5810</v>
      </c>
      <c r="G617" t="str">
        <f>_xlfn.IFNA(VLOOKUP(F617,songs!$B$1:$C$1539, 2, FALSE),"")</f>
        <v>Good Lovin'</v>
      </c>
      <c r="H617" t="s">
        <v>242</v>
      </c>
    </row>
    <row r="618" spans="1:8" x14ac:dyDescent="0.25">
      <c r="A618">
        <v>617</v>
      </c>
      <c r="B618" t="s">
        <v>875</v>
      </c>
      <c r="C618" t="s">
        <v>81</v>
      </c>
      <c r="D618" t="str">
        <f t="shared" si="23"/>
        <v/>
      </c>
      <c r="E618" t="str">
        <f t="shared" si="22"/>
        <v>casey jones</v>
      </c>
      <c r="F618" t="s">
        <v>5290</v>
      </c>
      <c r="G618" t="str">
        <f>_xlfn.IFNA(VLOOKUP(F618,songs!$B$1:$C$1539, 2, FALSE),"")</f>
        <v>Casey Jones</v>
      </c>
      <c r="H618" t="s">
        <v>81</v>
      </c>
    </row>
    <row r="619" spans="1:8" x14ac:dyDescent="0.25">
      <c r="A619">
        <v>618</v>
      </c>
      <c r="B619" t="s">
        <v>876</v>
      </c>
      <c r="C619" t="s">
        <v>877</v>
      </c>
      <c r="D619" t="str">
        <f t="shared" si="23"/>
        <v/>
      </c>
      <c r="E619" t="str">
        <f t="shared" si="22"/>
        <v>throwing stones</v>
      </c>
      <c r="F619" t="s">
        <v>7383</v>
      </c>
      <c r="G619" t="str">
        <f>_xlfn.IFNA(VLOOKUP(F619,songs!$B$1:$C$1539, 2, FALSE),"")</f>
        <v>Throwing Stones</v>
      </c>
      <c r="H619" t="s">
        <v>877</v>
      </c>
    </row>
    <row r="620" spans="1:8" x14ac:dyDescent="0.25">
      <c r="A620">
        <v>619</v>
      </c>
      <c r="B620" t="s">
        <v>878</v>
      </c>
      <c r="C620" t="s">
        <v>34</v>
      </c>
      <c r="D620" t="str">
        <f t="shared" si="23"/>
        <v/>
      </c>
      <c r="E620" t="str">
        <f t="shared" si="22"/>
        <v>not fade away</v>
      </c>
      <c r="F620" t="s">
        <v>6651</v>
      </c>
      <c r="G620" t="str">
        <f>_xlfn.IFNA(VLOOKUP(F620,songs!$B$1:$C$1539, 2, FALSE),"")</f>
        <v>Not Fade Away</v>
      </c>
      <c r="H620" t="s">
        <v>34</v>
      </c>
    </row>
    <row r="621" spans="1:8" x14ac:dyDescent="0.25">
      <c r="A621">
        <v>640</v>
      </c>
      <c r="B621" t="s">
        <v>906</v>
      </c>
      <c r="C621" t="s">
        <v>907</v>
      </c>
      <c r="D621" t="str">
        <f t="shared" si="23"/>
        <v>&gt;</v>
      </c>
      <c r="E621" t="str">
        <f t="shared" si="22"/>
        <v>goin' down the road feeling bad</v>
      </c>
      <c r="F621" t="s">
        <v>5783</v>
      </c>
      <c r="G621" t="str">
        <f>_xlfn.IFNA(VLOOKUP(F621,songs!$B$1:$C$1539, 2, FALSE),"")</f>
        <v>Goin' Down The Road Feelin' Bad</v>
      </c>
      <c r="H621" t="s">
        <v>7867</v>
      </c>
    </row>
    <row r="622" spans="1:8" x14ac:dyDescent="0.25">
      <c r="A622">
        <v>621</v>
      </c>
      <c r="B622" t="s">
        <v>881</v>
      </c>
      <c r="C622" t="s">
        <v>882</v>
      </c>
      <c r="D622" t="str">
        <f t="shared" si="23"/>
        <v/>
      </c>
      <c r="E622" t="str">
        <f t="shared" si="22"/>
        <v>tomorrow never knows</v>
      </c>
      <c r="F622" t="s">
        <v>7413</v>
      </c>
      <c r="G622" t="str">
        <f>_xlfn.IFNA(VLOOKUP(F622,songs!$B$1:$C$1539, 2, FALSE),"")</f>
        <v>Tomorrow Never Knows</v>
      </c>
      <c r="H622" t="s">
        <v>882</v>
      </c>
    </row>
    <row r="623" spans="1:8" x14ac:dyDescent="0.25">
      <c r="A623">
        <v>622</v>
      </c>
      <c r="B623" t="s">
        <v>883</v>
      </c>
      <c r="C623" t="s">
        <v>130</v>
      </c>
      <c r="D623" t="str">
        <f t="shared" si="23"/>
        <v/>
      </c>
      <c r="E623" t="str">
        <f t="shared" si="22"/>
        <v>promised land</v>
      </c>
      <c r="F623" t="s">
        <v>6797</v>
      </c>
      <c r="G623" t="str">
        <f>_xlfn.IFNA(VLOOKUP(F623,songs!$B$1:$C$1539, 2, FALSE),"")</f>
        <v>Promised Land</v>
      </c>
      <c r="H623" t="s">
        <v>130</v>
      </c>
    </row>
    <row r="624" spans="1:8" x14ac:dyDescent="0.25">
      <c r="A624">
        <v>623</v>
      </c>
      <c r="B624" t="s">
        <v>884</v>
      </c>
      <c r="C624" t="s">
        <v>291</v>
      </c>
      <c r="D624" t="str">
        <f t="shared" si="23"/>
        <v/>
      </c>
      <c r="E624" t="str">
        <f t="shared" si="22"/>
        <v>loser</v>
      </c>
      <c r="F624" t="s">
        <v>6400</v>
      </c>
      <c r="G624" t="str">
        <f>_xlfn.IFNA(VLOOKUP(F624,songs!$B$1:$C$1539, 2, FALSE),"")</f>
        <v>Loser</v>
      </c>
      <c r="H624" t="s">
        <v>291</v>
      </c>
    </row>
    <row r="625" spans="1:8" x14ac:dyDescent="0.25">
      <c r="A625">
        <v>624</v>
      </c>
      <c r="B625" t="s">
        <v>885</v>
      </c>
      <c r="C625" t="s">
        <v>199</v>
      </c>
      <c r="D625" t="str">
        <f t="shared" si="23"/>
        <v/>
      </c>
      <c r="E625" t="str">
        <f t="shared" si="22"/>
        <v>jack straw</v>
      </c>
      <c r="F625" t="s">
        <v>6161</v>
      </c>
      <c r="G625" t="str">
        <f>_xlfn.IFNA(VLOOKUP(F625,songs!$B$1:$C$1539, 2, FALSE),"")</f>
        <v>Jack Straw</v>
      </c>
      <c r="H625" t="s">
        <v>199</v>
      </c>
    </row>
    <row r="626" spans="1:8" x14ac:dyDescent="0.25">
      <c r="A626">
        <v>625</v>
      </c>
      <c r="B626" t="s">
        <v>886</v>
      </c>
      <c r="C626" t="s">
        <v>215</v>
      </c>
      <c r="D626" t="str">
        <f t="shared" si="23"/>
        <v/>
      </c>
      <c r="E626" t="str">
        <f t="shared" si="22"/>
        <v>don't ease me in</v>
      </c>
      <c r="F626" t="s">
        <v>5513</v>
      </c>
      <c r="G626" t="str">
        <f>_xlfn.IFNA(VLOOKUP(F626,songs!$B$1:$C$1539, 2, FALSE),"")</f>
        <v>Don't Ease Me In</v>
      </c>
      <c r="H626" t="s">
        <v>215</v>
      </c>
    </row>
    <row r="627" spans="1:8" x14ac:dyDescent="0.25">
      <c r="A627">
        <v>626</v>
      </c>
      <c r="B627" t="s">
        <v>887</v>
      </c>
      <c r="C627" t="s">
        <v>126</v>
      </c>
      <c r="D627" t="str">
        <f t="shared" si="23"/>
        <v/>
      </c>
      <c r="E627" t="str">
        <f t="shared" si="22"/>
        <v>looks like rain</v>
      </c>
      <c r="F627" t="s">
        <v>6398</v>
      </c>
      <c r="G627" t="str">
        <f>_xlfn.IFNA(VLOOKUP(F627,songs!$B$1:$C$1539, 2, FALSE),"")</f>
        <v>Looks Like Rain</v>
      </c>
      <c r="H627" t="s">
        <v>126</v>
      </c>
    </row>
    <row r="628" spans="1:8" x14ac:dyDescent="0.25">
      <c r="A628">
        <v>627</v>
      </c>
      <c r="B628" t="s">
        <v>888</v>
      </c>
      <c r="C628" t="s">
        <v>858</v>
      </c>
      <c r="D628" t="str">
        <f t="shared" si="23"/>
        <v/>
      </c>
      <c r="E628" t="str">
        <f t="shared" si="22"/>
        <v>loose lucy</v>
      </c>
      <c r="F628" t="s">
        <v>6399</v>
      </c>
      <c r="G628" t="str">
        <f>_xlfn.IFNA(VLOOKUP(F628,songs!$B$1:$C$1539, 2, FALSE),"")</f>
        <v>Loose Lucy</v>
      </c>
      <c r="H628" t="s">
        <v>858</v>
      </c>
    </row>
    <row r="629" spans="1:8" x14ac:dyDescent="0.25">
      <c r="A629">
        <v>660</v>
      </c>
      <c r="B629" t="s">
        <v>929</v>
      </c>
      <c r="C629" t="s">
        <v>111</v>
      </c>
      <c r="D629" t="str">
        <f t="shared" si="23"/>
        <v/>
      </c>
      <c r="E629" t="str">
        <f t="shared" si="22"/>
        <v>we bid you goodnight</v>
      </c>
      <c r="F629" t="s">
        <v>5082</v>
      </c>
      <c r="G629" t="str">
        <f>_xlfn.IFNA(VLOOKUP(F629,songs!$B$1:$C$1539, 2, FALSE),"")</f>
        <v>And We Bid You Good Night</v>
      </c>
      <c r="H629" t="s">
        <v>7867</v>
      </c>
    </row>
    <row r="630" spans="1:8" x14ac:dyDescent="0.25">
      <c r="A630">
        <v>629</v>
      </c>
      <c r="B630" t="s">
        <v>890</v>
      </c>
      <c r="C630" t="s">
        <v>9</v>
      </c>
      <c r="D630" t="str">
        <f t="shared" si="23"/>
        <v/>
      </c>
      <c r="E630" t="str">
        <f t="shared" si="22"/>
        <v>big railroad blues</v>
      </c>
      <c r="F630" t="s">
        <v>5174</v>
      </c>
      <c r="G630" t="str">
        <f>_xlfn.IFNA(VLOOKUP(F630,songs!$B$1:$C$1539, 2, FALSE),"")</f>
        <v>Big Railroad Blues</v>
      </c>
      <c r="H630" t="s">
        <v>9</v>
      </c>
    </row>
    <row r="631" spans="1:8" x14ac:dyDescent="0.25">
      <c r="A631">
        <v>665</v>
      </c>
      <c r="B631" t="s">
        <v>934</v>
      </c>
      <c r="C631" t="s">
        <v>935</v>
      </c>
      <c r="D631" t="str">
        <f t="shared" si="23"/>
        <v/>
      </c>
      <c r="E631" t="str">
        <f t="shared" si="22"/>
        <v>jack-a-row</v>
      </c>
      <c r="F631" t="s">
        <v>6162</v>
      </c>
      <c r="G631" t="str">
        <f>_xlfn.IFNA(VLOOKUP(F631,songs!$B$1:$C$1539, 2, FALSE),"")</f>
        <v>Jack-A-Roe</v>
      </c>
      <c r="H631" t="s">
        <v>7867</v>
      </c>
    </row>
    <row r="632" spans="1:8" x14ac:dyDescent="0.25">
      <c r="A632">
        <v>631</v>
      </c>
      <c r="B632" t="s">
        <v>893</v>
      </c>
      <c r="C632" t="s">
        <v>156</v>
      </c>
      <c r="D632" t="str">
        <f t="shared" si="23"/>
        <v/>
      </c>
      <c r="E632" t="str">
        <f t="shared" si="22"/>
        <v>they love each other</v>
      </c>
      <c r="F632" t="s">
        <v>7358</v>
      </c>
      <c r="G632" t="str">
        <f>_xlfn.IFNA(VLOOKUP(F632,songs!$B$1:$C$1539, 2, FALSE),"")</f>
        <v>They Love Each Other</v>
      </c>
      <c r="H632" t="s">
        <v>156</v>
      </c>
    </row>
    <row r="633" spans="1:8" x14ac:dyDescent="0.25">
      <c r="A633">
        <v>632</v>
      </c>
      <c r="B633" t="s">
        <v>894</v>
      </c>
      <c r="C633" t="s">
        <v>3</v>
      </c>
      <c r="D633" t="str">
        <f t="shared" si="23"/>
        <v/>
      </c>
      <c r="E633" t="str">
        <f t="shared" si="22"/>
        <v>big river</v>
      </c>
      <c r="F633" t="s">
        <v>5175</v>
      </c>
      <c r="G633" t="str">
        <f>_xlfn.IFNA(VLOOKUP(F633,songs!$B$1:$C$1539, 2, FALSE),"")</f>
        <v>Big River</v>
      </c>
      <c r="H633" t="s">
        <v>3</v>
      </c>
    </row>
    <row r="634" spans="1:8" x14ac:dyDescent="0.25">
      <c r="A634">
        <v>633</v>
      </c>
      <c r="B634" t="s">
        <v>895</v>
      </c>
      <c r="C634" t="s">
        <v>164</v>
      </c>
      <c r="D634" t="str">
        <f t="shared" si="23"/>
        <v/>
      </c>
      <c r="E634" t="str">
        <f t="shared" si="22"/>
        <v>tennessee jed</v>
      </c>
      <c r="F634" t="s">
        <v>7234</v>
      </c>
      <c r="G634" t="str">
        <f>_xlfn.IFNA(VLOOKUP(F634,songs!$B$1:$C$1539, 2, FALSE),"")</f>
        <v>Tennessee Jed</v>
      </c>
      <c r="H634" t="s">
        <v>164</v>
      </c>
    </row>
    <row r="635" spans="1:8" x14ac:dyDescent="0.25">
      <c r="A635">
        <v>634</v>
      </c>
      <c r="B635" t="s">
        <v>896</v>
      </c>
      <c r="C635" t="s">
        <v>154</v>
      </c>
      <c r="D635" t="str">
        <f t="shared" si="23"/>
        <v/>
      </c>
      <c r="E635" t="str">
        <f t="shared" si="22"/>
        <v>greatest story ever told</v>
      </c>
      <c r="F635" t="s">
        <v>5826</v>
      </c>
      <c r="G635" t="str">
        <f>_xlfn.IFNA(VLOOKUP(F635,songs!$B$1:$C$1539, 2, FALSE),"")</f>
        <v>Greatest Story Ever Told</v>
      </c>
      <c r="H635" t="s">
        <v>154</v>
      </c>
    </row>
    <row r="636" spans="1:8" x14ac:dyDescent="0.25">
      <c r="A636">
        <v>635</v>
      </c>
      <c r="B636" t="s">
        <v>897</v>
      </c>
      <c r="C636" t="s">
        <v>599</v>
      </c>
      <c r="D636" t="str">
        <f t="shared" si="23"/>
        <v>&gt;</v>
      </c>
      <c r="E636" t="str">
        <f t="shared" si="22"/>
        <v>dark star</v>
      </c>
      <c r="F636" t="s">
        <v>5428</v>
      </c>
      <c r="G636" t="str">
        <f>_xlfn.IFNA(VLOOKUP(F636,songs!$B$1:$C$1539, 2, FALSE),"")</f>
        <v>Dark Star</v>
      </c>
      <c r="H636" t="s">
        <v>92</v>
      </c>
    </row>
    <row r="637" spans="1:8" x14ac:dyDescent="0.25">
      <c r="A637">
        <v>636</v>
      </c>
      <c r="B637" t="s">
        <v>898</v>
      </c>
      <c r="C637" t="s">
        <v>899</v>
      </c>
      <c r="D637" t="str">
        <f t="shared" si="23"/>
        <v>&gt;</v>
      </c>
      <c r="E637" t="str">
        <f t="shared" si="22"/>
        <v>eyes of the world</v>
      </c>
      <c r="F637" t="s">
        <v>5633</v>
      </c>
      <c r="G637" t="str">
        <f>_xlfn.IFNA(VLOOKUP(F637,songs!$B$1:$C$1539, 2, FALSE),"")</f>
        <v>Eyes Of The World</v>
      </c>
      <c r="H637" t="s">
        <v>471</v>
      </c>
    </row>
    <row r="638" spans="1:8" x14ac:dyDescent="0.25">
      <c r="A638">
        <v>668</v>
      </c>
      <c r="B638" t="s">
        <v>938</v>
      </c>
      <c r="C638" t="s">
        <v>122</v>
      </c>
      <c r="D638" t="str">
        <f t="shared" si="23"/>
        <v/>
      </c>
      <c r="E638" t="str">
        <f t="shared" si="22"/>
        <v>new minglewood blues</v>
      </c>
      <c r="F638" t="s">
        <v>7869</v>
      </c>
      <c r="G638" t="str">
        <f>_xlfn.IFNA(VLOOKUP(F638,songs!$B$1:$C$1539, 2, FALSE),"")</f>
        <v>Minglewood Blues</v>
      </c>
      <c r="H638" t="s">
        <v>7867</v>
      </c>
    </row>
    <row r="639" spans="1:8" x14ac:dyDescent="0.25">
      <c r="A639">
        <v>638</v>
      </c>
      <c r="B639" t="s">
        <v>902</v>
      </c>
      <c r="C639" t="s">
        <v>903</v>
      </c>
      <c r="D639" t="str">
        <f t="shared" si="23"/>
        <v/>
      </c>
      <c r="E639" t="str">
        <f t="shared" si="22"/>
        <v>me and my uncle</v>
      </c>
      <c r="F639" t="s">
        <v>6486</v>
      </c>
      <c r="G639" t="str">
        <f>_xlfn.IFNA(VLOOKUP(F639,songs!$B$1:$C$1539, 2, FALSE),"")</f>
        <v>Me And My Uncle</v>
      </c>
      <c r="H639" t="s">
        <v>903</v>
      </c>
    </row>
    <row r="640" spans="1:8" x14ac:dyDescent="0.25">
      <c r="A640">
        <v>639</v>
      </c>
      <c r="B640" t="s">
        <v>904</v>
      </c>
      <c r="C640" t="s">
        <v>905</v>
      </c>
      <c r="D640" t="str">
        <f t="shared" si="23"/>
        <v>&gt;</v>
      </c>
      <c r="E640" t="str">
        <f t="shared" si="22"/>
        <v>not fade away</v>
      </c>
      <c r="F640" t="s">
        <v>6651</v>
      </c>
      <c r="G640" t="str">
        <f>_xlfn.IFNA(VLOOKUP(F640,songs!$B$1:$C$1539, 2, FALSE),"")</f>
        <v>Not Fade Away</v>
      </c>
      <c r="H640" t="s">
        <v>34</v>
      </c>
    </row>
    <row r="641" spans="1:8" x14ac:dyDescent="0.25">
      <c r="A641">
        <v>674</v>
      </c>
      <c r="B641" t="s">
        <v>944</v>
      </c>
      <c r="C641" t="s">
        <v>120</v>
      </c>
      <c r="D641" t="str">
        <f t="shared" si="23"/>
        <v/>
      </c>
      <c r="E641" t="str">
        <f t="shared" si="22"/>
        <v>brown-eyed woman</v>
      </c>
      <c r="F641" t="s">
        <v>5255</v>
      </c>
      <c r="G641" t="str">
        <f>_xlfn.IFNA(VLOOKUP(F641,songs!$B$1:$C$1539, 2, FALSE),"")</f>
        <v>Brown Eyed Women</v>
      </c>
      <c r="H641" t="s">
        <v>7867</v>
      </c>
    </row>
    <row r="642" spans="1:8" x14ac:dyDescent="0.25">
      <c r="A642">
        <v>641</v>
      </c>
      <c r="B642" t="s">
        <v>908</v>
      </c>
      <c r="C642" t="s">
        <v>34</v>
      </c>
      <c r="D642" t="str">
        <f t="shared" si="23"/>
        <v/>
      </c>
      <c r="E642" t="str">
        <f t="shared" si="22"/>
        <v>not fade away</v>
      </c>
      <c r="F642" t="s">
        <v>6651</v>
      </c>
      <c r="G642" t="str">
        <f>_xlfn.IFNA(VLOOKUP(F642,songs!$B$1:$C$1539, 2, FALSE),"")</f>
        <v>Not Fade Away</v>
      </c>
      <c r="H642" t="s">
        <v>34</v>
      </c>
    </row>
    <row r="643" spans="1:8" x14ac:dyDescent="0.25">
      <c r="A643">
        <v>642</v>
      </c>
      <c r="B643" t="s">
        <v>909</v>
      </c>
      <c r="C643" t="s">
        <v>429</v>
      </c>
      <c r="D643" t="str">
        <f t="shared" si="23"/>
        <v/>
      </c>
      <c r="E643" t="str">
        <f t="shared" si="22"/>
        <v>cold rain and snow</v>
      </c>
      <c r="F643" t="s">
        <v>5347</v>
      </c>
      <c r="G643" t="str">
        <f>_xlfn.IFNA(VLOOKUP(F643,songs!$B$1:$C$1539, 2, FALSE),"")</f>
        <v>Cold Rain And Snow</v>
      </c>
      <c r="H643" t="s">
        <v>429</v>
      </c>
    </row>
    <row r="644" spans="1:8" x14ac:dyDescent="0.25">
      <c r="A644">
        <v>643</v>
      </c>
      <c r="B644" t="s">
        <v>910</v>
      </c>
      <c r="C644" t="s">
        <v>431</v>
      </c>
      <c r="D644" t="str">
        <f t="shared" si="23"/>
        <v/>
      </c>
      <c r="E644" t="str">
        <f t="shared" ref="E644:E707" si="24">LOWER(TRIM(SUBSTITUTE(IF(RIGHT(TRIM(C644),2)="-&gt;",LEFT(TRIM(C644),LEN(TRIM(C644))-2),IF(RIGHT(TRIM(C644),1)="&gt;",LEFT(TRIM(C644),LEN(TRIM(C644))-1),C644)),"//","")))</f>
        <v>beat it on down the line</v>
      </c>
      <c r="F644" t="s">
        <v>5149</v>
      </c>
      <c r="G644" t="str">
        <f>_xlfn.IFNA(VLOOKUP(F644,songs!$B$1:$C$1539, 2, FALSE),"")</f>
        <v>Beat It On Down The Line</v>
      </c>
      <c r="H644" t="s">
        <v>431</v>
      </c>
    </row>
    <row r="645" spans="1:8" x14ac:dyDescent="0.25">
      <c r="A645">
        <v>644</v>
      </c>
      <c r="B645" t="s">
        <v>911</v>
      </c>
      <c r="C645" t="s">
        <v>156</v>
      </c>
      <c r="D645" t="str">
        <f t="shared" si="23"/>
        <v/>
      </c>
      <c r="E645" t="str">
        <f t="shared" si="24"/>
        <v>they love each other</v>
      </c>
      <c r="F645" t="s">
        <v>7358</v>
      </c>
      <c r="G645" t="str">
        <f>_xlfn.IFNA(VLOOKUP(F645,songs!$B$1:$C$1539, 2, FALSE),"")</f>
        <v>They Love Each Other</v>
      </c>
      <c r="H645" t="s">
        <v>156</v>
      </c>
    </row>
    <row r="646" spans="1:8" x14ac:dyDescent="0.25">
      <c r="A646">
        <v>645</v>
      </c>
      <c r="B646" t="s">
        <v>912</v>
      </c>
      <c r="C646" t="s">
        <v>186</v>
      </c>
      <c r="D646" t="str">
        <f t="shared" si="23"/>
        <v/>
      </c>
      <c r="E646" t="str">
        <f t="shared" si="24"/>
        <v>mexicali blues</v>
      </c>
      <c r="F646" t="s">
        <v>6499</v>
      </c>
      <c r="G646" t="str">
        <f>_xlfn.IFNA(VLOOKUP(F646,songs!$B$1:$C$1539, 2, FALSE),"")</f>
        <v>Mexicali Blues</v>
      </c>
      <c r="H646" t="s">
        <v>186</v>
      </c>
    </row>
    <row r="647" spans="1:8" x14ac:dyDescent="0.25">
      <c r="A647">
        <v>646</v>
      </c>
      <c r="B647" t="s">
        <v>913</v>
      </c>
      <c r="C647" t="s">
        <v>51</v>
      </c>
      <c r="D647" t="str">
        <f t="shared" si="23"/>
        <v/>
      </c>
      <c r="E647" t="str">
        <f t="shared" si="24"/>
        <v>sugaree</v>
      </c>
      <c r="F647" t="s">
        <v>7151</v>
      </c>
      <c r="G647" t="str">
        <f>_xlfn.IFNA(VLOOKUP(F647,songs!$B$1:$C$1539, 2, FALSE),"")</f>
        <v>Sugaree</v>
      </c>
      <c r="H647" t="s">
        <v>51</v>
      </c>
    </row>
    <row r="648" spans="1:8" x14ac:dyDescent="0.25">
      <c r="A648">
        <v>647</v>
      </c>
      <c r="B648" t="s">
        <v>914</v>
      </c>
      <c r="C648" t="s">
        <v>915</v>
      </c>
      <c r="D648" t="str">
        <f t="shared" si="23"/>
        <v/>
      </c>
      <c r="E648" t="str">
        <f t="shared" si="24"/>
        <v>box of rain</v>
      </c>
      <c r="F648" t="s">
        <v>5237</v>
      </c>
      <c r="G648" t="str">
        <f>_xlfn.IFNA(VLOOKUP(F648,songs!$B$1:$C$1539, 2, FALSE),"")</f>
        <v>Box Of Rain</v>
      </c>
      <c r="H648" t="s">
        <v>915</v>
      </c>
    </row>
    <row r="649" spans="1:8" x14ac:dyDescent="0.25">
      <c r="A649">
        <v>648</v>
      </c>
      <c r="B649" t="s">
        <v>916</v>
      </c>
      <c r="C649" t="s">
        <v>327</v>
      </c>
      <c r="D649" t="str">
        <f t="shared" si="23"/>
        <v/>
      </c>
      <c r="E649" t="str">
        <f t="shared" si="24"/>
        <v>el paso</v>
      </c>
      <c r="F649" t="s">
        <v>5600</v>
      </c>
      <c r="G649" t="str">
        <f>_xlfn.IFNA(VLOOKUP(F649,songs!$B$1:$C$1539, 2, FALSE),"")</f>
        <v>El Paso</v>
      </c>
      <c r="H649" t="s">
        <v>327</v>
      </c>
    </row>
    <row r="650" spans="1:8" x14ac:dyDescent="0.25">
      <c r="A650">
        <v>649</v>
      </c>
      <c r="B650" t="s">
        <v>917</v>
      </c>
      <c r="C650" t="s">
        <v>13</v>
      </c>
      <c r="D650" t="str">
        <f t="shared" si="23"/>
        <v/>
      </c>
      <c r="E650" t="str">
        <f t="shared" si="24"/>
        <v>he's gone</v>
      </c>
      <c r="F650" t="s">
        <v>5903</v>
      </c>
      <c r="G650" t="str">
        <f>_xlfn.IFNA(VLOOKUP(F650,songs!$B$1:$C$1539, 2, FALSE),"")</f>
        <v>He's Gone</v>
      </c>
      <c r="H650" t="s">
        <v>13</v>
      </c>
    </row>
    <row r="651" spans="1:8" x14ac:dyDescent="0.25">
      <c r="A651">
        <v>650</v>
      </c>
      <c r="B651" t="s">
        <v>918</v>
      </c>
      <c r="C651" t="s">
        <v>199</v>
      </c>
      <c r="D651" t="str">
        <f t="shared" si="23"/>
        <v/>
      </c>
      <c r="E651" t="str">
        <f t="shared" si="24"/>
        <v>jack straw</v>
      </c>
      <c r="F651" t="s">
        <v>6161</v>
      </c>
      <c r="G651" t="str">
        <f>_xlfn.IFNA(VLOOKUP(F651,songs!$B$1:$C$1539, 2, FALSE),"")</f>
        <v>Jack Straw</v>
      </c>
      <c r="H651" t="s">
        <v>199</v>
      </c>
    </row>
    <row r="652" spans="1:8" x14ac:dyDescent="0.25">
      <c r="A652">
        <v>651</v>
      </c>
      <c r="B652" t="s">
        <v>919</v>
      </c>
      <c r="C652" t="s">
        <v>592</v>
      </c>
      <c r="D652" t="str">
        <f t="shared" si="23"/>
        <v>&gt;</v>
      </c>
      <c r="E652" t="str">
        <f t="shared" si="24"/>
        <v>china cat sunflower</v>
      </c>
      <c r="F652" t="s">
        <v>5319</v>
      </c>
      <c r="G652" t="str">
        <f>_xlfn.IFNA(VLOOKUP(F652,songs!$B$1:$C$1539, 2, FALSE),"")</f>
        <v>China Cat Sunflower</v>
      </c>
      <c r="H652" t="s">
        <v>84</v>
      </c>
    </row>
    <row r="653" spans="1:8" x14ac:dyDescent="0.25">
      <c r="A653">
        <v>652</v>
      </c>
      <c r="B653" t="s">
        <v>920</v>
      </c>
      <c r="C653" t="s">
        <v>86</v>
      </c>
      <c r="D653" t="str">
        <f t="shared" si="23"/>
        <v/>
      </c>
      <c r="E653" t="str">
        <f t="shared" si="24"/>
        <v>i know you rider</v>
      </c>
      <c r="F653" t="s">
        <v>6020</v>
      </c>
      <c r="G653" t="str">
        <f>_xlfn.IFNA(VLOOKUP(F653,songs!$B$1:$C$1539, 2, FALSE),"")</f>
        <v>I Know You Rider</v>
      </c>
      <c r="H653" t="s">
        <v>86</v>
      </c>
    </row>
    <row r="654" spans="1:8" x14ac:dyDescent="0.25">
      <c r="A654">
        <v>653</v>
      </c>
      <c r="B654" t="s">
        <v>921</v>
      </c>
      <c r="C654" t="s">
        <v>3</v>
      </c>
      <c r="D654" t="str">
        <f t="shared" si="23"/>
        <v/>
      </c>
      <c r="E654" t="str">
        <f t="shared" si="24"/>
        <v>big river</v>
      </c>
      <c r="F654" t="s">
        <v>5175</v>
      </c>
      <c r="G654" t="str">
        <f>_xlfn.IFNA(VLOOKUP(F654,songs!$B$1:$C$1539, 2, FALSE),"")</f>
        <v>Big River</v>
      </c>
      <c r="H654" t="s">
        <v>3</v>
      </c>
    </row>
    <row r="655" spans="1:8" x14ac:dyDescent="0.25">
      <c r="A655">
        <v>654</v>
      </c>
      <c r="B655" t="s">
        <v>922</v>
      </c>
      <c r="C655" t="s">
        <v>188</v>
      </c>
      <c r="D655" t="str">
        <f t="shared" si="23"/>
        <v/>
      </c>
      <c r="E655" t="str">
        <f t="shared" si="24"/>
        <v>row jimmy</v>
      </c>
      <c r="F655" t="s">
        <v>6893</v>
      </c>
      <c r="G655" t="str">
        <f>_xlfn.IFNA(VLOOKUP(F655,songs!$B$1:$C$1539, 2, FALSE),"")</f>
        <v>Row Jimmy</v>
      </c>
      <c r="H655" t="s">
        <v>188</v>
      </c>
    </row>
    <row r="656" spans="1:8" x14ac:dyDescent="0.25">
      <c r="A656">
        <v>655</v>
      </c>
      <c r="B656" t="s">
        <v>923</v>
      </c>
      <c r="C656" t="s">
        <v>924</v>
      </c>
      <c r="D656" t="str">
        <f t="shared" si="23"/>
        <v>&gt;</v>
      </c>
      <c r="E656" t="str">
        <f t="shared" si="24"/>
        <v>truckin'</v>
      </c>
      <c r="F656" t="s">
        <v>7436</v>
      </c>
      <c r="G656" t="str">
        <f>_xlfn.IFNA(VLOOKUP(F656,songs!$B$1:$C$1539, 2, FALSE),"")</f>
        <v>Truckin'</v>
      </c>
      <c r="H656" t="s">
        <v>15</v>
      </c>
    </row>
    <row r="657" spans="1:8" x14ac:dyDescent="0.25">
      <c r="A657">
        <v>656</v>
      </c>
      <c r="B657" t="s">
        <v>925</v>
      </c>
      <c r="C657" t="s">
        <v>747</v>
      </c>
      <c r="D657" t="str">
        <f t="shared" si="23"/>
        <v>&gt;</v>
      </c>
      <c r="E657" t="str">
        <f t="shared" si="24"/>
        <v>the other one</v>
      </c>
      <c r="F657" t="s">
        <v>7325</v>
      </c>
      <c r="G657" t="str">
        <f>_xlfn.IFNA(VLOOKUP(F657,songs!$B$1:$C$1539, 2, FALSE),"")</f>
        <v>The Other One</v>
      </c>
      <c r="H657" t="s">
        <v>139</v>
      </c>
    </row>
    <row r="658" spans="1:8" x14ac:dyDescent="0.25">
      <c r="A658">
        <v>657</v>
      </c>
      <c r="B658" t="s">
        <v>926</v>
      </c>
      <c r="C658" t="s">
        <v>899</v>
      </c>
      <c r="D658" t="str">
        <f t="shared" si="23"/>
        <v>&gt;</v>
      </c>
      <c r="E658" t="str">
        <f t="shared" si="24"/>
        <v>eyes of the world</v>
      </c>
      <c r="F658" t="s">
        <v>5633</v>
      </c>
      <c r="G658" t="str">
        <f>_xlfn.IFNA(VLOOKUP(F658,songs!$B$1:$C$1539, 2, FALSE),"")</f>
        <v>Eyes Of The World</v>
      </c>
      <c r="H658" t="s">
        <v>471</v>
      </c>
    </row>
    <row r="659" spans="1:8" x14ac:dyDescent="0.25">
      <c r="A659">
        <v>658</v>
      </c>
      <c r="B659" t="s">
        <v>927</v>
      </c>
      <c r="C659" t="s">
        <v>212</v>
      </c>
      <c r="D659" t="str">
        <f t="shared" si="23"/>
        <v/>
      </c>
      <c r="E659" t="str">
        <f t="shared" si="24"/>
        <v>morning dew</v>
      </c>
      <c r="F659" t="s">
        <v>6555</v>
      </c>
      <c r="G659" t="str">
        <f>_xlfn.IFNA(VLOOKUP(F659,songs!$B$1:$C$1539, 2, FALSE),"")</f>
        <v>Morning Dew</v>
      </c>
      <c r="H659" t="s">
        <v>212</v>
      </c>
    </row>
    <row r="660" spans="1:8" x14ac:dyDescent="0.25">
      <c r="A660">
        <v>659</v>
      </c>
      <c r="B660" t="s">
        <v>928</v>
      </c>
      <c r="C660" t="s">
        <v>30</v>
      </c>
      <c r="D660" t="str">
        <f t="shared" si="23"/>
        <v/>
      </c>
      <c r="E660" t="str">
        <f t="shared" si="24"/>
        <v>sugar magnolia</v>
      </c>
      <c r="F660" t="s">
        <v>7150</v>
      </c>
      <c r="G660" t="str">
        <f>_xlfn.IFNA(VLOOKUP(F660,songs!$B$1:$C$1539, 2, FALSE),"")</f>
        <v>Sugar Magnolia</v>
      </c>
      <c r="H660" t="s">
        <v>30</v>
      </c>
    </row>
    <row r="661" spans="1:8" x14ac:dyDescent="0.25">
      <c r="A661">
        <v>680</v>
      </c>
      <c r="B661" t="s">
        <v>951</v>
      </c>
      <c r="C661" t="s">
        <v>847</v>
      </c>
      <c r="D661" t="str">
        <f t="shared" ref="D661:D724" si="25">IF(RIGHT(TRIM(C661),2)="-&gt;","&gt;",IF(RIGHT(TRIM(C661),1)="&gt;","&gt;",""))</f>
        <v/>
      </c>
      <c r="E661" t="str">
        <f t="shared" si="24"/>
        <v>st. stephen»</v>
      </c>
      <c r="F661" t="s">
        <v>6910</v>
      </c>
      <c r="G661" t="str">
        <f>_xlfn.IFNA(VLOOKUP(F661,songs!$B$1:$C$1539, 2, FALSE),"")</f>
        <v>Saint Stephen</v>
      </c>
      <c r="H661" t="s">
        <v>7867</v>
      </c>
    </row>
    <row r="662" spans="1:8" x14ac:dyDescent="0.25">
      <c r="A662">
        <v>661</v>
      </c>
      <c r="B662" t="s">
        <v>930</v>
      </c>
      <c r="C662" t="s">
        <v>298</v>
      </c>
      <c r="D662" t="str">
        <f t="shared" si="25"/>
        <v/>
      </c>
      <c r="E662" t="str">
        <f t="shared" si="24"/>
        <v>bertha</v>
      </c>
      <c r="F662" t="s">
        <v>5158</v>
      </c>
      <c r="G662" t="str">
        <f>_xlfn.IFNA(VLOOKUP(F662,songs!$B$1:$C$1539, 2, FALSE),"")</f>
        <v>Bertha</v>
      </c>
      <c r="H662" t="s">
        <v>298</v>
      </c>
    </row>
    <row r="663" spans="1:8" x14ac:dyDescent="0.25">
      <c r="A663">
        <v>662</v>
      </c>
      <c r="B663" t="s">
        <v>931</v>
      </c>
      <c r="C663" t="s">
        <v>903</v>
      </c>
      <c r="D663" t="str">
        <f t="shared" si="25"/>
        <v/>
      </c>
      <c r="E663" t="str">
        <f t="shared" si="24"/>
        <v>me and my uncle</v>
      </c>
      <c r="F663" t="s">
        <v>6486</v>
      </c>
      <c r="G663" t="str">
        <f>_xlfn.IFNA(VLOOKUP(F663,songs!$B$1:$C$1539, 2, FALSE),"")</f>
        <v>Me And My Uncle</v>
      </c>
      <c r="H663" t="s">
        <v>903</v>
      </c>
    </row>
    <row r="664" spans="1:8" x14ac:dyDescent="0.25">
      <c r="A664">
        <v>663</v>
      </c>
      <c r="B664" t="s">
        <v>932</v>
      </c>
      <c r="C664" t="s">
        <v>156</v>
      </c>
      <c r="D664" t="str">
        <f t="shared" si="25"/>
        <v/>
      </c>
      <c r="E664" t="str">
        <f t="shared" si="24"/>
        <v>they love each other</v>
      </c>
      <c r="F664" t="s">
        <v>7358</v>
      </c>
      <c r="G664" t="str">
        <f>_xlfn.IFNA(VLOOKUP(F664,songs!$B$1:$C$1539, 2, FALSE),"")</f>
        <v>They Love Each Other</v>
      </c>
      <c r="H664" t="s">
        <v>156</v>
      </c>
    </row>
    <row r="665" spans="1:8" x14ac:dyDescent="0.25">
      <c r="A665">
        <v>664</v>
      </c>
      <c r="B665" t="s">
        <v>933</v>
      </c>
      <c r="C665" t="s">
        <v>262</v>
      </c>
      <c r="D665" t="str">
        <f t="shared" si="25"/>
        <v/>
      </c>
      <c r="E665" t="str">
        <f t="shared" si="24"/>
        <v>cassidy</v>
      </c>
      <c r="F665" t="s">
        <v>5291</v>
      </c>
      <c r="G665" t="str">
        <f>_xlfn.IFNA(VLOOKUP(F665,songs!$B$1:$C$1539, 2, FALSE),"")</f>
        <v>Cassidy</v>
      </c>
      <c r="H665" t="s">
        <v>262</v>
      </c>
    </row>
    <row r="666" spans="1:8" x14ac:dyDescent="0.25">
      <c r="A666">
        <v>682</v>
      </c>
      <c r="B666" t="s">
        <v>953</v>
      </c>
      <c r="C666" t="s">
        <v>954</v>
      </c>
      <c r="D666" t="str">
        <f t="shared" si="25"/>
        <v>&gt;</v>
      </c>
      <c r="E666" t="str">
        <f t="shared" si="24"/>
        <v>st.stephen</v>
      </c>
      <c r="F666" t="s">
        <v>6910</v>
      </c>
      <c r="G666" t="str">
        <f>_xlfn.IFNA(VLOOKUP(F666,songs!$B$1:$C$1539, 2, FALSE),"")</f>
        <v>Saint Stephen</v>
      </c>
      <c r="H666" t="s">
        <v>7867</v>
      </c>
    </row>
    <row r="667" spans="1:8" x14ac:dyDescent="0.25">
      <c r="A667">
        <v>666</v>
      </c>
      <c r="B667" t="s">
        <v>936</v>
      </c>
      <c r="C667" t="s">
        <v>199</v>
      </c>
      <c r="D667" t="str">
        <f t="shared" si="25"/>
        <v/>
      </c>
      <c r="E667" t="str">
        <f t="shared" si="24"/>
        <v>jack straw</v>
      </c>
      <c r="F667" t="s">
        <v>6161</v>
      </c>
      <c r="G667" t="str">
        <f>_xlfn.IFNA(VLOOKUP(F667,songs!$B$1:$C$1539, 2, FALSE),"")</f>
        <v>Jack Straw</v>
      </c>
      <c r="H667" t="s">
        <v>199</v>
      </c>
    </row>
    <row r="668" spans="1:8" x14ac:dyDescent="0.25">
      <c r="A668">
        <v>667</v>
      </c>
      <c r="B668" t="s">
        <v>937</v>
      </c>
      <c r="C668" t="s">
        <v>164</v>
      </c>
      <c r="D668" t="str">
        <f t="shared" si="25"/>
        <v/>
      </c>
      <c r="E668" t="str">
        <f t="shared" si="24"/>
        <v>tennessee jed</v>
      </c>
      <c r="F668" t="s">
        <v>7234</v>
      </c>
      <c r="G668" t="str">
        <f>_xlfn.IFNA(VLOOKUP(F668,songs!$B$1:$C$1539, 2, FALSE),"")</f>
        <v>Tennessee Jed</v>
      </c>
      <c r="H668" t="s">
        <v>164</v>
      </c>
    </row>
    <row r="669" spans="1:8" x14ac:dyDescent="0.25">
      <c r="A669">
        <v>684</v>
      </c>
      <c r="B669" t="s">
        <v>957</v>
      </c>
      <c r="C669" t="s">
        <v>958</v>
      </c>
      <c r="D669" t="str">
        <f t="shared" si="25"/>
        <v/>
      </c>
      <c r="E669" t="str">
        <f t="shared" si="24"/>
        <v>dancing in the streets (filler) 1977-10-11</v>
      </c>
      <c r="F669" t="s">
        <v>5418</v>
      </c>
      <c r="G669" t="str">
        <f>_xlfn.IFNA(VLOOKUP(F669,songs!$B$1:$C$1539, 2, FALSE),"")</f>
        <v>Dancin' In The Streets</v>
      </c>
      <c r="H669" t="s">
        <v>7867</v>
      </c>
    </row>
    <row r="670" spans="1:8" x14ac:dyDescent="0.25">
      <c r="A670">
        <v>669</v>
      </c>
      <c r="B670" t="s">
        <v>939</v>
      </c>
      <c r="C670" t="s">
        <v>188</v>
      </c>
      <c r="D670" t="str">
        <f t="shared" si="25"/>
        <v/>
      </c>
      <c r="E670" t="str">
        <f t="shared" si="24"/>
        <v>row jimmy</v>
      </c>
      <c r="F670" t="s">
        <v>6893</v>
      </c>
      <c r="G670" t="str">
        <f>_xlfn.IFNA(VLOOKUP(F670,songs!$B$1:$C$1539, 2, FALSE),"")</f>
        <v>Row Jimmy</v>
      </c>
      <c r="H670" t="s">
        <v>188</v>
      </c>
    </row>
    <row r="671" spans="1:8" x14ac:dyDescent="0.25">
      <c r="A671">
        <v>670</v>
      </c>
      <c r="B671" t="s">
        <v>940</v>
      </c>
      <c r="C671" t="s">
        <v>560</v>
      </c>
      <c r="D671" t="str">
        <f t="shared" si="25"/>
        <v/>
      </c>
      <c r="E671" t="str">
        <f t="shared" si="24"/>
        <v>passenger</v>
      </c>
      <c r="F671" t="s">
        <v>6738</v>
      </c>
      <c r="G671" t="str">
        <f>_xlfn.IFNA(VLOOKUP(F671,songs!$B$1:$C$1539, 2, FALSE),"")</f>
        <v>Passenger</v>
      </c>
      <c r="H671" t="s">
        <v>560</v>
      </c>
    </row>
    <row r="672" spans="1:8" x14ac:dyDescent="0.25">
      <c r="A672">
        <v>671</v>
      </c>
      <c r="B672" t="s">
        <v>941</v>
      </c>
      <c r="C672" t="s">
        <v>811</v>
      </c>
      <c r="D672" t="str">
        <f t="shared" si="25"/>
        <v>&gt;</v>
      </c>
      <c r="E672" t="str">
        <f t="shared" si="24"/>
        <v>scarlet begonias</v>
      </c>
      <c r="F672" t="s">
        <v>6944</v>
      </c>
      <c r="G672" t="str">
        <f>_xlfn.IFNA(VLOOKUP(F672,songs!$B$1:$C$1539, 2, FALSE),"")</f>
        <v>Scarlet Begonias</v>
      </c>
      <c r="H672" t="s">
        <v>170</v>
      </c>
    </row>
    <row r="673" spans="1:8" x14ac:dyDescent="0.25">
      <c r="A673">
        <v>672</v>
      </c>
      <c r="B673" t="s">
        <v>942</v>
      </c>
      <c r="C673" t="s">
        <v>172</v>
      </c>
      <c r="D673" t="str">
        <f t="shared" si="25"/>
        <v/>
      </c>
      <c r="E673" t="str">
        <f t="shared" si="24"/>
        <v>fire on the mountain</v>
      </c>
      <c r="F673" t="s">
        <v>5675</v>
      </c>
      <c r="G673" t="str">
        <f>_xlfn.IFNA(VLOOKUP(F673,songs!$B$1:$C$1539, 2, FALSE),"")</f>
        <v>Fire On The Mountain</v>
      </c>
      <c r="H673" t="s">
        <v>573</v>
      </c>
    </row>
    <row r="674" spans="1:8" x14ac:dyDescent="0.25">
      <c r="A674">
        <v>673</v>
      </c>
      <c r="B674" t="s">
        <v>943</v>
      </c>
      <c r="C674" t="s">
        <v>65</v>
      </c>
      <c r="D674" t="str">
        <f t="shared" si="25"/>
        <v/>
      </c>
      <c r="E674" t="str">
        <f t="shared" si="24"/>
        <v>samson and delilah</v>
      </c>
      <c r="F674" t="s">
        <v>6925</v>
      </c>
      <c r="G674" t="str">
        <f>_xlfn.IFNA(VLOOKUP(F674,songs!$B$1:$C$1539, 2, FALSE),"")</f>
        <v>Samson And Delilah</v>
      </c>
      <c r="H674" t="s">
        <v>266</v>
      </c>
    </row>
    <row r="675" spans="1:8" x14ac:dyDescent="0.25">
      <c r="A675">
        <v>685</v>
      </c>
      <c r="B675" t="s">
        <v>959</v>
      </c>
      <c r="C675" t="s">
        <v>960</v>
      </c>
      <c r="D675" t="str">
        <f t="shared" si="25"/>
        <v/>
      </c>
      <c r="E675" t="str">
        <f t="shared" si="24"/>
        <v>dire wolf (filler) 1977-10-11</v>
      </c>
      <c r="F675" t="s">
        <v>5497</v>
      </c>
      <c r="G675" t="str">
        <f>_xlfn.IFNA(VLOOKUP(F675,songs!$B$1:$C$1539, 2, FALSE),"")</f>
        <v>Dire Wolf</v>
      </c>
      <c r="H675" t="s">
        <v>7867</v>
      </c>
    </row>
    <row r="676" spans="1:8" x14ac:dyDescent="0.25">
      <c r="A676">
        <v>675</v>
      </c>
      <c r="B676" t="s">
        <v>945</v>
      </c>
      <c r="C676" t="s">
        <v>792</v>
      </c>
      <c r="D676" t="str">
        <f t="shared" si="25"/>
        <v>&gt;</v>
      </c>
      <c r="E676" t="str">
        <f t="shared" si="24"/>
        <v>estimated prophet</v>
      </c>
      <c r="F676" t="s">
        <v>5612</v>
      </c>
      <c r="G676" t="str">
        <f>_xlfn.IFNA(VLOOKUP(F676,songs!$B$1:$C$1539, 2, FALSE),"")</f>
        <v>Estimated Prophet</v>
      </c>
      <c r="H676" t="s">
        <v>69</v>
      </c>
    </row>
    <row r="677" spans="1:8" x14ac:dyDescent="0.25">
      <c r="A677">
        <v>676</v>
      </c>
      <c r="B677" t="s">
        <v>946</v>
      </c>
      <c r="C677" t="s">
        <v>271</v>
      </c>
      <c r="D677" t="str">
        <f t="shared" si="25"/>
        <v>&gt;</v>
      </c>
      <c r="E677" t="str">
        <f t="shared" si="24"/>
        <v>he's gone</v>
      </c>
      <c r="F677" t="s">
        <v>5903</v>
      </c>
      <c r="G677" t="str">
        <f>_xlfn.IFNA(VLOOKUP(F677,songs!$B$1:$C$1539, 2, FALSE),"")</f>
        <v>He's Gone</v>
      </c>
      <c r="H677" t="s">
        <v>13</v>
      </c>
    </row>
    <row r="678" spans="1:8" x14ac:dyDescent="0.25">
      <c r="A678">
        <v>677</v>
      </c>
      <c r="B678" t="s">
        <v>947</v>
      </c>
      <c r="C678" t="s">
        <v>275</v>
      </c>
      <c r="D678" t="str">
        <f t="shared" si="25"/>
        <v>&gt;</v>
      </c>
      <c r="E678" t="str">
        <f t="shared" si="24"/>
        <v>drums</v>
      </c>
      <c r="F678" t="s">
        <v>5568</v>
      </c>
      <c r="G678" t="str">
        <f>_xlfn.IFNA(VLOOKUP(F678,songs!$B$1:$C$1539, 2, FALSE),"")</f>
        <v>Drums</v>
      </c>
      <c r="H678" t="s">
        <v>100</v>
      </c>
    </row>
    <row r="679" spans="1:8" x14ac:dyDescent="0.25">
      <c r="A679">
        <v>678</v>
      </c>
      <c r="B679" t="s">
        <v>948</v>
      </c>
      <c r="C679" t="s">
        <v>747</v>
      </c>
      <c r="D679" t="str">
        <f t="shared" si="25"/>
        <v>&gt;</v>
      </c>
      <c r="E679" t="str">
        <f t="shared" si="24"/>
        <v>the other one</v>
      </c>
      <c r="F679" t="s">
        <v>7325</v>
      </c>
      <c r="G679" t="str">
        <f>_xlfn.IFNA(VLOOKUP(F679,songs!$B$1:$C$1539, 2, FALSE),"")</f>
        <v>The Other One</v>
      </c>
      <c r="H679" t="s">
        <v>139</v>
      </c>
    </row>
    <row r="680" spans="1:8" x14ac:dyDescent="0.25">
      <c r="A680">
        <v>679</v>
      </c>
      <c r="B680" t="s">
        <v>949</v>
      </c>
      <c r="C680" t="s">
        <v>950</v>
      </c>
      <c r="D680" t="str">
        <f t="shared" si="25"/>
        <v>&gt;</v>
      </c>
      <c r="E680" t="str">
        <f t="shared" si="24"/>
        <v>comes a time</v>
      </c>
      <c r="F680" t="s">
        <v>5360</v>
      </c>
      <c r="G680" t="str">
        <f>_xlfn.IFNA(VLOOKUP(F680,songs!$B$1:$C$1539, 2, FALSE),"")</f>
        <v>Comes A Time</v>
      </c>
      <c r="H680" t="s">
        <v>1731</v>
      </c>
    </row>
    <row r="681" spans="1:8" x14ac:dyDescent="0.25">
      <c r="A681">
        <v>694</v>
      </c>
      <c r="B681" t="s">
        <v>969</v>
      </c>
      <c r="C681" t="s">
        <v>626</v>
      </c>
      <c r="D681" t="str">
        <f t="shared" si="25"/>
        <v/>
      </c>
      <c r="E681" t="str">
        <f t="shared" si="24"/>
        <v>dancing in the streets</v>
      </c>
      <c r="F681" t="s">
        <v>5418</v>
      </c>
      <c r="G681" t="str">
        <f>_xlfn.IFNA(VLOOKUP(F681,songs!$B$1:$C$1539, 2, FALSE),"")</f>
        <v>Dancin' In The Streets</v>
      </c>
      <c r="H681" t="s">
        <v>7867</v>
      </c>
    </row>
    <row r="682" spans="1:8" x14ac:dyDescent="0.25">
      <c r="A682">
        <v>681</v>
      </c>
      <c r="B682" t="s">
        <v>952</v>
      </c>
      <c r="C682" t="s">
        <v>905</v>
      </c>
      <c r="D682" t="str">
        <f t="shared" si="25"/>
        <v>&gt;</v>
      </c>
      <c r="E682" t="str">
        <f t="shared" si="24"/>
        <v>not fade away</v>
      </c>
      <c r="F682" t="s">
        <v>6651</v>
      </c>
      <c r="G682" t="str">
        <f>_xlfn.IFNA(VLOOKUP(F682,songs!$B$1:$C$1539, 2, FALSE),"")</f>
        <v>Not Fade Away</v>
      </c>
      <c r="H682" t="s">
        <v>34</v>
      </c>
    </row>
    <row r="683" spans="1:8" x14ac:dyDescent="0.25">
      <c r="A683">
        <v>698</v>
      </c>
      <c r="B683" t="s">
        <v>973</v>
      </c>
      <c r="C683" t="s">
        <v>974</v>
      </c>
      <c r="D683" t="str">
        <f t="shared" si="25"/>
        <v>&gt;</v>
      </c>
      <c r="E683" t="str">
        <f t="shared" si="24"/>
        <v>terrrapin station</v>
      </c>
      <c r="F683" t="s">
        <v>7237</v>
      </c>
      <c r="G683" t="str">
        <f>_xlfn.IFNA(VLOOKUP(F683,songs!$B$1:$C$1539, 2, FALSE),"")</f>
        <v>Terrapin Station</v>
      </c>
      <c r="H683" t="s">
        <v>7867</v>
      </c>
    </row>
    <row r="684" spans="1:8" x14ac:dyDescent="0.25">
      <c r="A684">
        <v>683</v>
      </c>
      <c r="B684" t="s">
        <v>955</v>
      </c>
      <c r="C684" t="s">
        <v>956</v>
      </c>
      <c r="D684" t="str">
        <f t="shared" si="25"/>
        <v/>
      </c>
      <c r="E684" t="str">
        <f t="shared" si="24"/>
        <v>one more saturday night</v>
      </c>
      <c r="F684" t="s">
        <v>6702</v>
      </c>
      <c r="G684" t="str">
        <f>_xlfn.IFNA(VLOOKUP(F684,songs!$B$1:$C$1539, 2, FALSE),"")</f>
        <v>One More Saturday Night</v>
      </c>
      <c r="H684" t="s">
        <v>956</v>
      </c>
    </row>
    <row r="685" spans="1:8" x14ac:dyDescent="0.25">
      <c r="A685">
        <v>705</v>
      </c>
      <c r="B685" t="s">
        <v>983</v>
      </c>
      <c r="C685" t="s">
        <v>984</v>
      </c>
      <c r="D685" t="str">
        <f t="shared" si="25"/>
        <v/>
      </c>
      <c r="E685" t="str">
        <f t="shared" si="24"/>
        <v>drums &gt; not fade away (filler - 77-10-11)</v>
      </c>
      <c r="F685" t="s">
        <v>7830</v>
      </c>
      <c r="G685" t="s">
        <v>7876</v>
      </c>
      <c r="H685" t="s">
        <v>7867</v>
      </c>
    </row>
    <row r="686" spans="1:8" x14ac:dyDescent="0.25">
      <c r="A686">
        <v>706</v>
      </c>
      <c r="B686" t="s">
        <v>985</v>
      </c>
      <c r="C686" t="s">
        <v>986</v>
      </c>
      <c r="D686" t="str">
        <f t="shared" si="25"/>
        <v/>
      </c>
      <c r="E686" t="str">
        <f t="shared" si="24"/>
        <v>wharf rat (filler - 77-10-11)</v>
      </c>
      <c r="F686" t="s">
        <v>7664</v>
      </c>
      <c r="G686" t="str">
        <f>_xlfn.IFNA(VLOOKUP(F686,songs!$B$1:$C$1539, 2, FALSE),"")</f>
        <v>Wharf Rat</v>
      </c>
      <c r="H686" t="s">
        <v>7867</v>
      </c>
    </row>
    <row r="687" spans="1:8" x14ac:dyDescent="0.25">
      <c r="A687">
        <v>686</v>
      </c>
      <c r="B687" t="s">
        <v>961</v>
      </c>
      <c r="C687" t="s">
        <v>130</v>
      </c>
      <c r="D687" t="str">
        <f t="shared" si="25"/>
        <v/>
      </c>
      <c r="E687" t="str">
        <f t="shared" si="24"/>
        <v>promised land</v>
      </c>
      <c r="F687" t="s">
        <v>6797</v>
      </c>
      <c r="G687" t="str">
        <f>_xlfn.IFNA(VLOOKUP(F687,songs!$B$1:$C$1539, 2, FALSE),"")</f>
        <v>Promised Land</v>
      </c>
      <c r="H687" t="s">
        <v>130</v>
      </c>
    </row>
    <row r="688" spans="1:8" x14ac:dyDescent="0.25">
      <c r="A688">
        <v>687</v>
      </c>
      <c r="B688" t="s">
        <v>962</v>
      </c>
      <c r="C688" t="s">
        <v>51</v>
      </c>
      <c r="D688" t="str">
        <f t="shared" si="25"/>
        <v/>
      </c>
      <c r="E688" t="str">
        <f t="shared" si="24"/>
        <v>sugaree</v>
      </c>
      <c r="F688" t="s">
        <v>7151</v>
      </c>
      <c r="G688" t="str">
        <f>_xlfn.IFNA(VLOOKUP(F688,songs!$B$1:$C$1539, 2, FALSE),"")</f>
        <v>Sugaree</v>
      </c>
      <c r="H688" t="s">
        <v>51</v>
      </c>
    </row>
    <row r="689" spans="1:8" x14ac:dyDescent="0.25">
      <c r="A689">
        <v>688</v>
      </c>
      <c r="B689" t="s">
        <v>963</v>
      </c>
      <c r="C689" t="s">
        <v>327</v>
      </c>
      <c r="D689" t="str">
        <f t="shared" si="25"/>
        <v/>
      </c>
      <c r="E689" t="str">
        <f t="shared" si="24"/>
        <v>el paso</v>
      </c>
      <c r="F689" t="s">
        <v>5600</v>
      </c>
      <c r="G689" t="str">
        <f>_xlfn.IFNA(VLOOKUP(F689,songs!$B$1:$C$1539, 2, FALSE),"")</f>
        <v>El Paso</v>
      </c>
      <c r="H689" t="s">
        <v>327</v>
      </c>
    </row>
    <row r="690" spans="1:8" x14ac:dyDescent="0.25">
      <c r="A690">
        <v>689</v>
      </c>
      <c r="B690" t="s">
        <v>964</v>
      </c>
      <c r="C690" t="s">
        <v>461</v>
      </c>
      <c r="D690" t="str">
        <f t="shared" si="25"/>
        <v/>
      </c>
      <c r="E690" t="str">
        <f t="shared" si="24"/>
        <v>peggy-o</v>
      </c>
      <c r="F690" t="s">
        <v>6749</v>
      </c>
      <c r="G690" t="str">
        <f>_xlfn.IFNA(VLOOKUP(F690,songs!$B$1:$C$1539, 2, FALSE),"")</f>
        <v>Peggy-O</v>
      </c>
      <c r="H690" t="s">
        <v>461</v>
      </c>
    </row>
    <row r="691" spans="1:8" x14ac:dyDescent="0.25">
      <c r="A691">
        <v>690</v>
      </c>
      <c r="B691" t="s">
        <v>965</v>
      </c>
      <c r="C691" t="s">
        <v>126</v>
      </c>
      <c r="D691" t="str">
        <f t="shared" si="25"/>
        <v/>
      </c>
      <c r="E691" t="str">
        <f t="shared" si="24"/>
        <v>looks like rain</v>
      </c>
      <c r="F691" t="s">
        <v>6398</v>
      </c>
      <c r="G691" t="str">
        <f>_xlfn.IFNA(VLOOKUP(F691,songs!$B$1:$C$1539, 2, FALSE),"")</f>
        <v>Looks Like Rain</v>
      </c>
      <c r="H691" t="s">
        <v>126</v>
      </c>
    </row>
    <row r="692" spans="1:8" x14ac:dyDescent="0.25">
      <c r="A692">
        <v>691</v>
      </c>
      <c r="B692" t="s">
        <v>966</v>
      </c>
      <c r="C692" t="s">
        <v>188</v>
      </c>
      <c r="D692" t="str">
        <f t="shared" si="25"/>
        <v/>
      </c>
      <c r="E692" t="str">
        <f t="shared" si="24"/>
        <v>row jimmy</v>
      </c>
      <c r="F692" t="s">
        <v>6893</v>
      </c>
      <c r="G692" t="str">
        <f>_xlfn.IFNA(VLOOKUP(F692,songs!$B$1:$C$1539, 2, FALSE),"")</f>
        <v>Row Jimmy</v>
      </c>
      <c r="H692" t="s">
        <v>188</v>
      </c>
    </row>
    <row r="693" spans="1:8" x14ac:dyDescent="0.25">
      <c r="A693">
        <v>692</v>
      </c>
      <c r="B693" t="s">
        <v>967</v>
      </c>
      <c r="C693" t="s">
        <v>560</v>
      </c>
      <c r="D693" t="str">
        <f t="shared" si="25"/>
        <v/>
      </c>
      <c r="E693" t="str">
        <f t="shared" si="24"/>
        <v>passenger</v>
      </c>
      <c r="F693" t="s">
        <v>6738</v>
      </c>
      <c r="G693" t="str">
        <f>_xlfn.IFNA(VLOOKUP(F693,songs!$B$1:$C$1539, 2, FALSE),"")</f>
        <v>Passenger</v>
      </c>
      <c r="H693" t="s">
        <v>560</v>
      </c>
    </row>
    <row r="694" spans="1:8" x14ac:dyDescent="0.25">
      <c r="A694">
        <v>693</v>
      </c>
      <c r="B694" t="s">
        <v>968</v>
      </c>
      <c r="C694" t="s">
        <v>291</v>
      </c>
      <c r="D694" t="str">
        <f t="shared" si="25"/>
        <v/>
      </c>
      <c r="E694" t="str">
        <f t="shared" si="24"/>
        <v>loser</v>
      </c>
      <c r="F694" t="s">
        <v>6400</v>
      </c>
      <c r="G694" t="str">
        <f>_xlfn.IFNA(VLOOKUP(F694,songs!$B$1:$C$1539, 2, FALSE),"")</f>
        <v>Loser</v>
      </c>
      <c r="H694" t="s">
        <v>291</v>
      </c>
    </row>
    <row r="695" spans="1:8" x14ac:dyDescent="0.25">
      <c r="A695">
        <v>707</v>
      </c>
      <c r="B695" t="s">
        <v>987</v>
      </c>
      <c r="C695" t="s">
        <v>988</v>
      </c>
      <c r="D695" t="str">
        <f t="shared" si="25"/>
        <v/>
      </c>
      <c r="E695" t="str">
        <f t="shared" si="24"/>
        <v>round and round (filler - 77-10-11)</v>
      </c>
      <c r="F695" t="s">
        <v>5103</v>
      </c>
      <c r="G695" t="str">
        <f>_xlfn.IFNA(VLOOKUP(F695,songs!$B$1:$C$1539, 2, FALSE),"")</f>
        <v>Around And Around</v>
      </c>
      <c r="H695" t="s">
        <v>7867</v>
      </c>
    </row>
    <row r="696" spans="1:8" x14ac:dyDescent="0.25">
      <c r="A696">
        <v>695</v>
      </c>
      <c r="B696" t="s">
        <v>970</v>
      </c>
      <c r="C696" t="s">
        <v>65</v>
      </c>
      <c r="D696" t="str">
        <f t="shared" si="25"/>
        <v/>
      </c>
      <c r="E696" t="str">
        <f t="shared" si="24"/>
        <v>samson and delilah</v>
      </c>
      <c r="F696" t="s">
        <v>6925</v>
      </c>
      <c r="G696" t="str">
        <f>_xlfn.IFNA(VLOOKUP(F696,songs!$B$1:$C$1539, 2, FALSE),"")</f>
        <v>Samson And Delilah</v>
      </c>
      <c r="H696" t="s">
        <v>266</v>
      </c>
    </row>
    <row r="697" spans="1:8" x14ac:dyDescent="0.25">
      <c r="A697">
        <v>696</v>
      </c>
      <c r="B697" t="s">
        <v>971</v>
      </c>
      <c r="C697" t="s">
        <v>436</v>
      </c>
      <c r="D697" t="str">
        <f t="shared" si="25"/>
        <v/>
      </c>
      <c r="E697" t="str">
        <f t="shared" si="24"/>
        <v>ramble on rose</v>
      </c>
      <c r="F697" t="s">
        <v>6827</v>
      </c>
      <c r="G697" t="str">
        <f>_xlfn.IFNA(VLOOKUP(F697,songs!$B$1:$C$1539, 2, FALSE),"")</f>
        <v>Ramble On Rose</v>
      </c>
      <c r="H697" t="s">
        <v>436</v>
      </c>
    </row>
    <row r="698" spans="1:8" x14ac:dyDescent="0.25">
      <c r="A698">
        <v>697</v>
      </c>
      <c r="B698" t="s">
        <v>972</v>
      </c>
      <c r="C698" t="s">
        <v>69</v>
      </c>
      <c r="D698" t="str">
        <f t="shared" si="25"/>
        <v/>
      </c>
      <c r="E698" t="str">
        <f t="shared" si="24"/>
        <v>estimated prophet</v>
      </c>
      <c r="F698" t="s">
        <v>5612</v>
      </c>
      <c r="G698" t="str">
        <f>_xlfn.IFNA(VLOOKUP(F698,songs!$B$1:$C$1539, 2, FALSE),"")</f>
        <v>Estimated Prophet</v>
      </c>
      <c r="H698" t="s">
        <v>69</v>
      </c>
    </row>
    <row r="699" spans="1:8" x14ac:dyDescent="0.25">
      <c r="A699">
        <v>713</v>
      </c>
      <c r="B699" t="s">
        <v>998</v>
      </c>
      <c r="C699" t="s">
        <v>999</v>
      </c>
      <c r="D699" t="str">
        <f t="shared" si="25"/>
        <v/>
      </c>
      <c r="E699" t="str">
        <f t="shared" si="24"/>
        <v>how sweet it is</v>
      </c>
      <c r="F699" t="s">
        <v>5973</v>
      </c>
      <c r="G699" t="str">
        <f>_xlfn.IFNA(VLOOKUP(F699,songs!$B$1:$C$1539, 2, FALSE),"")</f>
        <v>How Sweet It Is (To Be Loved By You)</v>
      </c>
      <c r="H699" t="s">
        <v>7867</v>
      </c>
    </row>
    <row r="700" spans="1:8" x14ac:dyDescent="0.25">
      <c r="A700">
        <v>699</v>
      </c>
      <c r="B700" t="s">
        <v>975</v>
      </c>
      <c r="C700" t="s">
        <v>976</v>
      </c>
      <c r="D700" t="str">
        <f t="shared" si="25"/>
        <v>&gt;</v>
      </c>
      <c r="E700" t="str">
        <f t="shared" si="24"/>
        <v>playing in the band</v>
      </c>
      <c r="F700" t="s">
        <v>6769</v>
      </c>
      <c r="G700" t="str">
        <f>_xlfn.IFNA(VLOOKUP(F700,songs!$B$1:$C$1539, 2, FALSE),"")</f>
        <v>Playing In The Band</v>
      </c>
      <c r="H700" t="s">
        <v>419</v>
      </c>
    </row>
    <row r="701" spans="1:8" x14ac:dyDescent="0.25">
      <c r="A701">
        <v>700</v>
      </c>
      <c r="B701" t="s">
        <v>977</v>
      </c>
      <c r="C701" t="s">
        <v>766</v>
      </c>
      <c r="D701" t="str">
        <f t="shared" si="25"/>
        <v>&gt;</v>
      </c>
      <c r="E701" t="str">
        <f t="shared" si="24"/>
        <v>uncle john's band</v>
      </c>
      <c r="F701" t="s">
        <v>7466</v>
      </c>
      <c r="G701" t="str">
        <f>_xlfn.IFNA(VLOOKUP(F701,songs!$B$1:$C$1539, 2, FALSE),"")</f>
        <v>Uncle John's Band</v>
      </c>
      <c r="H701" t="s">
        <v>133</v>
      </c>
    </row>
    <row r="702" spans="1:8" x14ac:dyDescent="0.25">
      <c r="A702">
        <v>701</v>
      </c>
      <c r="B702" t="s">
        <v>978</v>
      </c>
      <c r="C702" t="s">
        <v>275</v>
      </c>
      <c r="D702" t="str">
        <f t="shared" si="25"/>
        <v>&gt;</v>
      </c>
      <c r="E702" t="str">
        <f t="shared" si="24"/>
        <v>drums</v>
      </c>
      <c r="F702" t="s">
        <v>5568</v>
      </c>
      <c r="G702" t="str">
        <f>_xlfn.IFNA(VLOOKUP(F702,songs!$B$1:$C$1539, 2, FALSE),"")</f>
        <v>Drums</v>
      </c>
      <c r="H702" t="s">
        <v>100</v>
      </c>
    </row>
    <row r="703" spans="1:8" x14ac:dyDescent="0.25">
      <c r="A703">
        <v>702</v>
      </c>
      <c r="B703" t="s">
        <v>979</v>
      </c>
      <c r="C703" t="s">
        <v>980</v>
      </c>
      <c r="D703" t="str">
        <f t="shared" si="25"/>
        <v>&gt;</v>
      </c>
      <c r="E703" t="str">
        <f t="shared" si="24"/>
        <v>the wheel</v>
      </c>
      <c r="F703" t="s">
        <v>7343</v>
      </c>
      <c r="G703" t="str">
        <f>_xlfn.IFNA(VLOOKUP(F703,songs!$B$1:$C$1539, 2, FALSE),"")</f>
        <v>The Wheel</v>
      </c>
      <c r="H703" t="s">
        <v>567</v>
      </c>
    </row>
    <row r="704" spans="1:8" x14ac:dyDescent="0.25">
      <c r="A704">
        <v>703</v>
      </c>
      <c r="B704" t="s">
        <v>981</v>
      </c>
      <c r="C704" t="s">
        <v>538</v>
      </c>
      <c r="D704" t="str">
        <f t="shared" si="25"/>
        <v>&gt;</v>
      </c>
      <c r="E704" t="str">
        <f t="shared" si="24"/>
        <v>china doll</v>
      </c>
      <c r="F704" t="s">
        <v>5320</v>
      </c>
      <c r="G704" t="str">
        <f>_xlfn.IFNA(VLOOKUP(F704,songs!$B$1:$C$1539, 2, FALSE),"")</f>
        <v>China Doll</v>
      </c>
      <c r="H704" t="s">
        <v>304</v>
      </c>
    </row>
    <row r="705" spans="1:8" x14ac:dyDescent="0.25">
      <c r="A705">
        <v>704</v>
      </c>
      <c r="B705" t="s">
        <v>982</v>
      </c>
      <c r="C705" t="s">
        <v>419</v>
      </c>
      <c r="D705" t="str">
        <f t="shared" si="25"/>
        <v/>
      </c>
      <c r="E705" t="str">
        <f t="shared" si="24"/>
        <v>playing in the band</v>
      </c>
      <c r="F705" t="s">
        <v>6769</v>
      </c>
      <c r="G705" t="str">
        <f>_xlfn.IFNA(VLOOKUP(F705,songs!$B$1:$C$1539, 2, FALSE),"")</f>
        <v>Playing In The Band</v>
      </c>
      <c r="H705" t="s">
        <v>419</v>
      </c>
    </row>
    <row r="706" spans="1:8" x14ac:dyDescent="0.25">
      <c r="A706">
        <v>715</v>
      </c>
      <c r="B706" t="s">
        <v>1002</v>
      </c>
      <c r="C706" t="s">
        <v>1003</v>
      </c>
      <c r="D706" t="str">
        <f t="shared" si="25"/>
        <v/>
      </c>
      <c r="E706" t="str">
        <f t="shared" si="24"/>
        <v>smokestack lightnin'</v>
      </c>
      <c r="F706" t="s">
        <v>7050</v>
      </c>
      <c r="G706" t="str">
        <f>_xlfn.IFNA(VLOOKUP(F706,songs!$B$1:$C$1539, 2, FALSE),"")</f>
        <v>Smokestack Lightning</v>
      </c>
      <c r="H706" t="s">
        <v>7867</v>
      </c>
    </row>
    <row r="707" spans="1:8" x14ac:dyDescent="0.25">
      <c r="A707">
        <v>720</v>
      </c>
      <c r="B707" t="s">
        <v>1009</v>
      </c>
      <c r="C707" t="s">
        <v>190</v>
      </c>
      <c r="D707" t="str">
        <f t="shared" si="25"/>
        <v/>
      </c>
      <c r="E707" t="str">
        <f t="shared" si="24"/>
        <v>black-throated wind</v>
      </c>
      <c r="F707" t="s">
        <v>5193</v>
      </c>
      <c r="G707" t="str">
        <f>_xlfn.IFNA(VLOOKUP(F707,songs!$B$1:$C$1539, 2, FALSE),"")</f>
        <v>Black Throated Wind</v>
      </c>
      <c r="H707" t="s">
        <v>7867</v>
      </c>
    </row>
    <row r="708" spans="1:8" x14ac:dyDescent="0.25">
      <c r="A708">
        <v>735</v>
      </c>
      <c r="B708" t="s">
        <v>1027</v>
      </c>
      <c r="C708" t="s">
        <v>1028</v>
      </c>
      <c r="D708" t="str">
        <f t="shared" si="25"/>
        <v/>
      </c>
      <c r="E708" t="str">
        <f t="shared" ref="E708:E771" si="26">LOWER(TRIM(SUBSTITUTE(IF(RIGHT(TRIM(C708),2)="-&gt;",LEFT(TRIM(C708),LEN(TRIM(C708))-2),IF(RIGHT(TRIM(C708),1)="&gt;",LEFT(TRIM(C708),LEN(TRIM(C708))-1),C708)),"//","")))</f>
        <v>the stranger (two souls in communion)</v>
      </c>
      <c r="F708" t="s">
        <v>7460</v>
      </c>
      <c r="G708" t="str">
        <f>_xlfn.IFNA(VLOOKUP(F708,songs!$B$1:$C$1539, 2, FALSE),"")</f>
        <v>Two Souls In Communion</v>
      </c>
      <c r="H708" t="s">
        <v>7867</v>
      </c>
    </row>
    <row r="709" spans="1:8" x14ac:dyDescent="0.25">
      <c r="A709">
        <v>708</v>
      </c>
      <c r="B709" t="s">
        <v>989</v>
      </c>
      <c r="C709" t="s">
        <v>990</v>
      </c>
      <c r="D709" t="str">
        <f t="shared" si="25"/>
        <v/>
      </c>
      <c r="E709" t="str">
        <f t="shared" si="26"/>
        <v>hey bo diddley</v>
      </c>
      <c r="F709" t="s">
        <v>5906</v>
      </c>
      <c r="G709" t="str">
        <f>_xlfn.IFNA(VLOOKUP(F709,songs!$B$1:$C$1539, 2, FALSE),"")</f>
        <v>Hey Bo Diddley</v>
      </c>
      <c r="H709" t="s">
        <v>990</v>
      </c>
    </row>
    <row r="710" spans="1:8" x14ac:dyDescent="0.25">
      <c r="A710">
        <v>709</v>
      </c>
      <c r="B710" t="s">
        <v>991</v>
      </c>
      <c r="C710" t="s">
        <v>992</v>
      </c>
      <c r="D710" t="str">
        <f t="shared" si="25"/>
        <v/>
      </c>
      <c r="E710" t="str">
        <f t="shared" si="26"/>
        <v>i'm a man</v>
      </c>
      <c r="F710" t="s">
        <v>6083</v>
      </c>
      <c r="G710" t="str">
        <f>_xlfn.IFNA(VLOOKUP(F710,songs!$B$1:$C$1539, 2, FALSE),"")</f>
        <v>I'm A Man</v>
      </c>
      <c r="H710" t="s">
        <v>992</v>
      </c>
    </row>
    <row r="711" spans="1:8" x14ac:dyDescent="0.25">
      <c r="A711">
        <v>710</v>
      </c>
      <c r="B711" t="s">
        <v>993</v>
      </c>
      <c r="C711" t="s">
        <v>994</v>
      </c>
      <c r="D711" t="str">
        <f t="shared" si="25"/>
        <v/>
      </c>
      <c r="E711" t="str">
        <f t="shared" si="26"/>
        <v>i've seen them all</v>
      </c>
      <c r="F711" t="s">
        <v>6158</v>
      </c>
      <c r="G711" t="str">
        <f>_xlfn.IFNA(VLOOKUP(F711,songs!$B$1:$C$1539, 2, FALSE),"")</f>
        <v>I've Seen Them All</v>
      </c>
      <c r="H711" t="s">
        <v>994</v>
      </c>
    </row>
    <row r="712" spans="1:8" x14ac:dyDescent="0.25">
      <c r="A712">
        <v>711</v>
      </c>
      <c r="B712" t="s">
        <v>995</v>
      </c>
      <c r="C712" t="s">
        <v>19</v>
      </c>
      <c r="D712" t="str">
        <f t="shared" si="25"/>
        <v/>
      </c>
      <c r="E712" t="str">
        <f t="shared" si="26"/>
        <v>jam</v>
      </c>
      <c r="F712" t="s">
        <v>6165</v>
      </c>
      <c r="G712" t="str">
        <f>_xlfn.IFNA(VLOOKUP(F712,songs!$B$1:$C$1539, 2, FALSE),"")</f>
        <v>Jam</v>
      </c>
      <c r="H712" t="s">
        <v>19</v>
      </c>
    </row>
    <row r="713" spans="1:8" x14ac:dyDescent="0.25">
      <c r="A713">
        <v>712</v>
      </c>
      <c r="B713" t="s">
        <v>996</v>
      </c>
      <c r="C713" t="s">
        <v>997</v>
      </c>
      <c r="D713" t="str">
        <f t="shared" si="25"/>
        <v/>
      </c>
      <c r="E713" t="str">
        <f t="shared" si="26"/>
        <v>mona</v>
      </c>
      <c r="F713" t="s">
        <v>6540</v>
      </c>
      <c r="G713" t="str">
        <f>_xlfn.IFNA(VLOOKUP(F713,songs!$B$1:$C$1539, 2, FALSE),"")</f>
        <v>Mona</v>
      </c>
      <c r="H713" t="s">
        <v>997</v>
      </c>
    </row>
    <row r="714" spans="1:8" x14ac:dyDescent="0.25">
      <c r="A714">
        <v>740</v>
      </c>
      <c r="B714" t="s">
        <v>1033</v>
      </c>
      <c r="C714" t="s">
        <v>44</v>
      </c>
      <c r="D714" t="str">
        <f t="shared" si="25"/>
        <v/>
      </c>
      <c r="E714" t="str">
        <f t="shared" si="26"/>
        <v>goin' down the road feeling bad</v>
      </c>
      <c r="F714" t="s">
        <v>5783</v>
      </c>
      <c r="G714" t="str">
        <f>_xlfn.IFNA(VLOOKUP(F714,songs!$B$1:$C$1539, 2, FALSE),"")</f>
        <v>Goin' Down The Road Feelin' Bad</v>
      </c>
      <c r="H714" t="s">
        <v>7867</v>
      </c>
    </row>
    <row r="715" spans="1:8" x14ac:dyDescent="0.25">
      <c r="A715">
        <v>714</v>
      </c>
      <c r="B715" t="s">
        <v>1000</v>
      </c>
      <c r="C715" t="s">
        <v>1001</v>
      </c>
      <c r="D715" t="str">
        <f t="shared" si="25"/>
        <v/>
      </c>
      <c r="E715" t="str">
        <f t="shared" si="26"/>
        <v>are you lonely for me</v>
      </c>
      <c r="F715" t="s">
        <v>5096</v>
      </c>
      <c r="G715" t="str">
        <f>_xlfn.IFNA(VLOOKUP(F715,songs!$B$1:$C$1539, 2, FALSE),"")</f>
        <v>Are You Lonely For Me</v>
      </c>
      <c r="H715" t="s">
        <v>1001</v>
      </c>
    </row>
    <row r="716" spans="1:8" x14ac:dyDescent="0.25">
      <c r="A716">
        <v>750</v>
      </c>
      <c r="B716" t="s">
        <v>1044</v>
      </c>
      <c r="C716" t="s">
        <v>7</v>
      </c>
      <c r="D716" t="str">
        <f t="shared" si="25"/>
        <v/>
      </c>
      <c r="E716" t="str">
        <f t="shared" si="26"/>
        <v>weather report suite</v>
      </c>
      <c r="F716" t="s">
        <v>7658</v>
      </c>
      <c r="G716" t="str">
        <f>_xlfn.IFNA(VLOOKUP(F716,songs!$B$1:$C$1539, 2, FALSE),"")</f>
        <v>Weather Report Suite Prelude &gt; Weather Report Suite Part 1</v>
      </c>
      <c r="H716" t="s">
        <v>7867</v>
      </c>
    </row>
    <row r="717" spans="1:8" x14ac:dyDescent="0.25">
      <c r="A717">
        <v>716</v>
      </c>
      <c r="B717" t="s">
        <v>1004</v>
      </c>
      <c r="C717" t="s">
        <v>419</v>
      </c>
      <c r="D717" t="str">
        <f t="shared" si="25"/>
        <v/>
      </c>
      <c r="E717" t="str">
        <f t="shared" si="26"/>
        <v>playing in the band</v>
      </c>
      <c r="F717" t="s">
        <v>6769</v>
      </c>
      <c r="G717" t="str">
        <f>_xlfn.IFNA(VLOOKUP(F717,songs!$B$1:$C$1539, 2, FALSE),"")</f>
        <v>Playing In The Band</v>
      </c>
      <c r="H717" t="s">
        <v>419</v>
      </c>
    </row>
    <row r="718" spans="1:8" x14ac:dyDescent="0.25">
      <c r="A718">
        <v>717</v>
      </c>
      <c r="B718" t="s">
        <v>1005</v>
      </c>
      <c r="C718" t="s">
        <v>15</v>
      </c>
      <c r="D718" t="str">
        <f t="shared" si="25"/>
        <v/>
      </c>
      <c r="E718" t="str">
        <f t="shared" si="26"/>
        <v>truckin'</v>
      </c>
      <c r="F718" t="s">
        <v>7436</v>
      </c>
      <c r="G718" t="str">
        <f>_xlfn.IFNA(VLOOKUP(F718,songs!$B$1:$C$1539, 2, FALSE),"")</f>
        <v>Truckin'</v>
      </c>
      <c r="H718" t="s">
        <v>15</v>
      </c>
    </row>
    <row r="719" spans="1:8" x14ac:dyDescent="0.25">
      <c r="A719">
        <v>718</v>
      </c>
      <c r="B719" t="s">
        <v>1006</v>
      </c>
      <c r="C719" t="s">
        <v>164</v>
      </c>
      <c r="D719" t="str">
        <f t="shared" si="25"/>
        <v/>
      </c>
      <c r="E719" t="str">
        <f t="shared" si="26"/>
        <v>tennessee jed</v>
      </c>
      <c r="F719" t="s">
        <v>7234</v>
      </c>
      <c r="G719" t="str">
        <f>_xlfn.IFNA(VLOOKUP(F719,songs!$B$1:$C$1539, 2, FALSE),"")</f>
        <v>Tennessee Jed</v>
      </c>
      <c r="H719" t="s">
        <v>164</v>
      </c>
    </row>
    <row r="720" spans="1:8" x14ac:dyDescent="0.25">
      <c r="A720">
        <v>719</v>
      </c>
      <c r="B720" t="s">
        <v>1007</v>
      </c>
      <c r="C720" t="s">
        <v>1008</v>
      </c>
      <c r="D720" t="str">
        <f t="shared" si="25"/>
        <v/>
      </c>
      <c r="E720" t="str">
        <f t="shared" si="26"/>
        <v>chinatown shuffle</v>
      </c>
      <c r="F720" t="s">
        <v>5321</v>
      </c>
      <c r="G720" t="str">
        <f>_xlfn.IFNA(VLOOKUP(F720,songs!$B$1:$C$1539, 2, FALSE),"")</f>
        <v>Chinatown Shuffle</v>
      </c>
      <c r="H720" t="s">
        <v>1008</v>
      </c>
    </row>
    <row r="721" spans="1:8" x14ac:dyDescent="0.25">
      <c r="A721">
        <v>756</v>
      </c>
      <c r="B721" t="s">
        <v>1050</v>
      </c>
      <c r="C721" t="s">
        <v>1051</v>
      </c>
      <c r="D721" t="str">
        <f t="shared" si="25"/>
        <v/>
      </c>
      <c r="E721" t="str">
        <f t="shared" si="26"/>
        <v>me &amp; bobby mcgee</v>
      </c>
      <c r="F721" t="s">
        <v>6483</v>
      </c>
      <c r="G721" t="str">
        <f>_xlfn.IFNA(VLOOKUP(F721,songs!$B$1:$C$1539, 2, FALSE),"")</f>
        <v>Me And Bobby McGee</v>
      </c>
      <c r="H721" t="s">
        <v>7867</v>
      </c>
    </row>
    <row r="722" spans="1:8" x14ac:dyDescent="0.25">
      <c r="A722">
        <v>721</v>
      </c>
      <c r="B722" t="s">
        <v>1010</v>
      </c>
      <c r="C722" t="s">
        <v>1011</v>
      </c>
      <c r="D722" t="str">
        <f t="shared" si="25"/>
        <v/>
      </c>
      <c r="E722" t="str">
        <f t="shared" si="26"/>
        <v>you win again</v>
      </c>
      <c r="F722" t="s">
        <v>7793</v>
      </c>
      <c r="G722" t="str">
        <f>_xlfn.IFNA(VLOOKUP(F722,songs!$B$1:$C$1539, 2, FALSE),"")</f>
        <v>You Win Again</v>
      </c>
      <c r="H722" t="s">
        <v>1011</v>
      </c>
    </row>
    <row r="723" spans="1:8" x14ac:dyDescent="0.25">
      <c r="A723">
        <v>722</v>
      </c>
      <c r="B723" t="s">
        <v>1012</v>
      </c>
      <c r="C723" t="s">
        <v>1013</v>
      </c>
      <c r="D723" t="str">
        <f t="shared" si="25"/>
        <v/>
      </c>
      <c r="E723" t="str">
        <f t="shared" si="26"/>
        <v>mr. charlie</v>
      </c>
      <c r="F723" t="s">
        <v>6571</v>
      </c>
      <c r="G723" t="str">
        <f>_xlfn.IFNA(VLOOKUP(F723,songs!$B$1:$C$1539, 2, FALSE),"")</f>
        <v>Mr. Charlie</v>
      </c>
      <c r="H723" t="s">
        <v>1013</v>
      </c>
    </row>
    <row r="724" spans="1:8" x14ac:dyDescent="0.25">
      <c r="A724">
        <v>723</v>
      </c>
      <c r="B724" t="s">
        <v>1014</v>
      </c>
      <c r="C724" t="s">
        <v>186</v>
      </c>
      <c r="D724" t="str">
        <f t="shared" si="25"/>
        <v/>
      </c>
      <c r="E724" t="str">
        <f t="shared" si="26"/>
        <v>mexicali blues</v>
      </c>
      <c r="F724" t="s">
        <v>6499</v>
      </c>
      <c r="G724" t="str">
        <f>_xlfn.IFNA(VLOOKUP(F724,songs!$B$1:$C$1539, 2, FALSE),"")</f>
        <v>Mexicali Blues</v>
      </c>
      <c r="H724" t="s">
        <v>186</v>
      </c>
    </row>
    <row r="725" spans="1:8" x14ac:dyDescent="0.25">
      <c r="A725">
        <v>724</v>
      </c>
      <c r="B725" t="s">
        <v>1015</v>
      </c>
      <c r="C725" t="s">
        <v>145</v>
      </c>
      <c r="D725" t="str">
        <f t="shared" ref="D725:D788" si="27">IF(RIGHT(TRIM(C725),2)="-&gt;","&gt;",IF(RIGHT(TRIM(C725),1)="&gt;","&gt;",""))</f>
        <v/>
      </c>
      <c r="E725" t="str">
        <f t="shared" si="26"/>
        <v>brokedown palace</v>
      </c>
      <c r="F725" t="s">
        <v>5250</v>
      </c>
      <c r="G725" t="str">
        <f>_xlfn.IFNA(VLOOKUP(F725,songs!$B$1:$C$1539, 2, FALSE),"")</f>
        <v>Brokedown Palace</v>
      </c>
      <c r="H725" t="s">
        <v>145</v>
      </c>
    </row>
    <row r="726" spans="1:8" x14ac:dyDescent="0.25">
      <c r="A726">
        <v>725</v>
      </c>
      <c r="B726" t="s">
        <v>1016</v>
      </c>
      <c r="C726" t="s">
        <v>1017</v>
      </c>
      <c r="D726" t="str">
        <f t="shared" si="27"/>
        <v/>
      </c>
      <c r="E726" t="str">
        <f t="shared" si="26"/>
        <v>next time you see me</v>
      </c>
      <c r="F726" t="s">
        <v>6629</v>
      </c>
      <c r="G726" t="str">
        <f>_xlfn.IFNA(VLOOKUP(F726,songs!$B$1:$C$1539, 2, FALSE),"")</f>
        <v>Next Time You See Me</v>
      </c>
      <c r="H726" t="s">
        <v>1017</v>
      </c>
    </row>
    <row r="727" spans="1:8" x14ac:dyDescent="0.25">
      <c r="A727">
        <v>726</v>
      </c>
      <c r="B727" t="s">
        <v>1018</v>
      </c>
      <c r="C727" t="s">
        <v>225</v>
      </c>
      <c r="D727" t="str">
        <f t="shared" si="27"/>
        <v/>
      </c>
      <c r="E727" t="str">
        <f t="shared" si="26"/>
        <v>cumberland blues</v>
      </c>
      <c r="F727" t="s">
        <v>5411</v>
      </c>
      <c r="G727" t="str">
        <f>_xlfn.IFNA(VLOOKUP(F727,songs!$B$1:$C$1539, 2, FALSE),"")</f>
        <v>Cumberland Blues</v>
      </c>
      <c r="H727" t="s">
        <v>225</v>
      </c>
    </row>
    <row r="728" spans="1:8" x14ac:dyDescent="0.25">
      <c r="A728">
        <v>727</v>
      </c>
      <c r="B728" t="s">
        <v>1019</v>
      </c>
      <c r="C728" t="s">
        <v>126</v>
      </c>
      <c r="D728" t="str">
        <f t="shared" si="27"/>
        <v/>
      </c>
      <c r="E728" t="str">
        <f t="shared" si="26"/>
        <v>looks like rain</v>
      </c>
      <c r="F728" t="s">
        <v>6398</v>
      </c>
      <c r="G728" t="str">
        <f>_xlfn.IFNA(VLOOKUP(F728,songs!$B$1:$C$1539, 2, FALSE),"")</f>
        <v>Looks Like Rain</v>
      </c>
      <c r="H728" t="s">
        <v>126</v>
      </c>
    </row>
    <row r="729" spans="1:8" x14ac:dyDescent="0.25">
      <c r="A729">
        <v>728</v>
      </c>
      <c r="B729" t="s">
        <v>1020</v>
      </c>
      <c r="C729" t="s">
        <v>9</v>
      </c>
      <c r="D729" t="str">
        <f t="shared" si="27"/>
        <v/>
      </c>
      <c r="E729" t="str">
        <f t="shared" si="26"/>
        <v>big railroad blues</v>
      </c>
      <c r="F729" t="s">
        <v>5174</v>
      </c>
      <c r="G729" t="str">
        <f>_xlfn.IFNA(VLOOKUP(F729,songs!$B$1:$C$1539, 2, FALSE),"")</f>
        <v>Big Railroad Blues</v>
      </c>
      <c r="H729" t="s">
        <v>9</v>
      </c>
    </row>
    <row r="730" spans="1:8" x14ac:dyDescent="0.25">
      <c r="A730">
        <v>729</v>
      </c>
      <c r="B730" t="s">
        <v>1021</v>
      </c>
      <c r="C730" t="s">
        <v>327</v>
      </c>
      <c r="D730" t="str">
        <f t="shared" si="27"/>
        <v/>
      </c>
      <c r="E730" t="str">
        <f t="shared" si="26"/>
        <v>el paso</v>
      </c>
      <c r="F730" t="s">
        <v>5600</v>
      </c>
      <c r="G730" t="str">
        <f>_xlfn.IFNA(VLOOKUP(F730,songs!$B$1:$C$1539, 2, FALSE),"")</f>
        <v>El Paso</v>
      </c>
      <c r="H730" t="s">
        <v>327</v>
      </c>
    </row>
    <row r="731" spans="1:8" x14ac:dyDescent="0.25">
      <c r="A731">
        <v>730</v>
      </c>
      <c r="B731" t="s">
        <v>1022</v>
      </c>
      <c r="C731" t="s">
        <v>84</v>
      </c>
      <c r="D731" t="str">
        <f t="shared" si="27"/>
        <v/>
      </c>
      <c r="E731" t="str">
        <f t="shared" si="26"/>
        <v>china cat sunflower</v>
      </c>
      <c r="F731" t="s">
        <v>5319</v>
      </c>
      <c r="G731" t="str">
        <f>_xlfn.IFNA(VLOOKUP(F731,songs!$B$1:$C$1539, 2, FALSE),"")</f>
        <v>China Cat Sunflower</v>
      </c>
      <c r="H731" t="s">
        <v>84</v>
      </c>
    </row>
    <row r="732" spans="1:8" x14ac:dyDescent="0.25">
      <c r="A732">
        <v>731</v>
      </c>
      <c r="B732" t="s">
        <v>1023</v>
      </c>
      <c r="C732" t="s">
        <v>86</v>
      </c>
      <c r="D732" t="str">
        <f t="shared" si="27"/>
        <v/>
      </c>
      <c r="E732" t="str">
        <f t="shared" si="26"/>
        <v>i know you rider</v>
      </c>
      <c r="F732" t="s">
        <v>6020</v>
      </c>
      <c r="G732" t="str">
        <f>_xlfn.IFNA(VLOOKUP(F732,songs!$B$1:$C$1539, 2, FALSE),"")</f>
        <v>I Know You Rider</v>
      </c>
      <c r="H732" t="s">
        <v>86</v>
      </c>
    </row>
    <row r="733" spans="1:8" x14ac:dyDescent="0.25">
      <c r="A733">
        <v>732</v>
      </c>
      <c r="B733" t="s">
        <v>1024</v>
      </c>
      <c r="C733" t="s">
        <v>81</v>
      </c>
      <c r="D733" t="str">
        <f t="shared" si="27"/>
        <v/>
      </c>
      <c r="E733" t="str">
        <f t="shared" si="26"/>
        <v>casey jones</v>
      </c>
      <c r="F733" t="s">
        <v>5290</v>
      </c>
      <c r="G733" t="str">
        <f>_xlfn.IFNA(VLOOKUP(F733,songs!$B$1:$C$1539, 2, FALSE),"")</f>
        <v>Casey Jones</v>
      </c>
      <c r="H733" t="s">
        <v>81</v>
      </c>
    </row>
    <row r="734" spans="1:8" x14ac:dyDescent="0.25">
      <c r="A734">
        <v>733</v>
      </c>
      <c r="B734" t="s">
        <v>1025</v>
      </c>
      <c r="C734" t="s">
        <v>419</v>
      </c>
      <c r="D734" t="str">
        <f t="shared" si="27"/>
        <v/>
      </c>
      <c r="E734" t="str">
        <f t="shared" si="26"/>
        <v>playing in the band</v>
      </c>
      <c r="F734" t="s">
        <v>6769</v>
      </c>
      <c r="G734" t="str">
        <f>_xlfn.IFNA(VLOOKUP(F734,songs!$B$1:$C$1539, 2, FALSE),"")</f>
        <v>Playing In The Band</v>
      </c>
      <c r="H734" t="s">
        <v>419</v>
      </c>
    </row>
    <row r="735" spans="1:8" x14ac:dyDescent="0.25">
      <c r="A735">
        <v>734</v>
      </c>
      <c r="B735" t="s">
        <v>1026</v>
      </c>
      <c r="C735" t="s">
        <v>51</v>
      </c>
      <c r="D735" t="str">
        <f t="shared" si="27"/>
        <v/>
      </c>
      <c r="E735" t="str">
        <f t="shared" si="26"/>
        <v>sugaree</v>
      </c>
      <c r="F735" t="s">
        <v>7151</v>
      </c>
      <c r="G735" t="str">
        <f>_xlfn.IFNA(VLOOKUP(F735,songs!$B$1:$C$1539, 2, FALSE),"")</f>
        <v>Sugaree</v>
      </c>
      <c r="H735" t="s">
        <v>51</v>
      </c>
    </row>
    <row r="736" spans="1:8" x14ac:dyDescent="0.25">
      <c r="A736">
        <v>766</v>
      </c>
      <c r="B736" t="s">
        <v>1062</v>
      </c>
      <c r="C736" t="s">
        <v>354</v>
      </c>
      <c r="D736" t="str">
        <f t="shared" si="27"/>
        <v/>
      </c>
      <c r="E736" t="str">
        <f t="shared" si="26"/>
        <v>other one jam</v>
      </c>
      <c r="F736" t="s">
        <v>7325</v>
      </c>
      <c r="G736" t="str">
        <f>_xlfn.IFNA(VLOOKUP(F736,songs!$B$1:$C$1539, 2, FALSE),"")</f>
        <v>The Other One</v>
      </c>
      <c r="H736" t="s">
        <v>7867</v>
      </c>
    </row>
    <row r="737" spans="1:8" x14ac:dyDescent="0.25">
      <c r="A737">
        <v>736</v>
      </c>
      <c r="B737" t="s">
        <v>1029</v>
      </c>
      <c r="C737" t="s">
        <v>30</v>
      </c>
      <c r="D737" t="str">
        <f t="shared" si="27"/>
        <v/>
      </c>
      <c r="E737" t="str">
        <f t="shared" si="26"/>
        <v>sugar magnolia</v>
      </c>
      <c r="F737" t="s">
        <v>7150</v>
      </c>
      <c r="G737" t="str">
        <f>_xlfn.IFNA(VLOOKUP(F737,songs!$B$1:$C$1539, 2, FALSE),"")</f>
        <v>Sugar Magnolia</v>
      </c>
      <c r="H737" t="s">
        <v>30</v>
      </c>
    </row>
    <row r="738" spans="1:8" x14ac:dyDescent="0.25">
      <c r="A738">
        <v>737</v>
      </c>
      <c r="B738" t="s">
        <v>1030</v>
      </c>
      <c r="C738" t="s">
        <v>139</v>
      </c>
      <c r="D738" t="str">
        <f t="shared" si="27"/>
        <v/>
      </c>
      <c r="E738" t="str">
        <f t="shared" si="26"/>
        <v>the other one</v>
      </c>
      <c r="F738" t="s">
        <v>7325</v>
      </c>
      <c r="G738" t="str">
        <f>_xlfn.IFNA(VLOOKUP(F738,songs!$B$1:$C$1539, 2, FALSE),"")</f>
        <v>The Other One</v>
      </c>
      <c r="H738" t="s">
        <v>139</v>
      </c>
    </row>
    <row r="739" spans="1:8" x14ac:dyDescent="0.25">
      <c r="A739">
        <v>738</v>
      </c>
      <c r="B739" t="s">
        <v>1031</v>
      </c>
      <c r="C739" t="s">
        <v>701</v>
      </c>
      <c r="D739" t="str">
        <f t="shared" si="27"/>
        <v/>
      </c>
      <c r="E739" t="str">
        <f t="shared" si="26"/>
        <v>hurts me too</v>
      </c>
      <c r="F739" t="s">
        <v>5979</v>
      </c>
      <c r="G739" t="str">
        <f>_xlfn.IFNA(VLOOKUP(F739,songs!$B$1:$C$1539, 2, FALSE),"")</f>
        <v>Hurts Me Too</v>
      </c>
      <c r="H739" t="s">
        <v>701</v>
      </c>
    </row>
    <row r="740" spans="1:8" x14ac:dyDescent="0.25">
      <c r="A740">
        <v>739</v>
      </c>
      <c r="B740" t="s">
        <v>1032</v>
      </c>
      <c r="C740" t="s">
        <v>34</v>
      </c>
      <c r="D740" t="str">
        <f t="shared" si="27"/>
        <v/>
      </c>
      <c r="E740" t="str">
        <f t="shared" si="26"/>
        <v>not fade away</v>
      </c>
      <c r="F740" t="s">
        <v>6651</v>
      </c>
      <c r="G740" t="str">
        <f>_xlfn.IFNA(VLOOKUP(F740,songs!$B$1:$C$1539, 2, FALSE),"")</f>
        <v>Not Fade Away</v>
      </c>
      <c r="H740" t="s">
        <v>34</v>
      </c>
    </row>
    <row r="741" spans="1:8" x14ac:dyDescent="0.25">
      <c r="A741">
        <v>789</v>
      </c>
      <c r="B741" t="s">
        <v>1089</v>
      </c>
      <c r="C741" t="s">
        <v>1090</v>
      </c>
      <c r="D741" t="str">
        <f t="shared" si="27"/>
        <v/>
      </c>
      <c r="E741" t="str">
        <f t="shared" si="26"/>
        <v>man smart, woman smarter</v>
      </c>
      <c r="F741" t="s">
        <v>6459</v>
      </c>
      <c r="G741" t="str">
        <f>_xlfn.IFNA(VLOOKUP(F741,songs!$B$1:$C$1539, 2, FALSE),"")</f>
        <v>Man Smart (Woman Smarter)</v>
      </c>
      <c r="H741" t="s">
        <v>7867</v>
      </c>
    </row>
    <row r="742" spans="1:8" x14ac:dyDescent="0.25">
      <c r="A742">
        <v>741</v>
      </c>
      <c r="B742" t="s">
        <v>1034</v>
      </c>
      <c r="C742" t="s">
        <v>34</v>
      </c>
      <c r="D742" t="str">
        <f t="shared" si="27"/>
        <v/>
      </c>
      <c r="E742" t="str">
        <f t="shared" si="26"/>
        <v>not fade away</v>
      </c>
      <c r="F742" t="s">
        <v>6651</v>
      </c>
      <c r="G742" t="str">
        <f>_xlfn.IFNA(VLOOKUP(F742,songs!$B$1:$C$1539, 2, FALSE),"")</f>
        <v>Not Fade Away</v>
      </c>
      <c r="H742" t="s">
        <v>34</v>
      </c>
    </row>
    <row r="743" spans="1:8" x14ac:dyDescent="0.25">
      <c r="A743">
        <v>742</v>
      </c>
      <c r="B743" t="s">
        <v>1035</v>
      </c>
      <c r="C743" t="s">
        <v>1036</v>
      </c>
      <c r="D743" t="str">
        <f t="shared" si="27"/>
        <v/>
      </c>
      <c r="E743" t="str">
        <f t="shared" si="26"/>
        <v>sidewalks of new york</v>
      </c>
      <c r="F743" t="s">
        <v>7006</v>
      </c>
      <c r="G743" t="str">
        <f>_xlfn.IFNA(VLOOKUP(F743,songs!$B$1:$C$1539, 2, FALSE),"")</f>
        <v>Sidewalks Of New York</v>
      </c>
      <c r="H743" t="s">
        <v>1036</v>
      </c>
    </row>
    <row r="744" spans="1:8" x14ac:dyDescent="0.25">
      <c r="A744">
        <v>743</v>
      </c>
      <c r="B744" t="s">
        <v>1037</v>
      </c>
      <c r="C744" t="s">
        <v>956</v>
      </c>
      <c r="D744" t="str">
        <f t="shared" si="27"/>
        <v/>
      </c>
      <c r="E744" t="str">
        <f t="shared" si="26"/>
        <v>one more saturday night</v>
      </c>
      <c r="F744" t="s">
        <v>6702</v>
      </c>
      <c r="G744" t="str">
        <f>_xlfn.IFNA(VLOOKUP(F744,songs!$B$1:$C$1539, 2, FALSE),"")</f>
        <v>One More Saturday Night</v>
      </c>
      <c r="H744" t="s">
        <v>956</v>
      </c>
    </row>
    <row r="745" spans="1:8" x14ac:dyDescent="0.25">
      <c r="A745">
        <v>744</v>
      </c>
      <c r="B745" t="s">
        <v>1038</v>
      </c>
      <c r="C745" t="s">
        <v>419</v>
      </c>
      <c r="D745" t="str">
        <f t="shared" si="27"/>
        <v/>
      </c>
      <c r="E745" t="str">
        <f t="shared" si="26"/>
        <v>playing in the band</v>
      </c>
      <c r="F745" t="s">
        <v>6769</v>
      </c>
      <c r="G745" t="str">
        <f>_xlfn.IFNA(VLOOKUP(F745,songs!$B$1:$C$1539, 2, FALSE),"")</f>
        <v>Playing In The Band</v>
      </c>
      <c r="H745" t="s">
        <v>419</v>
      </c>
    </row>
    <row r="746" spans="1:8" x14ac:dyDescent="0.25">
      <c r="A746">
        <v>745</v>
      </c>
      <c r="B746" t="s">
        <v>1039</v>
      </c>
      <c r="C746" t="s">
        <v>170</v>
      </c>
      <c r="D746" t="str">
        <f t="shared" si="27"/>
        <v/>
      </c>
      <c r="E746" t="str">
        <f t="shared" si="26"/>
        <v>scarlet begonias</v>
      </c>
      <c r="F746" t="s">
        <v>6944</v>
      </c>
      <c r="G746" t="str">
        <f>_xlfn.IFNA(VLOOKUP(F746,songs!$B$1:$C$1539, 2, FALSE),"")</f>
        <v>Scarlet Begonias</v>
      </c>
      <c r="H746" t="s">
        <v>170</v>
      </c>
    </row>
    <row r="747" spans="1:8" x14ac:dyDescent="0.25">
      <c r="A747">
        <v>746</v>
      </c>
      <c r="B747" t="s">
        <v>1040</v>
      </c>
      <c r="C747" t="s">
        <v>199</v>
      </c>
      <c r="D747" t="str">
        <f t="shared" si="27"/>
        <v/>
      </c>
      <c r="E747" t="str">
        <f t="shared" si="26"/>
        <v>jack straw</v>
      </c>
      <c r="F747" t="s">
        <v>6161</v>
      </c>
      <c r="G747" t="str">
        <f>_xlfn.IFNA(VLOOKUP(F747,songs!$B$1:$C$1539, 2, FALSE),"")</f>
        <v>Jack Straw</v>
      </c>
      <c r="H747" t="s">
        <v>199</v>
      </c>
    </row>
    <row r="748" spans="1:8" x14ac:dyDescent="0.25">
      <c r="A748">
        <v>747</v>
      </c>
      <c r="B748" t="s">
        <v>1041</v>
      </c>
      <c r="C748" t="s">
        <v>461</v>
      </c>
      <c r="D748" t="str">
        <f t="shared" si="27"/>
        <v/>
      </c>
      <c r="E748" t="str">
        <f t="shared" si="26"/>
        <v>peggy-o</v>
      </c>
      <c r="F748" t="s">
        <v>6749</v>
      </c>
      <c r="G748" t="str">
        <f>_xlfn.IFNA(VLOOKUP(F748,songs!$B$1:$C$1539, 2, FALSE),"")</f>
        <v>Peggy-O</v>
      </c>
      <c r="H748" t="s">
        <v>461</v>
      </c>
    </row>
    <row r="749" spans="1:8" x14ac:dyDescent="0.25">
      <c r="A749">
        <v>748</v>
      </c>
      <c r="B749" t="s">
        <v>1042</v>
      </c>
      <c r="C749" t="s">
        <v>377</v>
      </c>
      <c r="D749" t="str">
        <f t="shared" si="27"/>
        <v/>
      </c>
      <c r="E749" t="str">
        <f t="shared" si="26"/>
        <v>ship of fools</v>
      </c>
      <c r="F749" t="s">
        <v>6999</v>
      </c>
      <c r="G749" t="str">
        <f>_xlfn.IFNA(VLOOKUP(F749,songs!$B$1:$C$1539, 2, FALSE),"")</f>
        <v>Ship Of Fools</v>
      </c>
      <c r="H749" t="s">
        <v>866</v>
      </c>
    </row>
    <row r="750" spans="1:8" x14ac:dyDescent="0.25">
      <c r="A750">
        <v>749</v>
      </c>
      <c r="B750" t="s">
        <v>1043</v>
      </c>
      <c r="C750" t="s">
        <v>858</v>
      </c>
      <c r="D750" t="str">
        <f t="shared" si="27"/>
        <v/>
      </c>
      <c r="E750" t="str">
        <f t="shared" si="26"/>
        <v>loose lucy</v>
      </c>
      <c r="F750" t="s">
        <v>6399</v>
      </c>
      <c r="G750" t="str">
        <f>_xlfn.IFNA(VLOOKUP(F750,songs!$B$1:$C$1539, 2, FALSE),"")</f>
        <v>Loose Lucy</v>
      </c>
      <c r="H750" t="s">
        <v>858</v>
      </c>
    </row>
    <row r="751" spans="1:8" x14ac:dyDescent="0.25">
      <c r="A751">
        <v>805</v>
      </c>
      <c r="B751" t="s">
        <v>1106</v>
      </c>
      <c r="C751" t="s">
        <v>122</v>
      </c>
      <c r="D751" t="str">
        <f t="shared" si="27"/>
        <v/>
      </c>
      <c r="E751" t="str">
        <f t="shared" si="26"/>
        <v>new minglewood blues</v>
      </c>
      <c r="F751" t="s">
        <v>7869</v>
      </c>
      <c r="G751" t="str">
        <f>_xlfn.IFNA(VLOOKUP(F751,songs!$B$1:$C$1539, 2, FALSE),"")</f>
        <v>Minglewood Blues</v>
      </c>
      <c r="H751" t="s">
        <v>7867</v>
      </c>
    </row>
    <row r="752" spans="1:8" x14ac:dyDescent="0.25">
      <c r="A752">
        <v>751</v>
      </c>
      <c r="B752" t="s">
        <v>1045</v>
      </c>
      <c r="C752" t="s">
        <v>19</v>
      </c>
      <c r="D752" t="str">
        <f t="shared" si="27"/>
        <v/>
      </c>
      <c r="E752" t="str">
        <f t="shared" si="26"/>
        <v>jam</v>
      </c>
      <c r="F752" t="s">
        <v>6165</v>
      </c>
      <c r="G752" t="str">
        <f>_xlfn.IFNA(VLOOKUP(F752,songs!$B$1:$C$1539, 2, FALSE),"")</f>
        <v>Jam</v>
      </c>
      <c r="H752" t="s">
        <v>19</v>
      </c>
    </row>
    <row r="753" spans="1:8" x14ac:dyDescent="0.25">
      <c r="A753">
        <v>752</v>
      </c>
      <c r="B753" t="s">
        <v>1046</v>
      </c>
      <c r="C753" t="s">
        <v>73</v>
      </c>
      <c r="D753" t="str">
        <f t="shared" si="27"/>
        <v/>
      </c>
      <c r="E753" t="str">
        <f t="shared" si="26"/>
        <v>wharf rat</v>
      </c>
      <c r="F753" t="s">
        <v>7664</v>
      </c>
      <c r="G753" t="str">
        <f>_xlfn.IFNA(VLOOKUP(F753,songs!$B$1:$C$1539, 2, FALSE),"")</f>
        <v>Wharf Rat</v>
      </c>
      <c r="H753" t="s">
        <v>73</v>
      </c>
    </row>
    <row r="754" spans="1:8" x14ac:dyDescent="0.25">
      <c r="A754">
        <v>753</v>
      </c>
      <c r="B754" t="s">
        <v>1047</v>
      </c>
      <c r="C754" t="s">
        <v>183</v>
      </c>
      <c r="D754" t="str">
        <f t="shared" si="27"/>
        <v/>
      </c>
      <c r="E754" t="str">
        <f t="shared" si="26"/>
        <v>u.s. blues</v>
      </c>
      <c r="F754" t="s">
        <v>7464</v>
      </c>
      <c r="G754" t="str">
        <f>_xlfn.IFNA(VLOOKUP(F754,songs!$B$1:$C$1539, 2, FALSE),"")</f>
        <v>U.S. Blues</v>
      </c>
      <c r="H754" t="s">
        <v>183</v>
      </c>
    </row>
    <row r="755" spans="1:8" x14ac:dyDescent="0.25">
      <c r="A755">
        <v>754</v>
      </c>
      <c r="B755" t="s">
        <v>1048</v>
      </c>
      <c r="C755" t="s">
        <v>30</v>
      </c>
      <c r="D755" t="str">
        <f t="shared" si="27"/>
        <v/>
      </c>
      <c r="E755" t="str">
        <f t="shared" si="26"/>
        <v>sugar magnolia</v>
      </c>
      <c r="F755" t="s">
        <v>7150</v>
      </c>
      <c r="G755" t="str">
        <f>_xlfn.IFNA(VLOOKUP(F755,songs!$B$1:$C$1539, 2, FALSE),"")</f>
        <v>Sugar Magnolia</v>
      </c>
      <c r="H755" t="s">
        <v>30</v>
      </c>
    </row>
    <row r="756" spans="1:8" x14ac:dyDescent="0.25">
      <c r="A756">
        <v>755</v>
      </c>
      <c r="B756" t="s">
        <v>1049</v>
      </c>
      <c r="C756" t="s">
        <v>81</v>
      </c>
      <c r="D756" t="str">
        <f t="shared" si="27"/>
        <v/>
      </c>
      <c r="E756" t="str">
        <f t="shared" si="26"/>
        <v>casey jones</v>
      </c>
      <c r="F756" t="s">
        <v>5290</v>
      </c>
      <c r="G756" t="str">
        <f>_xlfn.IFNA(VLOOKUP(F756,songs!$B$1:$C$1539, 2, FALSE),"")</f>
        <v>Casey Jones</v>
      </c>
      <c r="H756" t="s">
        <v>81</v>
      </c>
    </row>
    <row r="757" spans="1:8" x14ac:dyDescent="0.25">
      <c r="A757">
        <v>807</v>
      </c>
      <c r="B757" t="s">
        <v>1108</v>
      </c>
      <c r="C757" t="s">
        <v>1109</v>
      </c>
      <c r="D757" t="str">
        <f t="shared" si="27"/>
        <v/>
      </c>
      <c r="E757" t="str">
        <f t="shared" si="26"/>
        <v>lazy lightnin'</v>
      </c>
      <c r="F757" t="s">
        <v>6293</v>
      </c>
      <c r="G757" t="str">
        <f>_xlfn.IFNA(VLOOKUP(F757,songs!$B$1:$C$1539, 2, FALSE),"")</f>
        <v>Lazy Lightning</v>
      </c>
      <c r="H757" t="s">
        <v>7867</v>
      </c>
    </row>
    <row r="758" spans="1:8" x14ac:dyDescent="0.25">
      <c r="A758">
        <v>757</v>
      </c>
      <c r="B758" t="s">
        <v>1052</v>
      </c>
      <c r="C758" t="s">
        <v>84</v>
      </c>
      <c r="D758" t="str">
        <f t="shared" si="27"/>
        <v/>
      </c>
      <c r="E758" t="str">
        <f t="shared" si="26"/>
        <v>china cat sunflower</v>
      </c>
      <c r="F758" t="s">
        <v>5319</v>
      </c>
      <c r="G758" t="str">
        <f>_xlfn.IFNA(VLOOKUP(F758,songs!$B$1:$C$1539, 2, FALSE),"")</f>
        <v>China Cat Sunflower</v>
      </c>
      <c r="H758" t="s">
        <v>84</v>
      </c>
    </row>
    <row r="759" spans="1:8" x14ac:dyDescent="0.25">
      <c r="A759">
        <v>758</v>
      </c>
      <c r="B759" t="s">
        <v>1053</v>
      </c>
      <c r="C759" t="s">
        <v>86</v>
      </c>
      <c r="D759" t="str">
        <f t="shared" si="27"/>
        <v/>
      </c>
      <c r="E759" t="str">
        <f t="shared" si="26"/>
        <v>i know you rider</v>
      </c>
      <c r="F759" t="s">
        <v>6020</v>
      </c>
      <c r="G759" t="str">
        <f>_xlfn.IFNA(VLOOKUP(F759,songs!$B$1:$C$1539, 2, FALSE),"")</f>
        <v>I Know You Rider</v>
      </c>
      <c r="H759" t="s">
        <v>86</v>
      </c>
    </row>
    <row r="760" spans="1:8" x14ac:dyDescent="0.25">
      <c r="A760">
        <v>759</v>
      </c>
      <c r="B760" t="s">
        <v>1054</v>
      </c>
      <c r="C760" t="s">
        <v>579</v>
      </c>
      <c r="D760" t="str">
        <f t="shared" si="27"/>
        <v/>
      </c>
      <c r="E760" t="str">
        <f t="shared" si="26"/>
        <v>around and around</v>
      </c>
      <c r="F760" t="s">
        <v>5103</v>
      </c>
      <c r="G760" t="str">
        <f>_xlfn.IFNA(VLOOKUP(F760,songs!$B$1:$C$1539, 2, FALSE),"")</f>
        <v>Around And Around</v>
      </c>
      <c r="H760" t="s">
        <v>579</v>
      </c>
    </row>
    <row r="761" spans="1:8" x14ac:dyDescent="0.25">
      <c r="A761">
        <v>760</v>
      </c>
      <c r="B761" t="s">
        <v>1055</v>
      </c>
      <c r="C761" t="s">
        <v>458</v>
      </c>
      <c r="D761" t="str">
        <f t="shared" si="27"/>
        <v/>
      </c>
      <c r="E761" t="str">
        <f t="shared" si="26"/>
        <v>mississippi half-step uptown toodeloo</v>
      </c>
      <c r="F761" t="s">
        <v>6531</v>
      </c>
      <c r="G761" t="str">
        <f>_xlfn.IFNA(VLOOKUP(F761,songs!$B$1:$C$1539, 2, FALSE),"")</f>
        <v>Mississippi Half-Step Uptown Toodeloo</v>
      </c>
      <c r="H761" t="s">
        <v>458</v>
      </c>
    </row>
    <row r="762" spans="1:8" x14ac:dyDescent="0.25">
      <c r="A762">
        <v>761</v>
      </c>
      <c r="B762" t="s">
        <v>1056</v>
      </c>
      <c r="C762" t="s">
        <v>1057</v>
      </c>
      <c r="D762" t="str">
        <f t="shared" si="27"/>
        <v/>
      </c>
      <c r="E762" t="str">
        <f t="shared" si="26"/>
        <v>it must have been the roses</v>
      </c>
      <c r="F762" t="s">
        <v>6128</v>
      </c>
      <c r="G762" t="str">
        <f>_xlfn.IFNA(VLOOKUP(F762,songs!$B$1:$C$1539, 2, FALSE),"")</f>
        <v>It Must Have Been The Roses</v>
      </c>
      <c r="H762" t="s">
        <v>1057</v>
      </c>
    </row>
    <row r="763" spans="1:8" x14ac:dyDescent="0.25">
      <c r="A763">
        <v>762</v>
      </c>
      <c r="B763" t="s">
        <v>1058</v>
      </c>
      <c r="C763" t="s">
        <v>3</v>
      </c>
      <c r="D763" t="str">
        <f t="shared" si="27"/>
        <v/>
      </c>
      <c r="E763" t="str">
        <f t="shared" si="26"/>
        <v>big river</v>
      </c>
      <c r="F763" t="s">
        <v>5175</v>
      </c>
      <c r="G763" t="str">
        <f>_xlfn.IFNA(VLOOKUP(F763,songs!$B$1:$C$1539, 2, FALSE),"")</f>
        <v>Big River</v>
      </c>
      <c r="H763" t="s">
        <v>3</v>
      </c>
    </row>
    <row r="764" spans="1:8" x14ac:dyDescent="0.25">
      <c r="A764">
        <v>763</v>
      </c>
      <c r="B764" t="s">
        <v>1059</v>
      </c>
      <c r="C764" t="s">
        <v>13</v>
      </c>
      <c r="D764" t="str">
        <f t="shared" si="27"/>
        <v/>
      </c>
      <c r="E764" t="str">
        <f t="shared" si="26"/>
        <v>he's gone</v>
      </c>
      <c r="F764" t="s">
        <v>5903</v>
      </c>
      <c r="G764" t="str">
        <f>_xlfn.IFNA(VLOOKUP(F764,songs!$B$1:$C$1539, 2, FALSE),"")</f>
        <v>He's Gone</v>
      </c>
      <c r="H764" t="s">
        <v>13</v>
      </c>
    </row>
    <row r="765" spans="1:8" x14ac:dyDescent="0.25">
      <c r="A765">
        <v>764</v>
      </c>
      <c r="B765" t="s">
        <v>1060</v>
      </c>
      <c r="C765" t="s">
        <v>15</v>
      </c>
      <c r="D765" t="str">
        <f t="shared" si="27"/>
        <v/>
      </c>
      <c r="E765" t="str">
        <f t="shared" si="26"/>
        <v>truckin'</v>
      </c>
      <c r="F765" t="s">
        <v>7436</v>
      </c>
      <c r="G765" t="str">
        <f>_xlfn.IFNA(VLOOKUP(F765,songs!$B$1:$C$1539, 2, FALSE),"")</f>
        <v>Truckin'</v>
      </c>
      <c r="H765" t="s">
        <v>15</v>
      </c>
    </row>
    <row r="766" spans="1:8" x14ac:dyDescent="0.25">
      <c r="A766">
        <v>765</v>
      </c>
      <c r="B766" t="s">
        <v>1061</v>
      </c>
      <c r="C766" t="s">
        <v>19</v>
      </c>
      <c r="D766" t="str">
        <f t="shared" si="27"/>
        <v/>
      </c>
      <c r="E766" t="str">
        <f t="shared" si="26"/>
        <v>jam</v>
      </c>
      <c r="F766" t="s">
        <v>6165</v>
      </c>
      <c r="G766" t="str">
        <f>_xlfn.IFNA(VLOOKUP(F766,songs!$B$1:$C$1539, 2, FALSE),"")</f>
        <v>Jam</v>
      </c>
      <c r="H766" t="s">
        <v>19</v>
      </c>
    </row>
    <row r="767" spans="1:8" x14ac:dyDescent="0.25">
      <c r="A767">
        <v>810</v>
      </c>
      <c r="B767" t="s">
        <v>1112</v>
      </c>
      <c r="C767" t="s">
        <v>1113</v>
      </c>
      <c r="D767" t="str">
        <f t="shared" si="27"/>
        <v>&gt;</v>
      </c>
      <c r="E767" t="str">
        <f t="shared" si="26"/>
        <v>st. stephen</v>
      </c>
      <c r="F767" t="s">
        <v>6910</v>
      </c>
      <c r="G767" t="str">
        <f>_xlfn.IFNA(VLOOKUP(F767,songs!$B$1:$C$1539, 2, FALSE),"")</f>
        <v>Saint Stephen</v>
      </c>
      <c r="H767" t="s">
        <v>7867</v>
      </c>
    </row>
    <row r="768" spans="1:8" x14ac:dyDescent="0.25">
      <c r="A768">
        <v>767</v>
      </c>
      <c r="B768" t="s">
        <v>1063</v>
      </c>
      <c r="C768" t="s">
        <v>277</v>
      </c>
      <c r="D768" t="str">
        <f t="shared" si="27"/>
        <v/>
      </c>
      <c r="E768" t="str">
        <f t="shared" si="26"/>
        <v>space</v>
      </c>
      <c r="F768" t="s">
        <v>7091</v>
      </c>
      <c r="G768" t="str">
        <f>_xlfn.IFNA(VLOOKUP(F768,songs!$B$1:$C$1539, 2, FALSE),"")</f>
        <v>Space</v>
      </c>
      <c r="H768" t="s">
        <v>277</v>
      </c>
    </row>
    <row r="769" spans="1:8" x14ac:dyDescent="0.25">
      <c r="A769">
        <v>768</v>
      </c>
      <c r="B769" t="s">
        <v>1064</v>
      </c>
      <c r="C769" t="s">
        <v>24</v>
      </c>
      <c r="D769" t="str">
        <f t="shared" si="27"/>
        <v/>
      </c>
      <c r="E769" t="str">
        <f t="shared" si="26"/>
        <v>stella blue</v>
      </c>
      <c r="F769" t="s">
        <v>7123</v>
      </c>
      <c r="G769" t="str">
        <f>_xlfn.IFNA(VLOOKUP(F769,songs!$B$1:$C$1539, 2, FALSE),"")</f>
        <v>Stella Blue</v>
      </c>
      <c r="H769" t="s">
        <v>24</v>
      </c>
    </row>
    <row r="770" spans="1:8" x14ac:dyDescent="0.25">
      <c r="A770">
        <v>769</v>
      </c>
      <c r="B770" t="s">
        <v>1065</v>
      </c>
      <c r="C770" t="s">
        <v>956</v>
      </c>
      <c r="D770" t="str">
        <f t="shared" si="27"/>
        <v/>
      </c>
      <c r="E770" t="str">
        <f t="shared" si="26"/>
        <v>one more saturday night</v>
      </c>
      <c r="F770" t="s">
        <v>6702</v>
      </c>
      <c r="G770" t="str">
        <f>_xlfn.IFNA(VLOOKUP(F770,songs!$B$1:$C$1539, 2, FALSE),"")</f>
        <v>One More Saturday Night</v>
      </c>
      <c r="H770" t="s">
        <v>956</v>
      </c>
    </row>
    <row r="771" spans="1:8" x14ac:dyDescent="0.25">
      <c r="A771">
        <v>770</v>
      </c>
      <c r="B771" t="s">
        <v>1066</v>
      </c>
      <c r="C771" t="s">
        <v>471</v>
      </c>
      <c r="D771" t="str">
        <f t="shared" si="27"/>
        <v/>
      </c>
      <c r="E771" t="str">
        <f t="shared" si="26"/>
        <v>eyes of the world</v>
      </c>
      <c r="F771" t="s">
        <v>5633</v>
      </c>
      <c r="G771" t="str">
        <f>_xlfn.IFNA(VLOOKUP(F771,songs!$B$1:$C$1539, 2, FALSE),"")</f>
        <v>Eyes Of The World</v>
      </c>
      <c r="H771" t="s">
        <v>471</v>
      </c>
    </row>
    <row r="772" spans="1:8" x14ac:dyDescent="0.25">
      <c r="A772">
        <v>771</v>
      </c>
      <c r="B772" t="s">
        <v>1067</v>
      </c>
      <c r="C772" t="s">
        <v>419</v>
      </c>
      <c r="D772" t="str">
        <f t="shared" si="27"/>
        <v/>
      </c>
      <c r="E772" t="str">
        <f t="shared" ref="E772:E835" si="28">LOWER(TRIM(SUBSTITUTE(IF(RIGHT(TRIM(C772),2)="-&gt;",LEFT(TRIM(C772),LEN(TRIM(C772))-2),IF(RIGHT(TRIM(C772),1)="&gt;",LEFT(TRIM(C772),LEN(TRIM(C772))-1),C772)),"//","")))</f>
        <v>playing in the band</v>
      </c>
      <c r="F772" t="s">
        <v>6769</v>
      </c>
      <c r="G772" t="str">
        <f>_xlfn.IFNA(VLOOKUP(F772,songs!$B$1:$C$1539, 2, FALSE),"")</f>
        <v>Playing In The Band</v>
      </c>
      <c r="H772" t="s">
        <v>419</v>
      </c>
    </row>
    <row r="773" spans="1:8" x14ac:dyDescent="0.25">
      <c r="A773">
        <v>772</v>
      </c>
      <c r="B773" t="s">
        <v>1068</v>
      </c>
      <c r="C773" t="s">
        <v>170</v>
      </c>
      <c r="D773" t="str">
        <f t="shared" si="27"/>
        <v/>
      </c>
      <c r="E773" t="str">
        <f t="shared" si="28"/>
        <v>scarlet begonias</v>
      </c>
      <c r="F773" t="s">
        <v>6944</v>
      </c>
      <c r="G773" t="str">
        <f>_xlfn.IFNA(VLOOKUP(F773,songs!$B$1:$C$1539, 2, FALSE),"")</f>
        <v>Scarlet Begonias</v>
      </c>
      <c r="H773" t="s">
        <v>170</v>
      </c>
    </row>
    <row r="774" spans="1:8" x14ac:dyDescent="0.25">
      <c r="A774">
        <v>773</v>
      </c>
      <c r="B774" t="s">
        <v>1069</v>
      </c>
      <c r="C774" t="s">
        <v>419</v>
      </c>
      <c r="D774" t="str">
        <f t="shared" si="27"/>
        <v/>
      </c>
      <c r="E774" t="str">
        <f t="shared" si="28"/>
        <v>playing in the band</v>
      </c>
      <c r="F774" t="s">
        <v>6769</v>
      </c>
      <c r="G774" t="str">
        <f>_xlfn.IFNA(VLOOKUP(F774,songs!$B$1:$C$1539, 2, FALSE),"")</f>
        <v>Playing In The Band</v>
      </c>
      <c r="H774" t="s">
        <v>419</v>
      </c>
    </row>
    <row r="775" spans="1:8" x14ac:dyDescent="0.25">
      <c r="A775">
        <v>774</v>
      </c>
      <c r="B775" t="s">
        <v>1070</v>
      </c>
      <c r="C775" t="s">
        <v>133</v>
      </c>
      <c r="D775" t="str">
        <f t="shared" si="27"/>
        <v/>
      </c>
      <c r="E775" t="str">
        <f t="shared" si="28"/>
        <v>uncle john's band</v>
      </c>
      <c r="F775" t="s">
        <v>7466</v>
      </c>
      <c r="G775" t="str">
        <f>_xlfn.IFNA(VLOOKUP(F775,songs!$B$1:$C$1539, 2, FALSE),"")</f>
        <v>Uncle John's Band</v>
      </c>
      <c r="H775" t="s">
        <v>133</v>
      </c>
    </row>
    <row r="776" spans="1:8" x14ac:dyDescent="0.25">
      <c r="A776">
        <v>775</v>
      </c>
      <c r="B776" t="s">
        <v>1071</v>
      </c>
      <c r="C776" t="s">
        <v>1072</v>
      </c>
      <c r="D776" t="str">
        <f t="shared" si="27"/>
        <v>&gt;</v>
      </c>
      <c r="E776" t="str">
        <f t="shared" si="28"/>
        <v>the music never stopped</v>
      </c>
      <c r="F776" t="s">
        <v>7316</v>
      </c>
      <c r="G776" t="str">
        <f>_xlfn.IFNA(VLOOKUP(F776,songs!$B$1:$C$1539, 2, FALSE),"")</f>
        <v>The Music Never Stopped</v>
      </c>
      <c r="H776" t="s">
        <v>49</v>
      </c>
    </row>
    <row r="777" spans="1:8" x14ac:dyDescent="0.25">
      <c r="A777">
        <v>776</v>
      </c>
      <c r="B777" t="s">
        <v>1073</v>
      </c>
      <c r="C777" t="s">
        <v>1074</v>
      </c>
      <c r="D777" t="str">
        <f t="shared" si="27"/>
        <v>&gt;</v>
      </c>
      <c r="E777" t="str">
        <f t="shared" si="28"/>
        <v>sugaree</v>
      </c>
      <c r="F777" t="s">
        <v>7151</v>
      </c>
      <c r="G777" t="str">
        <f>_xlfn.IFNA(VLOOKUP(F777,songs!$B$1:$C$1539, 2, FALSE),"")</f>
        <v>Sugaree</v>
      </c>
      <c r="H777" t="s">
        <v>51</v>
      </c>
    </row>
    <row r="778" spans="1:8" x14ac:dyDescent="0.25">
      <c r="A778">
        <v>777</v>
      </c>
      <c r="B778" t="s">
        <v>1075</v>
      </c>
      <c r="C778" t="s">
        <v>49</v>
      </c>
      <c r="D778" t="str">
        <f t="shared" si="27"/>
        <v/>
      </c>
      <c r="E778" t="str">
        <f t="shared" si="28"/>
        <v>the music never stopped</v>
      </c>
      <c r="F778" t="s">
        <v>7316</v>
      </c>
      <c r="G778" t="str">
        <f>_xlfn.IFNA(VLOOKUP(F778,songs!$B$1:$C$1539, 2, FALSE),"")</f>
        <v>The Music Never Stopped</v>
      </c>
      <c r="H778" t="s">
        <v>49</v>
      </c>
    </row>
    <row r="779" spans="1:8" x14ac:dyDescent="0.25">
      <c r="A779">
        <v>778</v>
      </c>
      <c r="B779" t="s">
        <v>1076</v>
      </c>
      <c r="C779" t="s">
        <v>672</v>
      </c>
      <c r="D779" t="str">
        <f t="shared" si="27"/>
        <v>&gt;</v>
      </c>
      <c r="E779" t="str">
        <f t="shared" si="28"/>
        <v>me and my uncle</v>
      </c>
      <c r="F779" t="s">
        <v>6486</v>
      </c>
      <c r="G779" t="str">
        <f>_xlfn.IFNA(VLOOKUP(F779,songs!$B$1:$C$1539, 2, FALSE),"")</f>
        <v>Me And My Uncle</v>
      </c>
      <c r="H779" t="s">
        <v>903</v>
      </c>
    </row>
    <row r="780" spans="1:8" x14ac:dyDescent="0.25">
      <c r="A780">
        <v>779</v>
      </c>
      <c r="B780" t="s">
        <v>1077</v>
      </c>
      <c r="C780" t="s">
        <v>3</v>
      </c>
      <c r="D780" t="str">
        <f t="shared" si="27"/>
        <v/>
      </c>
      <c r="E780" t="str">
        <f t="shared" si="28"/>
        <v>big river</v>
      </c>
      <c r="F780" t="s">
        <v>5175</v>
      </c>
      <c r="G780" t="str">
        <f>_xlfn.IFNA(VLOOKUP(F780,songs!$B$1:$C$1539, 2, FALSE),"")</f>
        <v>Big River</v>
      </c>
      <c r="H780" t="s">
        <v>3</v>
      </c>
    </row>
    <row r="781" spans="1:8" x14ac:dyDescent="0.25">
      <c r="A781">
        <v>780</v>
      </c>
      <c r="B781" t="s">
        <v>1078</v>
      </c>
      <c r="C781" t="s">
        <v>1057</v>
      </c>
      <c r="D781" t="str">
        <f t="shared" si="27"/>
        <v/>
      </c>
      <c r="E781" t="str">
        <f t="shared" si="28"/>
        <v>it must have been the roses</v>
      </c>
      <c r="F781" t="s">
        <v>6128</v>
      </c>
      <c r="G781" t="str">
        <f>_xlfn.IFNA(VLOOKUP(F781,songs!$B$1:$C$1539, 2, FALSE),"")</f>
        <v>It Must Have Been The Roses</v>
      </c>
      <c r="H781" t="s">
        <v>1057</v>
      </c>
    </row>
    <row r="782" spans="1:8" x14ac:dyDescent="0.25">
      <c r="A782">
        <v>781</v>
      </c>
      <c r="B782" t="s">
        <v>1079</v>
      </c>
      <c r="C782" t="s">
        <v>115</v>
      </c>
      <c r="D782" t="str">
        <f t="shared" si="27"/>
        <v/>
      </c>
      <c r="E782" t="str">
        <f t="shared" si="28"/>
        <v>c.c. rider</v>
      </c>
      <c r="F782" t="s">
        <v>5273</v>
      </c>
      <c r="G782" t="str">
        <f>_xlfn.IFNA(VLOOKUP(F782,songs!$B$1:$C$1539, 2, FALSE),"")</f>
        <v>C.C. Rider</v>
      </c>
      <c r="H782" t="s">
        <v>115</v>
      </c>
    </row>
    <row r="783" spans="1:8" x14ac:dyDescent="0.25">
      <c r="A783">
        <v>782</v>
      </c>
      <c r="B783" t="s">
        <v>1080</v>
      </c>
      <c r="C783" t="s">
        <v>436</v>
      </c>
      <c r="D783" t="str">
        <f t="shared" si="27"/>
        <v/>
      </c>
      <c r="E783" t="str">
        <f t="shared" si="28"/>
        <v>ramble on rose</v>
      </c>
      <c r="F783" t="s">
        <v>6827</v>
      </c>
      <c r="G783" t="str">
        <f>_xlfn.IFNA(VLOOKUP(F783,songs!$B$1:$C$1539, 2, FALSE),"")</f>
        <v>Ramble On Rose</v>
      </c>
      <c r="H783" t="s">
        <v>436</v>
      </c>
    </row>
    <row r="784" spans="1:8" x14ac:dyDescent="0.25">
      <c r="A784">
        <v>783</v>
      </c>
      <c r="B784" t="s">
        <v>1081</v>
      </c>
      <c r="C784" t="s">
        <v>1082</v>
      </c>
      <c r="D784" t="str">
        <f t="shared" si="27"/>
        <v>&gt;</v>
      </c>
      <c r="E784" t="str">
        <f t="shared" si="28"/>
        <v>beat it on down the line</v>
      </c>
      <c r="F784" t="s">
        <v>5149</v>
      </c>
      <c r="G784" t="str">
        <f>_xlfn.IFNA(VLOOKUP(F784,songs!$B$1:$C$1539, 2, FALSE),"")</f>
        <v>Beat It On Down The Line</v>
      </c>
      <c r="H784" t="s">
        <v>431</v>
      </c>
    </row>
    <row r="785" spans="1:8" x14ac:dyDescent="0.25">
      <c r="A785">
        <v>784</v>
      </c>
      <c r="B785" t="s">
        <v>1083</v>
      </c>
      <c r="C785" t="s">
        <v>1084</v>
      </c>
      <c r="D785" t="str">
        <f t="shared" si="27"/>
        <v/>
      </c>
      <c r="E785" t="str">
        <f t="shared" si="28"/>
        <v>on the road again</v>
      </c>
      <c r="F785" t="s">
        <v>6692</v>
      </c>
      <c r="G785" t="str">
        <f>_xlfn.IFNA(VLOOKUP(F785,songs!$B$1:$C$1539, 2, FALSE),"")</f>
        <v>On The Road Again</v>
      </c>
      <c r="H785" t="s">
        <v>1084</v>
      </c>
    </row>
    <row r="786" spans="1:8" x14ac:dyDescent="0.25">
      <c r="A786">
        <v>785</v>
      </c>
      <c r="B786" t="s">
        <v>1085</v>
      </c>
      <c r="C786" t="s">
        <v>161</v>
      </c>
      <c r="D786" t="str">
        <f t="shared" si="27"/>
        <v/>
      </c>
      <c r="E786" t="str">
        <f t="shared" si="28"/>
        <v>althea</v>
      </c>
      <c r="F786" t="s">
        <v>5073</v>
      </c>
      <c r="G786" t="str">
        <f>_xlfn.IFNA(VLOOKUP(F786,songs!$B$1:$C$1539, 2, FALSE),"")</f>
        <v>Althea</v>
      </c>
      <c r="H786" t="s">
        <v>161</v>
      </c>
    </row>
    <row r="787" spans="1:8" x14ac:dyDescent="0.25">
      <c r="A787">
        <v>786</v>
      </c>
      <c r="B787" t="s">
        <v>1086</v>
      </c>
      <c r="C787" t="s">
        <v>389</v>
      </c>
      <c r="D787" t="str">
        <f t="shared" si="27"/>
        <v/>
      </c>
      <c r="E787" t="str">
        <f t="shared" si="28"/>
        <v>let it grow</v>
      </c>
      <c r="F787" t="s">
        <v>6308</v>
      </c>
      <c r="G787" t="str">
        <f>_xlfn.IFNA(VLOOKUP(F787,songs!$B$1:$C$1539, 2, FALSE),"")</f>
        <v>Let It Grow</v>
      </c>
      <c r="H787" t="s">
        <v>389</v>
      </c>
    </row>
    <row r="788" spans="1:8" x14ac:dyDescent="0.25">
      <c r="A788">
        <v>787</v>
      </c>
      <c r="B788" t="s">
        <v>1087</v>
      </c>
      <c r="C788" t="s">
        <v>84</v>
      </c>
      <c r="D788" t="str">
        <f t="shared" si="27"/>
        <v/>
      </c>
      <c r="E788" t="str">
        <f t="shared" si="28"/>
        <v>china cat sunflower</v>
      </c>
      <c r="F788" t="s">
        <v>5319</v>
      </c>
      <c r="G788" t="str">
        <f>_xlfn.IFNA(VLOOKUP(F788,songs!$B$1:$C$1539, 2, FALSE),"")</f>
        <v>China Cat Sunflower</v>
      </c>
      <c r="H788" t="s">
        <v>84</v>
      </c>
    </row>
    <row r="789" spans="1:8" x14ac:dyDescent="0.25">
      <c r="A789">
        <v>788</v>
      </c>
      <c r="B789" t="s">
        <v>1088</v>
      </c>
      <c r="C789" t="s">
        <v>86</v>
      </c>
      <c r="D789" t="str">
        <f t="shared" ref="D789:D852" si="29">IF(RIGHT(TRIM(C789),2)="-&gt;","&gt;",IF(RIGHT(TRIM(C789),1)="&gt;","&gt;",""))</f>
        <v/>
      </c>
      <c r="E789" t="str">
        <f t="shared" si="28"/>
        <v>i know you rider</v>
      </c>
      <c r="F789" t="s">
        <v>6020</v>
      </c>
      <c r="G789" t="str">
        <f>_xlfn.IFNA(VLOOKUP(F789,songs!$B$1:$C$1539, 2, FALSE),"")</f>
        <v>I Know You Rider</v>
      </c>
      <c r="H789" t="s">
        <v>86</v>
      </c>
    </row>
    <row r="790" spans="1:8" x14ac:dyDescent="0.25">
      <c r="A790">
        <v>812</v>
      </c>
      <c r="B790" t="s">
        <v>1115</v>
      </c>
      <c r="C790" t="s">
        <v>1113</v>
      </c>
      <c r="D790" t="str">
        <f t="shared" si="29"/>
        <v>&gt;</v>
      </c>
      <c r="E790" t="str">
        <f t="shared" si="28"/>
        <v>st. stephen</v>
      </c>
      <c r="F790" t="s">
        <v>6910</v>
      </c>
      <c r="G790" t="str">
        <f>_xlfn.IFNA(VLOOKUP(F790,songs!$B$1:$C$1539, 2, FALSE),"")</f>
        <v>Saint Stephen</v>
      </c>
      <c r="H790" t="s">
        <v>7867</v>
      </c>
    </row>
    <row r="791" spans="1:8" x14ac:dyDescent="0.25">
      <c r="A791">
        <v>790</v>
      </c>
      <c r="B791" t="s">
        <v>1091</v>
      </c>
      <c r="C791" t="s">
        <v>866</v>
      </c>
      <c r="D791" t="str">
        <f t="shared" si="29"/>
        <v/>
      </c>
      <c r="E791" t="str">
        <f t="shared" si="28"/>
        <v>ship of fools</v>
      </c>
      <c r="F791" t="s">
        <v>6999</v>
      </c>
      <c r="G791" t="str">
        <f>_xlfn.IFNA(VLOOKUP(F791,songs!$B$1:$C$1539, 2, FALSE),"")</f>
        <v>Ship Of Fools</v>
      </c>
      <c r="H791" t="s">
        <v>866</v>
      </c>
    </row>
    <row r="792" spans="1:8" x14ac:dyDescent="0.25">
      <c r="A792">
        <v>791</v>
      </c>
      <c r="B792" t="s">
        <v>1092</v>
      </c>
      <c r="C792" t="s">
        <v>419</v>
      </c>
      <c r="D792" t="str">
        <f t="shared" si="29"/>
        <v/>
      </c>
      <c r="E792" t="str">
        <f t="shared" si="28"/>
        <v>playing in the band</v>
      </c>
      <c r="F792" t="s">
        <v>6769</v>
      </c>
      <c r="G792" t="str">
        <f>_xlfn.IFNA(VLOOKUP(F792,songs!$B$1:$C$1539, 2, FALSE),"")</f>
        <v>Playing In The Band</v>
      </c>
      <c r="H792" t="s">
        <v>419</v>
      </c>
    </row>
    <row r="793" spans="1:8" x14ac:dyDescent="0.25">
      <c r="A793">
        <v>792</v>
      </c>
      <c r="B793" t="s">
        <v>1093</v>
      </c>
      <c r="C793" t="s">
        <v>100</v>
      </c>
      <c r="D793" t="str">
        <f t="shared" si="29"/>
        <v/>
      </c>
      <c r="E793" t="str">
        <f t="shared" si="28"/>
        <v>drums</v>
      </c>
      <c r="F793" t="s">
        <v>5568</v>
      </c>
      <c r="G793" t="str">
        <f>_xlfn.IFNA(VLOOKUP(F793,songs!$B$1:$C$1539, 2, FALSE),"")</f>
        <v>Drums</v>
      </c>
      <c r="H793" t="s">
        <v>100</v>
      </c>
    </row>
    <row r="794" spans="1:8" x14ac:dyDescent="0.25">
      <c r="A794">
        <v>793</v>
      </c>
      <c r="B794" t="s">
        <v>1094</v>
      </c>
      <c r="C794" t="s">
        <v>277</v>
      </c>
      <c r="D794" t="str">
        <f t="shared" si="29"/>
        <v/>
      </c>
      <c r="E794" t="str">
        <f t="shared" si="28"/>
        <v>space</v>
      </c>
      <c r="F794" t="s">
        <v>7091</v>
      </c>
      <c r="G794" t="str">
        <f>_xlfn.IFNA(VLOOKUP(F794,songs!$B$1:$C$1539, 2, FALSE),"")</f>
        <v>Space</v>
      </c>
      <c r="H794" t="s">
        <v>277</v>
      </c>
    </row>
    <row r="795" spans="1:8" x14ac:dyDescent="0.25">
      <c r="A795">
        <v>794</v>
      </c>
      <c r="B795" t="s">
        <v>1095</v>
      </c>
      <c r="C795" t="s">
        <v>567</v>
      </c>
      <c r="D795" t="str">
        <f t="shared" si="29"/>
        <v/>
      </c>
      <c r="E795" t="str">
        <f t="shared" si="28"/>
        <v>the wheel</v>
      </c>
      <c r="F795" t="s">
        <v>7343</v>
      </c>
      <c r="G795" t="str">
        <f>_xlfn.IFNA(VLOOKUP(F795,songs!$B$1:$C$1539, 2, FALSE),"")</f>
        <v>The Wheel</v>
      </c>
      <c r="H795" t="s">
        <v>567</v>
      </c>
    </row>
    <row r="796" spans="1:8" x14ac:dyDescent="0.25">
      <c r="A796">
        <v>795</v>
      </c>
      <c r="B796" t="s">
        <v>1096</v>
      </c>
      <c r="C796" t="s">
        <v>419</v>
      </c>
      <c r="D796" t="str">
        <f t="shared" si="29"/>
        <v/>
      </c>
      <c r="E796" t="str">
        <f t="shared" si="28"/>
        <v>playing in the band</v>
      </c>
      <c r="F796" t="s">
        <v>6769</v>
      </c>
      <c r="G796" t="str">
        <f>_xlfn.IFNA(VLOOKUP(F796,songs!$B$1:$C$1539, 2, FALSE),"")</f>
        <v>Playing In The Band</v>
      </c>
      <c r="H796" t="s">
        <v>419</v>
      </c>
    </row>
    <row r="797" spans="1:8" x14ac:dyDescent="0.25">
      <c r="A797">
        <v>796</v>
      </c>
      <c r="B797" t="s">
        <v>1097</v>
      </c>
      <c r="C797" t="s">
        <v>212</v>
      </c>
      <c r="D797" t="str">
        <f t="shared" si="29"/>
        <v/>
      </c>
      <c r="E797" t="str">
        <f t="shared" si="28"/>
        <v>morning dew</v>
      </c>
      <c r="F797" t="s">
        <v>6555</v>
      </c>
      <c r="G797" t="str">
        <f>_xlfn.IFNA(VLOOKUP(F797,songs!$B$1:$C$1539, 2, FALSE),"")</f>
        <v>Morning Dew</v>
      </c>
      <c r="H797" t="s">
        <v>212</v>
      </c>
    </row>
    <row r="798" spans="1:8" x14ac:dyDescent="0.25">
      <c r="A798">
        <v>797</v>
      </c>
      <c r="B798" t="s">
        <v>1098</v>
      </c>
      <c r="C798" t="s">
        <v>956</v>
      </c>
      <c r="D798" t="str">
        <f t="shared" si="29"/>
        <v/>
      </c>
      <c r="E798" t="str">
        <f t="shared" si="28"/>
        <v>one more saturday night</v>
      </c>
      <c r="F798" t="s">
        <v>6702</v>
      </c>
      <c r="G798" t="str">
        <f>_xlfn.IFNA(VLOOKUP(F798,songs!$B$1:$C$1539, 2, FALSE),"")</f>
        <v>One More Saturday Night</v>
      </c>
      <c r="H798" t="s">
        <v>956</v>
      </c>
    </row>
    <row r="799" spans="1:8" x14ac:dyDescent="0.25">
      <c r="A799">
        <v>798</v>
      </c>
      <c r="B799" t="s">
        <v>1099</v>
      </c>
      <c r="C799" t="s">
        <v>183</v>
      </c>
      <c r="D799" t="str">
        <f t="shared" si="29"/>
        <v/>
      </c>
      <c r="E799" t="str">
        <f t="shared" si="28"/>
        <v>u.s. blues</v>
      </c>
      <c r="F799" t="s">
        <v>7464</v>
      </c>
      <c r="G799" t="str">
        <f>_xlfn.IFNA(VLOOKUP(F799,songs!$B$1:$C$1539, 2, FALSE),"")</f>
        <v>U.S. Blues</v>
      </c>
      <c r="H799" t="s">
        <v>183</v>
      </c>
    </row>
    <row r="800" spans="1:8" x14ac:dyDescent="0.25">
      <c r="A800">
        <v>799</v>
      </c>
      <c r="B800" t="s">
        <v>1100</v>
      </c>
      <c r="C800" t="s">
        <v>130</v>
      </c>
      <c r="D800" t="str">
        <f t="shared" si="29"/>
        <v/>
      </c>
      <c r="E800" t="str">
        <f t="shared" si="28"/>
        <v>promised land</v>
      </c>
      <c r="F800" t="s">
        <v>6797</v>
      </c>
      <c r="G800" t="str">
        <f>_xlfn.IFNA(VLOOKUP(F800,songs!$B$1:$C$1539, 2, FALSE),"")</f>
        <v>Promised Land</v>
      </c>
      <c r="H800" t="s">
        <v>130</v>
      </c>
    </row>
    <row r="801" spans="1:8" x14ac:dyDescent="0.25">
      <c r="A801">
        <v>800</v>
      </c>
      <c r="B801" t="s">
        <v>1101</v>
      </c>
      <c r="C801" t="s">
        <v>458</v>
      </c>
      <c r="D801" t="str">
        <f t="shared" si="29"/>
        <v/>
      </c>
      <c r="E801" t="str">
        <f t="shared" si="28"/>
        <v>mississippi half-step uptown toodeloo</v>
      </c>
      <c r="F801" t="s">
        <v>6531</v>
      </c>
      <c r="G801" t="str">
        <f>_xlfn.IFNA(VLOOKUP(F801,songs!$B$1:$C$1539, 2, FALSE),"")</f>
        <v>Mississippi Half-Step Uptown Toodeloo</v>
      </c>
      <c r="H801" t="s">
        <v>458</v>
      </c>
    </row>
    <row r="802" spans="1:8" x14ac:dyDescent="0.25">
      <c r="A802">
        <v>801</v>
      </c>
      <c r="B802" t="s">
        <v>1102</v>
      </c>
      <c r="C802" t="s">
        <v>262</v>
      </c>
      <c r="D802" t="str">
        <f t="shared" si="29"/>
        <v/>
      </c>
      <c r="E802" t="str">
        <f t="shared" si="28"/>
        <v>cassidy</v>
      </c>
      <c r="F802" t="s">
        <v>5291</v>
      </c>
      <c r="G802" t="str">
        <f>_xlfn.IFNA(VLOOKUP(F802,songs!$B$1:$C$1539, 2, FALSE),"")</f>
        <v>Cassidy</v>
      </c>
      <c r="H802" t="s">
        <v>262</v>
      </c>
    </row>
    <row r="803" spans="1:8" x14ac:dyDescent="0.25">
      <c r="A803">
        <v>802</v>
      </c>
      <c r="B803" t="s">
        <v>1103</v>
      </c>
      <c r="C803" t="s">
        <v>164</v>
      </c>
      <c r="D803" t="str">
        <f t="shared" si="29"/>
        <v/>
      </c>
      <c r="E803" t="str">
        <f t="shared" si="28"/>
        <v>tennessee jed</v>
      </c>
      <c r="F803" t="s">
        <v>7234</v>
      </c>
      <c r="G803" t="str">
        <f>_xlfn.IFNA(VLOOKUP(F803,songs!$B$1:$C$1539, 2, FALSE),"")</f>
        <v>Tennessee Jed</v>
      </c>
      <c r="H803" t="s">
        <v>164</v>
      </c>
    </row>
    <row r="804" spans="1:8" x14ac:dyDescent="0.25">
      <c r="A804">
        <v>803</v>
      </c>
      <c r="B804" t="s">
        <v>1104</v>
      </c>
      <c r="C804" t="s">
        <v>126</v>
      </c>
      <c r="D804" t="str">
        <f t="shared" si="29"/>
        <v/>
      </c>
      <c r="E804" t="str">
        <f t="shared" si="28"/>
        <v>looks like rain</v>
      </c>
      <c r="F804" t="s">
        <v>6398</v>
      </c>
      <c r="G804" t="str">
        <f>_xlfn.IFNA(VLOOKUP(F804,songs!$B$1:$C$1539, 2, FALSE),"")</f>
        <v>Looks Like Rain</v>
      </c>
      <c r="H804" t="s">
        <v>126</v>
      </c>
    </row>
    <row r="805" spans="1:8" x14ac:dyDescent="0.25">
      <c r="A805">
        <v>804</v>
      </c>
      <c r="B805" t="s">
        <v>1105</v>
      </c>
      <c r="C805" t="s">
        <v>156</v>
      </c>
      <c r="D805" t="str">
        <f t="shared" si="29"/>
        <v/>
      </c>
      <c r="E805" t="str">
        <f t="shared" si="28"/>
        <v>they love each other</v>
      </c>
      <c r="F805" t="s">
        <v>7358</v>
      </c>
      <c r="G805" t="str">
        <f>_xlfn.IFNA(VLOOKUP(F805,songs!$B$1:$C$1539, 2, FALSE),"")</f>
        <v>They Love Each Other</v>
      </c>
      <c r="H805" t="s">
        <v>156</v>
      </c>
    </row>
    <row r="806" spans="1:8" x14ac:dyDescent="0.25">
      <c r="A806">
        <v>814</v>
      </c>
      <c r="B806" t="s">
        <v>1117</v>
      </c>
      <c r="C806" t="s">
        <v>1118</v>
      </c>
      <c r="D806" t="str">
        <f t="shared" si="29"/>
        <v>&gt;</v>
      </c>
      <c r="E806" t="str">
        <f t="shared" si="28"/>
        <v>slipknot</v>
      </c>
      <c r="F806" t="s">
        <v>7035</v>
      </c>
      <c r="G806" t="str">
        <f>_xlfn.IFNA(VLOOKUP(F806,songs!$B$1:$C$1539, 2, FALSE),"")</f>
        <v>Slipknot!</v>
      </c>
      <c r="H806" t="s">
        <v>7867</v>
      </c>
    </row>
    <row r="807" spans="1:8" x14ac:dyDescent="0.25">
      <c r="A807">
        <v>806</v>
      </c>
      <c r="B807" t="s">
        <v>1107</v>
      </c>
      <c r="C807" t="s">
        <v>170</v>
      </c>
      <c r="D807" t="str">
        <f t="shared" si="29"/>
        <v/>
      </c>
      <c r="E807" t="str">
        <f t="shared" si="28"/>
        <v>scarlet begonias</v>
      </c>
      <c r="F807" t="s">
        <v>6944</v>
      </c>
      <c r="G807" t="str">
        <f>_xlfn.IFNA(VLOOKUP(F807,songs!$B$1:$C$1539, 2, FALSE),"")</f>
        <v>Scarlet Begonias</v>
      </c>
      <c r="H807" t="s">
        <v>170</v>
      </c>
    </row>
    <row r="808" spans="1:8" x14ac:dyDescent="0.25">
      <c r="A808">
        <v>816</v>
      </c>
      <c r="B808" t="s">
        <v>1120</v>
      </c>
      <c r="C808" t="s">
        <v>1121</v>
      </c>
      <c r="D808" t="str">
        <f t="shared" si="29"/>
        <v>&gt;</v>
      </c>
      <c r="E808" t="str">
        <f t="shared" si="28"/>
        <v>samson &amp; delilah</v>
      </c>
      <c r="F808" t="s">
        <v>6925</v>
      </c>
      <c r="G808" t="str">
        <f>_xlfn.IFNA(VLOOKUP(F808,songs!$B$1:$C$1539, 2, FALSE),"")</f>
        <v>Samson And Delilah</v>
      </c>
      <c r="H808" t="s">
        <v>7867</v>
      </c>
    </row>
    <row r="809" spans="1:8" x14ac:dyDescent="0.25">
      <c r="A809">
        <v>808</v>
      </c>
      <c r="B809" t="s">
        <v>1110</v>
      </c>
      <c r="C809" t="s">
        <v>55</v>
      </c>
      <c r="D809" t="str">
        <f t="shared" si="29"/>
        <v/>
      </c>
      <c r="E809" t="str">
        <f t="shared" si="28"/>
        <v>supplication</v>
      </c>
      <c r="F809" t="s">
        <v>7162</v>
      </c>
      <c r="G809" t="str">
        <f>_xlfn.IFNA(VLOOKUP(F809,songs!$B$1:$C$1539, 2, FALSE),"")</f>
        <v>Supplication</v>
      </c>
      <c r="H809" t="s">
        <v>55</v>
      </c>
    </row>
    <row r="810" spans="1:8" x14ac:dyDescent="0.25">
      <c r="A810">
        <v>809</v>
      </c>
      <c r="B810" t="s">
        <v>1111</v>
      </c>
      <c r="C810" t="s">
        <v>51</v>
      </c>
      <c r="D810" t="str">
        <f t="shared" si="29"/>
        <v/>
      </c>
      <c r="E810" t="str">
        <f t="shared" si="28"/>
        <v>sugaree</v>
      </c>
      <c r="F810" t="s">
        <v>7151</v>
      </c>
      <c r="G810" t="str">
        <f>_xlfn.IFNA(VLOOKUP(F810,songs!$B$1:$C$1539, 2, FALSE),"")</f>
        <v>Sugaree</v>
      </c>
      <c r="H810" t="s">
        <v>51</v>
      </c>
    </row>
    <row r="811" spans="1:8" x14ac:dyDescent="0.25">
      <c r="A811">
        <v>817</v>
      </c>
      <c r="B811" t="s">
        <v>1122</v>
      </c>
      <c r="C811" t="s">
        <v>1118</v>
      </c>
      <c r="D811" t="str">
        <f t="shared" si="29"/>
        <v>&gt;</v>
      </c>
      <c r="E811" t="str">
        <f t="shared" si="28"/>
        <v>slipknot</v>
      </c>
      <c r="F811" t="s">
        <v>7035</v>
      </c>
      <c r="G811" t="str">
        <f>_xlfn.IFNA(VLOOKUP(F811,songs!$B$1:$C$1539, 2, FALSE),"")</f>
        <v>Slipknot!</v>
      </c>
      <c r="H811" t="s">
        <v>7867</v>
      </c>
    </row>
    <row r="812" spans="1:8" x14ac:dyDescent="0.25">
      <c r="A812">
        <v>811</v>
      </c>
      <c r="B812" t="s">
        <v>1114</v>
      </c>
      <c r="C812" t="s">
        <v>905</v>
      </c>
      <c r="D812" t="str">
        <f t="shared" si="29"/>
        <v>&gt;</v>
      </c>
      <c r="E812" t="str">
        <f t="shared" si="28"/>
        <v>not fade away</v>
      </c>
      <c r="F812" t="s">
        <v>6651</v>
      </c>
      <c r="G812" t="str">
        <f>_xlfn.IFNA(VLOOKUP(F812,songs!$B$1:$C$1539, 2, FALSE),"")</f>
        <v>Not Fade Away</v>
      </c>
      <c r="H812" t="s">
        <v>34</v>
      </c>
    </row>
    <row r="813" spans="1:8" x14ac:dyDescent="0.25">
      <c r="A813">
        <v>830</v>
      </c>
      <c r="B813" t="s">
        <v>1136</v>
      </c>
      <c r="C813" t="s">
        <v>626</v>
      </c>
      <c r="D813" t="str">
        <f t="shared" si="29"/>
        <v/>
      </c>
      <c r="E813" t="str">
        <f t="shared" si="28"/>
        <v>dancing in the streets</v>
      </c>
      <c r="F813" t="s">
        <v>5418</v>
      </c>
      <c r="G813" t="str">
        <f>_xlfn.IFNA(VLOOKUP(F813,songs!$B$1:$C$1539, 2, FALSE),"")</f>
        <v>Dancin' In The Streets</v>
      </c>
      <c r="H813" t="s">
        <v>7867</v>
      </c>
    </row>
    <row r="814" spans="1:8" x14ac:dyDescent="0.25">
      <c r="A814">
        <v>813</v>
      </c>
      <c r="B814" t="s">
        <v>1116</v>
      </c>
      <c r="C814" t="s">
        <v>509</v>
      </c>
      <c r="D814" t="str">
        <f t="shared" si="29"/>
        <v>&gt;</v>
      </c>
      <c r="E814" t="str">
        <f t="shared" si="28"/>
        <v>help on the way</v>
      </c>
      <c r="F814" t="s">
        <v>5895</v>
      </c>
      <c r="G814" t="str">
        <f>_xlfn.IFNA(VLOOKUP(F814,songs!$B$1:$C$1539, 2, FALSE),"")</f>
        <v>Help On The Way</v>
      </c>
      <c r="H814" t="s">
        <v>1382</v>
      </c>
    </row>
    <row r="815" spans="1:8" x14ac:dyDescent="0.25">
      <c r="A815">
        <v>832</v>
      </c>
      <c r="B815" t="s">
        <v>1138</v>
      </c>
      <c r="C815" t="s">
        <v>626</v>
      </c>
      <c r="D815" t="str">
        <f t="shared" si="29"/>
        <v/>
      </c>
      <c r="E815" t="str">
        <f t="shared" si="28"/>
        <v>dancing in the streets</v>
      </c>
      <c r="F815" t="s">
        <v>5418</v>
      </c>
      <c r="G815" t="str">
        <f>_xlfn.IFNA(VLOOKUP(F815,songs!$B$1:$C$1539, 2, FALSE),"")</f>
        <v>Dancin' In The Streets</v>
      </c>
      <c r="H815" t="s">
        <v>7867</v>
      </c>
    </row>
    <row r="816" spans="1:8" x14ac:dyDescent="0.25">
      <c r="A816">
        <v>815</v>
      </c>
      <c r="B816" t="s">
        <v>1119</v>
      </c>
      <c r="C816" t="s">
        <v>275</v>
      </c>
      <c r="D816" t="str">
        <f t="shared" si="29"/>
        <v>&gt;</v>
      </c>
      <c r="E816" t="str">
        <f t="shared" si="28"/>
        <v>drums</v>
      </c>
      <c r="F816" t="s">
        <v>5568</v>
      </c>
      <c r="G816" t="str">
        <f>_xlfn.IFNA(VLOOKUP(F816,songs!$B$1:$C$1539, 2, FALSE),"")</f>
        <v>Drums</v>
      </c>
      <c r="H816" t="s">
        <v>100</v>
      </c>
    </row>
    <row r="817" spans="1:8" x14ac:dyDescent="0.25">
      <c r="A817">
        <v>833</v>
      </c>
      <c r="B817" t="s">
        <v>1139</v>
      </c>
      <c r="C817" t="s">
        <v>473</v>
      </c>
      <c r="D817" t="str">
        <f t="shared" si="29"/>
        <v/>
      </c>
      <c r="E817" t="str">
        <f t="shared" si="28"/>
        <v>samson &amp; delilah</v>
      </c>
      <c r="F817" t="s">
        <v>6925</v>
      </c>
      <c r="G817" t="str">
        <f>_xlfn.IFNA(VLOOKUP(F817,songs!$B$1:$C$1539, 2, FALSE),"")</f>
        <v>Samson And Delilah</v>
      </c>
      <c r="H817" t="s">
        <v>7867</v>
      </c>
    </row>
    <row r="818" spans="1:8" x14ac:dyDescent="0.25">
      <c r="A818">
        <v>834</v>
      </c>
      <c r="B818" t="s">
        <v>1140</v>
      </c>
      <c r="C818" t="s">
        <v>120</v>
      </c>
      <c r="D818" t="str">
        <f t="shared" si="29"/>
        <v/>
      </c>
      <c r="E818" t="str">
        <f t="shared" si="28"/>
        <v>brown-eyed woman</v>
      </c>
      <c r="F818" t="s">
        <v>5255</v>
      </c>
      <c r="G818" t="str">
        <f>_xlfn.IFNA(VLOOKUP(F818,songs!$B$1:$C$1539, 2, FALSE),"")</f>
        <v>Brown Eyed Women</v>
      </c>
      <c r="H818" t="s">
        <v>7867</v>
      </c>
    </row>
    <row r="819" spans="1:8" x14ac:dyDescent="0.25">
      <c r="A819">
        <v>818</v>
      </c>
      <c r="B819" t="s">
        <v>1123</v>
      </c>
      <c r="C819" t="s">
        <v>513</v>
      </c>
      <c r="D819" t="str">
        <f t="shared" si="29"/>
        <v>&gt;</v>
      </c>
      <c r="E819" t="str">
        <f t="shared" si="28"/>
        <v>franklin's tower</v>
      </c>
      <c r="F819" t="s">
        <v>5712</v>
      </c>
      <c r="G819" t="str">
        <f>_xlfn.IFNA(VLOOKUP(F819,songs!$B$1:$C$1539, 2, FALSE),"")</f>
        <v>Franklin's Tower</v>
      </c>
      <c r="H819" t="s">
        <v>63</v>
      </c>
    </row>
    <row r="820" spans="1:8" x14ac:dyDescent="0.25">
      <c r="A820">
        <v>819</v>
      </c>
      <c r="B820" t="s">
        <v>1124</v>
      </c>
      <c r="C820" t="s">
        <v>956</v>
      </c>
      <c r="D820" t="str">
        <f t="shared" si="29"/>
        <v/>
      </c>
      <c r="E820" t="str">
        <f t="shared" si="28"/>
        <v>one more saturday night</v>
      </c>
      <c r="F820" t="s">
        <v>6702</v>
      </c>
      <c r="G820" t="str">
        <f>_xlfn.IFNA(VLOOKUP(F820,songs!$B$1:$C$1539, 2, FALSE),"")</f>
        <v>One More Saturday Night</v>
      </c>
      <c r="H820" t="s">
        <v>956</v>
      </c>
    </row>
    <row r="821" spans="1:8" x14ac:dyDescent="0.25">
      <c r="A821">
        <v>820</v>
      </c>
      <c r="B821" t="s">
        <v>1125</v>
      </c>
      <c r="C821" t="s">
        <v>183</v>
      </c>
      <c r="D821" t="str">
        <f t="shared" si="29"/>
        <v/>
      </c>
      <c r="E821" t="str">
        <f t="shared" si="28"/>
        <v>u.s. blues</v>
      </c>
      <c r="F821" t="s">
        <v>7464</v>
      </c>
      <c r="G821" t="str">
        <f>_xlfn.IFNA(VLOOKUP(F821,songs!$B$1:$C$1539, 2, FALSE),"")</f>
        <v>U.S. Blues</v>
      </c>
      <c r="H821" t="s">
        <v>183</v>
      </c>
    </row>
    <row r="822" spans="1:8" x14ac:dyDescent="0.25">
      <c r="A822">
        <v>821</v>
      </c>
      <c r="B822" t="s">
        <v>1126</v>
      </c>
      <c r="C822" t="s">
        <v>1127</v>
      </c>
      <c r="D822" t="str">
        <f t="shared" si="29"/>
        <v/>
      </c>
      <c r="E822" t="str">
        <f t="shared" si="28"/>
        <v>might as well</v>
      </c>
      <c r="F822" t="s">
        <v>6518</v>
      </c>
      <c r="G822" t="str">
        <f>_xlfn.IFNA(VLOOKUP(F822,songs!$B$1:$C$1539, 2, FALSE),"")</f>
        <v>Might As Well</v>
      </c>
      <c r="H822" t="s">
        <v>1127</v>
      </c>
    </row>
    <row r="823" spans="1:8" x14ac:dyDescent="0.25">
      <c r="A823">
        <v>822</v>
      </c>
      <c r="B823" t="s">
        <v>1128</v>
      </c>
      <c r="C823" t="s">
        <v>158</v>
      </c>
      <c r="D823" t="str">
        <f t="shared" si="29"/>
        <v/>
      </c>
      <c r="E823" t="str">
        <f t="shared" si="28"/>
        <v>mama tried</v>
      </c>
      <c r="F823" t="s">
        <v>6454</v>
      </c>
      <c r="G823" t="str">
        <f>_xlfn.IFNA(VLOOKUP(F823,songs!$B$1:$C$1539, 2, FALSE),"")</f>
        <v>Mama Tried</v>
      </c>
      <c r="H823" t="s">
        <v>158</v>
      </c>
    </row>
    <row r="824" spans="1:8" x14ac:dyDescent="0.25">
      <c r="A824">
        <v>823</v>
      </c>
      <c r="B824" t="s">
        <v>1129</v>
      </c>
      <c r="C824" t="s">
        <v>436</v>
      </c>
      <c r="D824" t="str">
        <f t="shared" si="29"/>
        <v/>
      </c>
      <c r="E824" t="str">
        <f t="shared" si="28"/>
        <v>ramble on rose</v>
      </c>
      <c r="F824" t="s">
        <v>6827</v>
      </c>
      <c r="G824" t="str">
        <f>_xlfn.IFNA(VLOOKUP(F824,songs!$B$1:$C$1539, 2, FALSE),"")</f>
        <v>Ramble On Rose</v>
      </c>
      <c r="H824" t="s">
        <v>436</v>
      </c>
    </row>
    <row r="825" spans="1:8" x14ac:dyDescent="0.25">
      <c r="A825">
        <v>824</v>
      </c>
      <c r="B825" t="s">
        <v>1130</v>
      </c>
      <c r="C825" t="s">
        <v>262</v>
      </c>
      <c r="D825" t="str">
        <f t="shared" si="29"/>
        <v/>
      </c>
      <c r="E825" t="str">
        <f t="shared" si="28"/>
        <v>cassidy</v>
      </c>
      <c r="F825" t="s">
        <v>5291</v>
      </c>
      <c r="G825" t="str">
        <f>_xlfn.IFNA(VLOOKUP(F825,songs!$B$1:$C$1539, 2, FALSE),"")</f>
        <v>Cassidy</v>
      </c>
      <c r="H825" t="s">
        <v>262</v>
      </c>
    </row>
    <row r="826" spans="1:8" x14ac:dyDescent="0.25">
      <c r="A826">
        <v>825</v>
      </c>
      <c r="B826" t="s">
        <v>1131</v>
      </c>
      <c r="C826" t="s">
        <v>264</v>
      </c>
      <c r="D826" t="str">
        <f t="shared" si="29"/>
        <v/>
      </c>
      <c r="E826" t="str">
        <f t="shared" si="28"/>
        <v>deal</v>
      </c>
      <c r="F826" t="s">
        <v>5461</v>
      </c>
      <c r="G826" t="str">
        <f>_xlfn.IFNA(VLOOKUP(F826,songs!$B$1:$C$1539, 2, FALSE),"")</f>
        <v>Deal</v>
      </c>
      <c r="H826" t="s">
        <v>264</v>
      </c>
    </row>
    <row r="827" spans="1:8" x14ac:dyDescent="0.25">
      <c r="A827">
        <v>826</v>
      </c>
      <c r="B827" t="s">
        <v>1132</v>
      </c>
      <c r="C827" t="s">
        <v>327</v>
      </c>
      <c r="D827" t="str">
        <f t="shared" si="29"/>
        <v/>
      </c>
      <c r="E827" t="str">
        <f t="shared" si="28"/>
        <v>el paso</v>
      </c>
      <c r="F827" t="s">
        <v>5600</v>
      </c>
      <c r="G827" t="str">
        <f>_xlfn.IFNA(VLOOKUP(F827,songs!$B$1:$C$1539, 2, FALSE),"")</f>
        <v>El Paso</v>
      </c>
      <c r="H827" t="s">
        <v>327</v>
      </c>
    </row>
    <row r="828" spans="1:8" x14ac:dyDescent="0.25">
      <c r="A828">
        <v>827</v>
      </c>
      <c r="B828" t="s">
        <v>1133</v>
      </c>
      <c r="C828" t="s">
        <v>291</v>
      </c>
      <c r="D828" t="str">
        <f t="shared" si="29"/>
        <v/>
      </c>
      <c r="E828" t="str">
        <f t="shared" si="28"/>
        <v>loser</v>
      </c>
      <c r="F828" t="s">
        <v>6400</v>
      </c>
      <c r="G828" t="str">
        <f>_xlfn.IFNA(VLOOKUP(F828,songs!$B$1:$C$1539, 2, FALSE),"")</f>
        <v>Loser</v>
      </c>
      <c r="H828" t="s">
        <v>291</v>
      </c>
    </row>
    <row r="829" spans="1:8" x14ac:dyDescent="0.25">
      <c r="A829">
        <v>828</v>
      </c>
      <c r="B829" t="s">
        <v>1134</v>
      </c>
      <c r="C829" t="s">
        <v>130</v>
      </c>
      <c r="D829" t="str">
        <f t="shared" si="29"/>
        <v/>
      </c>
      <c r="E829" t="str">
        <f t="shared" si="28"/>
        <v>promised land</v>
      </c>
      <c r="F829" t="s">
        <v>6797</v>
      </c>
      <c r="G829" t="str">
        <f>_xlfn.IFNA(VLOOKUP(F829,songs!$B$1:$C$1539, 2, FALSE),"")</f>
        <v>Promised Land</v>
      </c>
      <c r="H829" t="s">
        <v>130</v>
      </c>
    </row>
    <row r="830" spans="1:8" x14ac:dyDescent="0.25">
      <c r="A830">
        <v>829</v>
      </c>
      <c r="B830" t="s">
        <v>1135</v>
      </c>
      <c r="C830" t="s">
        <v>464</v>
      </c>
      <c r="D830" t="str">
        <f t="shared" si="29"/>
        <v/>
      </c>
      <c r="E830" t="str">
        <f t="shared" si="28"/>
        <v>friend of the devil</v>
      </c>
      <c r="F830" t="s">
        <v>5721</v>
      </c>
      <c r="G830" t="str">
        <f>_xlfn.IFNA(VLOOKUP(F830,songs!$B$1:$C$1539, 2, FALSE),"")</f>
        <v>Friend Of The Devil</v>
      </c>
      <c r="H830" t="s">
        <v>464</v>
      </c>
    </row>
    <row r="831" spans="1:8" x14ac:dyDescent="0.25">
      <c r="A831">
        <v>844</v>
      </c>
      <c r="B831" t="s">
        <v>1150</v>
      </c>
      <c r="C831" t="s">
        <v>1109</v>
      </c>
      <c r="D831" t="str">
        <f t="shared" si="29"/>
        <v/>
      </c>
      <c r="E831" t="str">
        <f t="shared" si="28"/>
        <v>lazy lightnin'</v>
      </c>
      <c r="F831" t="s">
        <v>6293</v>
      </c>
      <c r="G831" t="str">
        <f>_xlfn.IFNA(VLOOKUP(F831,songs!$B$1:$C$1539, 2, FALSE),"")</f>
        <v>Lazy Lightning</v>
      </c>
      <c r="H831" t="s">
        <v>7867</v>
      </c>
    </row>
    <row r="832" spans="1:8" x14ac:dyDescent="0.25">
      <c r="A832">
        <v>831</v>
      </c>
      <c r="B832" t="s">
        <v>1137</v>
      </c>
      <c r="C832" t="s">
        <v>73</v>
      </c>
      <c r="D832" t="str">
        <f t="shared" si="29"/>
        <v/>
      </c>
      <c r="E832" t="str">
        <f t="shared" si="28"/>
        <v>wharf rat</v>
      </c>
      <c r="F832" t="s">
        <v>7664</v>
      </c>
      <c r="G832" t="str">
        <f>_xlfn.IFNA(VLOOKUP(F832,songs!$B$1:$C$1539, 2, FALSE),"")</f>
        <v>Wharf Rat</v>
      </c>
      <c r="H832" t="s">
        <v>73</v>
      </c>
    </row>
    <row r="833" spans="1:8" x14ac:dyDescent="0.25">
      <c r="A833">
        <v>851</v>
      </c>
      <c r="B833" t="s">
        <v>1158</v>
      </c>
      <c r="C833" t="s">
        <v>122</v>
      </c>
      <c r="D833" t="str">
        <f t="shared" si="29"/>
        <v/>
      </c>
      <c r="E833" t="str">
        <f t="shared" si="28"/>
        <v>new minglewood blues</v>
      </c>
      <c r="F833" t="s">
        <v>7869</v>
      </c>
      <c r="G833" t="str">
        <f>_xlfn.IFNA(VLOOKUP(F833,songs!$B$1:$C$1539, 2, FALSE),"")</f>
        <v>Minglewood Blues</v>
      </c>
      <c r="H833" t="s">
        <v>7867</v>
      </c>
    </row>
    <row r="834" spans="1:8" x14ac:dyDescent="0.25">
      <c r="A834">
        <v>863</v>
      </c>
      <c r="B834" t="s">
        <v>1172</v>
      </c>
      <c r="C834" t="s">
        <v>473</v>
      </c>
      <c r="D834" t="str">
        <f t="shared" si="29"/>
        <v/>
      </c>
      <c r="E834" t="str">
        <f t="shared" si="28"/>
        <v>samson &amp; delilah</v>
      </c>
      <c r="F834" t="s">
        <v>6925</v>
      </c>
      <c r="G834" t="str">
        <f>_xlfn.IFNA(VLOOKUP(F834,songs!$B$1:$C$1539, 2, FALSE),"")</f>
        <v>Samson And Delilah</v>
      </c>
      <c r="H834" t="s">
        <v>7867</v>
      </c>
    </row>
    <row r="835" spans="1:8" x14ac:dyDescent="0.25">
      <c r="A835">
        <v>867</v>
      </c>
      <c r="B835" t="s">
        <v>1176</v>
      </c>
      <c r="C835" t="s">
        <v>1177</v>
      </c>
      <c r="D835" t="str">
        <f t="shared" si="29"/>
        <v/>
      </c>
      <c r="E835" t="str">
        <f t="shared" si="28"/>
        <v>rhythm devils</v>
      </c>
      <c r="F835" t="s">
        <v>7833</v>
      </c>
      <c r="G835" t="s">
        <v>1177</v>
      </c>
      <c r="H835" t="s">
        <v>7867</v>
      </c>
    </row>
    <row r="836" spans="1:8" x14ac:dyDescent="0.25">
      <c r="A836">
        <v>835</v>
      </c>
      <c r="B836" t="s">
        <v>1141</v>
      </c>
      <c r="C836" t="s">
        <v>419</v>
      </c>
      <c r="D836" t="str">
        <f t="shared" si="29"/>
        <v/>
      </c>
      <c r="E836" t="str">
        <f t="shared" ref="E836:E899" si="30">LOWER(TRIM(SUBSTITUTE(IF(RIGHT(TRIM(C836),2)="-&gt;",LEFT(TRIM(C836),LEN(TRIM(C836))-2),IF(RIGHT(TRIM(C836),1)="&gt;",LEFT(TRIM(C836),LEN(TRIM(C836))-1),C836)),"//","")))</f>
        <v>playing in the band</v>
      </c>
      <c r="F836" t="s">
        <v>6769</v>
      </c>
      <c r="G836" t="str">
        <f>_xlfn.IFNA(VLOOKUP(F836,songs!$B$1:$C$1539, 2, FALSE),"")</f>
        <v>Playing In The Band</v>
      </c>
      <c r="H836" t="s">
        <v>419</v>
      </c>
    </row>
    <row r="837" spans="1:8" x14ac:dyDescent="0.25">
      <c r="A837">
        <v>836</v>
      </c>
      <c r="B837" t="s">
        <v>1142</v>
      </c>
      <c r="C837" t="s">
        <v>100</v>
      </c>
      <c r="D837" t="str">
        <f t="shared" si="29"/>
        <v/>
      </c>
      <c r="E837" t="str">
        <f t="shared" si="30"/>
        <v>drums</v>
      </c>
      <c r="F837" t="s">
        <v>5568</v>
      </c>
      <c r="G837" t="str">
        <f>_xlfn.IFNA(VLOOKUP(F837,songs!$B$1:$C$1539, 2, FALSE),"")</f>
        <v>Drums</v>
      </c>
      <c r="H837" t="s">
        <v>100</v>
      </c>
    </row>
    <row r="838" spans="1:8" x14ac:dyDescent="0.25">
      <c r="A838">
        <v>837</v>
      </c>
      <c r="B838" t="s">
        <v>1143</v>
      </c>
      <c r="C838" t="s">
        <v>567</v>
      </c>
      <c r="D838" t="str">
        <f t="shared" si="29"/>
        <v/>
      </c>
      <c r="E838" t="str">
        <f t="shared" si="30"/>
        <v>the wheel</v>
      </c>
      <c r="F838" t="s">
        <v>7343</v>
      </c>
      <c r="G838" t="str">
        <f>_xlfn.IFNA(VLOOKUP(F838,songs!$B$1:$C$1539, 2, FALSE),"")</f>
        <v>The Wheel</v>
      </c>
      <c r="H838" t="s">
        <v>567</v>
      </c>
    </row>
    <row r="839" spans="1:8" x14ac:dyDescent="0.25">
      <c r="A839">
        <v>838</v>
      </c>
      <c r="B839" t="s">
        <v>1144</v>
      </c>
      <c r="C839" t="s">
        <v>277</v>
      </c>
      <c r="D839" t="str">
        <f t="shared" si="29"/>
        <v/>
      </c>
      <c r="E839" t="str">
        <f t="shared" si="30"/>
        <v>space</v>
      </c>
      <c r="F839" t="s">
        <v>7091</v>
      </c>
      <c r="G839" t="str">
        <f>_xlfn.IFNA(VLOOKUP(F839,songs!$B$1:$C$1539, 2, FALSE),"")</f>
        <v>Space</v>
      </c>
      <c r="H839" t="s">
        <v>277</v>
      </c>
    </row>
    <row r="840" spans="1:8" x14ac:dyDescent="0.25">
      <c r="A840">
        <v>839</v>
      </c>
      <c r="B840" t="s">
        <v>1145</v>
      </c>
      <c r="C840" t="s">
        <v>139</v>
      </c>
      <c r="D840" t="str">
        <f t="shared" si="29"/>
        <v/>
      </c>
      <c r="E840" t="str">
        <f t="shared" si="30"/>
        <v>the other one</v>
      </c>
      <c r="F840" t="s">
        <v>7325</v>
      </c>
      <c r="G840" t="str">
        <f>_xlfn.IFNA(VLOOKUP(F840,songs!$B$1:$C$1539, 2, FALSE),"")</f>
        <v>The Other One</v>
      </c>
      <c r="H840" t="s">
        <v>139</v>
      </c>
    </row>
    <row r="841" spans="1:8" x14ac:dyDescent="0.25">
      <c r="A841">
        <v>840</v>
      </c>
      <c r="B841" t="s">
        <v>1146</v>
      </c>
      <c r="C841" t="s">
        <v>24</v>
      </c>
      <c r="D841" t="str">
        <f t="shared" si="29"/>
        <v/>
      </c>
      <c r="E841" t="str">
        <f t="shared" si="30"/>
        <v>stella blue</v>
      </c>
      <c r="F841" t="s">
        <v>7123</v>
      </c>
      <c r="G841" t="str">
        <f>_xlfn.IFNA(VLOOKUP(F841,songs!$B$1:$C$1539, 2, FALSE),"")</f>
        <v>Stella Blue</v>
      </c>
      <c r="H841" t="s">
        <v>24</v>
      </c>
    </row>
    <row r="842" spans="1:8" x14ac:dyDescent="0.25">
      <c r="A842">
        <v>841</v>
      </c>
      <c r="B842" t="s">
        <v>1147</v>
      </c>
      <c r="C842" t="s">
        <v>419</v>
      </c>
      <c r="D842" t="str">
        <f t="shared" si="29"/>
        <v/>
      </c>
      <c r="E842" t="str">
        <f t="shared" si="30"/>
        <v>playing in the band</v>
      </c>
      <c r="F842" t="s">
        <v>6769</v>
      </c>
      <c r="G842" t="str">
        <f>_xlfn.IFNA(VLOOKUP(F842,songs!$B$1:$C$1539, 2, FALSE),"")</f>
        <v>Playing In The Band</v>
      </c>
      <c r="H842" t="s">
        <v>419</v>
      </c>
    </row>
    <row r="843" spans="1:8" x14ac:dyDescent="0.25">
      <c r="A843">
        <v>842</v>
      </c>
      <c r="B843" t="s">
        <v>1148</v>
      </c>
      <c r="C843" t="s">
        <v>30</v>
      </c>
      <c r="D843" t="str">
        <f t="shared" si="29"/>
        <v/>
      </c>
      <c r="E843" t="str">
        <f t="shared" si="30"/>
        <v>sugar magnolia</v>
      </c>
      <c r="F843" t="s">
        <v>7150</v>
      </c>
      <c r="G843" t="str">
        <f>_xlfn.IFNA(VLOOKUP(F843,songs!$B$1:$C$1539, 2, FALSE),"")</f>
        <v>Sugar Magnolia</v>
      </c>
      <c r="H843" t="s">
        <v>30</v>
      </c>
    </row>
    <row r="844" spans="1:8" x14ac:dyDescent="0.25">
      <c r="A844">
        <v>843</v>
      </c>
      <c r="B844" t="s">
        <v>1149</v>
      </c>
      <c r="C844" t="s">
        <v>148</v>
      </c>
      <c r="D844" t="str">
        <f t="shared" si="29"/>
        <v/>
      </c>
      <c r="E844" t="str">
        <f t="shared" si="30"/>
        <v>johnny b. goode</v>
      </c>
      <c r="F844" t="s">
        <v>6192</v>
      </c>
      <c r="G844" t="str">
        <f>_xlfn.IFNA(VLOOKUP(F844,songs!$B$1:$C$1539, 2, FALSE),"")</f>
        <v>Johnny B. Goode</v>
      </c>
      <c r="H844" t="s">
        <v>148</v>
      </c>
    </row>
    <row r="845" spans="1:8" x14ac:dyDescent="0.25">
      <c r="A845">
        <v>873</v>
      </c>
      <c r="B845" t="s">
        <v>1183</v>
      </c>
      <c r="C845" t="s">
        <v>102</v>
      </c>
      <c r="D845" t="str">
        <f t="shared" si="29"/>
        <v/>
      </c>
      <c r="E845" t="str">
        <f t="shared" si="30"/>
        <v>me &amp; my uncle</v>
      </c>
      <c r="F845" t="s">
        <v>6486</v>
      </c>
      <c r="G845" t="str">
        <f>_xlfn.IFNA(VLOOKUP(F845,songs!$B$1:$C$1539, 2, FALSE),"")</f>
        <v>Me And My Uncle</v>
      </c>
      <c r="H845" t="s">
        <v>7867</v>
      </c>
    </row>
    <row r="846" spans="1:8" x14ac:dyDescent="0.25">
      <c r="A846">
        <v>845</v>
      </c>
      <c r="B846" t="s">
        <v>1151</v>
      </c>
      <c r="C846" t="s">
        <v>1127</v>
      </c>
      <c r="D846" t="str">
        <f t="shared" si="29"/>
        <v/>
      </c>
      <c r="E846" t="str">
        <f t="shared" si="30"/>
        <v>might as well</v>
      </c>
      <c r="F846" t="s">
        <v>6518</v>
      </c>
      <c r="G846" t="str">
        <f>_xlfn.IFNA(VLOOKUP(F846,songs!$B$1:$C$1539, 2, FALSE),"")</f>
        <v>Might As Well</v>
      </c>
      <c r="H846" t="s">
        <v>1127</v>
      </c>
    </row>
    <row r="847" spans="1:8" x14ac:dyDescent="0.25">
      <c r="A847">
        <v>846</v>
      </c>
      <c r="B847" t="s">
        <v>1152</v>
      </c>
      <c r="C847" t="s">
        <v>1153</v>
      </c>
      <c r="D847" t="str">
        <f t="shared" si="29"/>
        <v/>
      </c>
      <c r="E847" t="str">
        <f t="shared" si="30"/>
        <v>saint stephen</v>
      </c>
      <c r="F847" t="s">
        <v>6910</v>
      </c>
      <c r="G847" t="str">
        <f>_xlfn.IFNA(VLOOKUP(F847,songs!$B$1:$C$1539, 2, FALSE),"")</f>
        <v>Saint Stephen</v>
      </c>
      <c r="H847" t="s">
        <v>1153</v>
      </c>
    </row>
    <row r="848" spans="1:8" x14ac:dyDescent="0.25">
      <c r="A848">
        <v>847</v>
      </c>
      <c r="B848" t="s">
        <v>1154</v>
      </c>
      <c r="C848" t="s">
        <v>55</v>
      </c>
      <c r="D848" t="str">
        <f t="shared" si="29"/>
        <v/>
      </c>
      <c r="E848" t="str">
        <f t="shared" si="30"/>
        <v>supplication</v>
      </c>
      <c r="F848" t="s">
        <v>7162</v>
      </c>
      <c r="G848" t="str">
        <f>_xlfn.IFNA(VLOOKUP(F848,songs!$B$1:$C$1539, 2, FALSE),"")</f>
        <v>Supplication</v>
      </c>
      <c r="H848" t="s">
        <v>55</v>
      </c>
    </row>
    <row r="849" spans="1:8" x14ac:dyDescent="0.25">
      <c r="A849">
        <v>848</v>
      </c>
      <c r="B849" t="s">
        <v>1155</v>
      </c>
      <c r="C849" t="s">
        <v>69</v>
      </c>
      <c r="D849" t="str">
        <f t="shared" si="29"/>
        <v/>
      </c>
      <c r="E849" t="str">
        <f t="shared" si="30"/>
        <v>estimated prophet</v>
      </c>
      <c r="F849" t="s">
        <v>5612</v>
      </c>
      <c r="G849" t="str">
        <f>_xlfn.IFNA(VLOOKUP(F849,songs!$B$1:$C$1539, 2, FALSE),"")</f>
        <v>Estimated Prophet</v>
      </c>
      <c r="H849" t="s">
        <v>69</v>
      </c>
    </row>
    <row r="850" spans="1:8" x14ac:dyDescent="0.25">
      <c r="A850">
        <v>849</v>
      </c>
      <c r="B850" t="s">
        <v>1156</v>
      </c>
      <c r="C850" t="s">
        <v>15</v>
      </c>
      <c r="D850" t="str">
        <f t="shared" si="29"/>
        <v/>
      </c>
      <c r="E850" t="str">
        <f t="shared" si="30"/>
        <v>truckin'</v>
      </c>
      <c r="F850" t="s">
        <v>7436</v>
      </c>
      <c r="G850" t="str">
        <f>_xlfn.IFNA(VLOOKUP(F850,songs!$B$1:$C$1539, 2, FALSE),"")</f>
        <v>Truckin'</v>
      </c>
      <c r="H850" t="s">
        <v>15</v>
      </c>
    </row>
    <row r="851" spans="1:8" x14ac:dyDescent="0.25">
      <c r="A851">
        <v>850</v>
      </c>
      <c r="B851" t="s">
        <v>1157</v>
      </c>
      <c r="C851" t="s">
        <v>579</v>
      </c>
      <c r="D851" t="str">
        <f t="shared" si="29"/>
        <v/>
      </c>
      <c r="E851" t="str">
        <f t="shared" si="30"/>
        <v>around and around</v>
      </c>
      <c r="F851" t="s">
        <v>5103</v>
      </c>
      <c r="G851" t="str">
        <f>_xlfn.IFNA(VLOOKUP(F851,songs!$B$1:$C$1539, 2, FALSE),"")</f>
        <v>Around And Around</v>
      </c>
      <c r="H851" t="s">
        <v>579</v>
      </c>
    </row>
    <row r="852" spans="1:8" x14ac:dyDescent="0.25">
      <c r="A852">
        <v>896</v>
      </c>
      <c r="B852" t="s">
        <v>1208</v>
      </c>
      <c r="C852" t="s">
        <v>102</v>
      </c>
      <c r="D852" t="str">
        <f t="shared" si="29"/>
        <v/>
      </c>
      <c r="E852" t="str">
        <f t="shared" si="30"/>
        <v>me &amp; my uncle</v>
      </c>
      <c r="F852" t="s">
        <v>6486</v>
      </c>
      <c r="G852" t="str">
        <f>_xlfn.IFNA(VLOOKUP(F852,songs!$B$1:$C$1539, 2, FALSE),"")</f>
        <v>Me And My Uncle</v>
      </c>
      <c r="H852" t="s">
        <v>7867</v>
      </c>
    </row>
    <row r="853" spans="1:8" x14ac:dyDescent="0.25">
      <c r="A853">
        <v>852</v>
      </c>
      <c r="B853" t="s">
        <v>1159</v>
      </c>
      <c r="C853" t="s">
        <v>458</v>
      </c>
      <c r="D853" t="str">
        <f t="shared" ref="D853:D916" si="31">IF(RIGHT(TRIM(C853),2)="-&gt;","&gt;",IF(RIGHT(TRIM(C853),1)="&gt;","&gt;",""))</f>
        <v/>
      </c>
      <c r="E853" t="str">
        <f t="shared" si="30"/>
        <v>mississippi half-step uptown toodeloo</v>
      </c>
      <c r="F853" t="s">
        <v>6531</v>
      </c>
      <c r="G853" t="str">
        <f>_xlfn.IFNA(VLOOKUP(F853,songs!$B$1:$C$1539, 2, FALSE),"")</f>
        <v>Mississippi Half-Step Uptown Toodeloo</v>
      </c>
      <c r="H853" t="s">
        <v>458</v>
      </c>
    </row>
    <row r="854" spans="1:8" x14ac:dyDescent="0.25">
      <c r="A854">
        <v>853</v>
      </c>
      <c r="B854" t="s">
        <v>1160</v>
      </c>
      <c r="C854" t="s">
        <v>126</v>
      </c>
      <c r="D854" t="str">
        <f t="shared" si="31"/>
        <v/>
      </c>
      <c r="E854" t="str">
        <f t="shared" si="30"/>
        <v>looks like rain</v>
      </c>
      <c r="F854" t="s">
        <v>6398</v>
      </c>
      <c r="G854" t="str">
        <f>_xlfn.IFNA(VLOOKUP(F854,songs!$B$1:$C$1539, 2, FALSE),"")</f>
        <v>Looks Like Rain</v>
      </c>
      <c r="H854" t="s">
        <v>126</v>
      </c>
    </row>
    <row r="855" spans="1:8" x14ac:dyDescent="0.25">
      <c r="A855">
        <v>854</v>
      </c>
      <c r="B855" t="s">
        <v>1161</v>
      </c>
      <c r="C855" t="s">
        <v>90</v>
      </c>
      <c r="D855" t="str">
        <f t="shared" si="31"/>
        <v/>
      </c>
      <c r="E855" t="str">
        <f t="shared" si="30"/>
        <v>dire wolf</v>
      </c>
      <c r="F855" t="s">
        <v>5497</v>
      </c>
      <c r="G855" t="str">
        <f>_xlfn.IFNA(VLOOKUP(F855,songs!$B$1:$C$1539, 2, FALSE),"")</f>
        <v>Dire Wolf</v>
      </c>
      <c r="H855" t="s">
        <v>90</v>
      </c>
    </row>
    <row r="856" spans="1:8" x14ac:dyDescent="0.25">
      <c r="A856">
        <v>855</v>
      </c>
      <c r="B856" t="s">
        <v>1162</v>
      </c>
      <c r="C856" t="s">
        <v>158</v>
      </c>
      <c r="D856" t="str">
        <f t="shared" si="31"/>
        <v/>
      </c>
      <c r="E856" t="str">
        <f t="shared" si="30"/>
        <v>mama tried</v>
      </c>
      <c r="F856" t="s">
        <v>6454</v>
      </c>
      <c r="G856" t="str">
        <f>_xlfn.IFNA(VLOOKUP(F856,songs!$B$1:$C$1539, 2, FALSE),"")</f>
        <v>Mama Tried</v>
      </c>
      <c r="H856" t="s">
        <v>158</v>
      </c>
    </row>
    <row r="857" spans="1:8" x14ac:dyDescent="0.25">
      <c r="A857">
        <v>856</v>
      </c>
      <c r="B857" t="s">
        <v>1163</v>
      </c>
      <c r="C857" t="s">
        <v>3</v>
      </c>
      <c r="D857" t="str">
        <f t="shared" si="31"/>
        <v/>
      </c>
      <c r="E857" t="str">
        <f t="shared" si="30"/>
        <v>big river</v>
      </c>
      <c r="F857" t="s">
        <v>5175</v>
      </c>
      <c r="G857" t="str">
        <f>_xlfn.IFNA(VLOOKUP(F857,songs!$B$1:$C$1539, 2, FALSE),"")</f>
        <v>Big River</v>
      </c>
      <c r="H857" t="s">
        <v>3</v>
      </c>
    </row>
    <row r="858" spans="1:8" x14ac:dyDescent="0.25">
      <c r="A858">
        <v>857</v>
      </c>
      <c r="B858" t="s">
        <v>1164</v>
      </c>
      <c r="C858" t="s">
        <v>641</v>
      </c>
      <c r="D858" t="str">
        <f t="shared" si="31"/>
        <v/>
      </c>
      <c r="E858" t="str">
        <f t="shared" si="30"/>
        <v>candyman</v>
      </c>
      <c r="F858" t="s">
        <v>5278</v>
      </c>
      <c r="G858" t="str">
        <f>_xlfn.IFNA(VLOOKUP(F858,songs!$B$1:$C$1539, 2, FALSE),"")</f>
        <v>Candyman</v>
      </c>
      <c r="H858" t="s">
        <v>641</v>
      </c>
    </row>
    <row r="859" spans="1:8" x14ac:dyDescent="0.25">
      <c r="A859">
        <v>858</v>
      </c>
      <c r="B859" t="s">
        <v>1165</v>
      </c>
      <c r="C859" t="s">
        <v>199</v>
      </c>
      <c r="D859" t="str">
        <f t="shared" si="31"/>
        <v/>
      </c>
      <c r="E859" t="str">
        <f t="shared" si="30"/>
        <v>jack straw</v>
      </c>
      <c r="F859" t="s">
        <v>6161</v>
      </c>
      <c r="G859" t="str">
        <f>_xlfn.IFNA(VLOOKUP(F859,songs!$B$1:$C$1539, 2, FALSE),"")</f>
        <v>Jack Straw</v>
      </c>
      <c r="H859" t="s">
        <v>199</v>
      </c>
    </row>
    <row r="860" spans="1:8" x14ac:dyDescent="0.25">
      <c r="A860">
        <v>859</v>
      </c>
      <c r="B860" t="s">
        <v>1166</v>
      </c>
      <c r="C860" t="s">
        <v>264</v>
      </c>
      <c r="D860" t="str">
        <f t="shared" si="31"/>
        <v/>
      </c>
      <c r="E860" t="str">
        <f t="shared" si="30"/>
        <v>deal</v>
      </c>
      <c r="F860" t="s">
        <v>5461</v>
      </c>
      <c r="G860" t="str">
        <f>_xlfn.IFNA(VLOOKUP(F860,songs!$B$1:$C$1539, 2, FALSE),"")</f>
        <v>Deal</v>
      </c>
      <c r="H860" t="s">
        <v>264</v>
      </c>
    </row>
    <row r="861" spans="1:8" x14ac:dyDescent="0.25">
      <c r="A861">
        <v>898</v>
      </c>
      <c r="B861" t="s">
        <v>1210</v>
      </c>
      <c r="C861" t="s">
        <v>44</v>
      </c>
      <c r="D861" t="str">
        <f t="shared" si="31"/>
        <v/>
      </c>
      <c r="E861" t="str">
        <f t="shared" si="30"/>
        <v>goin' down the road feeling bad</v>
      </c>
      <c r="F861" t="s">
        <v>5783</v>
      </c>
      <c r="G861" t="str">
        <f>_xlfn.IFNA(VLOOKUP(F861,songs!$B$1:$C$1539, 2, FALSE),"")</f>
        <v>Goin' Down The Road Feelin' Bad</v>
      </c>
      <c r="H861" t="s">
        <v>7867</v>
      </c>
    </row>
    <row r="862" spans="1:8" x14ac:dyDescent="0.25">
      <c r="A862">
        <v>909</v>
      </c>
      <c r="B862" t="s">
        <v>1223</v>
      </c>
      <c r="C862" t="s">
        <v>32</v>
      </c>
      <c r="D862" t="str">
        <f t="shared" si="31"/>
        <v/>
      </c>
      <c r="E862" t="str">
        <f t="shared" si="30"/>
        <v>st. stephen</v>
      </c>
      <c r="F862" t="s">
        <v>6910</v>
      </c>
      <c r="G862" t="str">
        <f>_xlfn.IFNA(VLOOKUP(F862,songs!$B$1:$C$1539, 2, FALSE),"")</f>
        <v>Saint Stephen</v>
      </c>
      <c r="H862" t="s">
        <v>7867</v>
      </c>
    </row>
    <row r="863" spans="1:8" x14ac:dyDescent="0.25">
      <c r="A863">
        <v>862</v>
      </c>
      <c r="B863" t="s">
        <v>1171</v>
      </c>
      <c r="C863" t="s">
        <v>471</v>
      </c>
      <c r="D863" t="str">
        <f t="shared" si="31"/>
        <v/>
      </c>
      <c r="E863" t="str">
        <f t="shared" si="30"/>
        <v>eyes of the world</v>
      </c>
      <c r="F863" t="s">
        <v>5633</v>
      </c>
      <c r="G863" t="str">
        <f>_xlfn.IFNA(VLOOKUP(F863,songs!$B$1:$C$1539, 2, FALSE),"")</f>
        <v>Eyes Of The World</v>
      </c>
      <c r="H863" t="s">
        <v>471</v>
      </c>
    </row>
    <row r="864" spans="1:8" x14ac:dyDescent="0.25">
      <c r="A864">
        <v>911</v>
      </c>
      <c r="B864" t="s">
        <v>1225</v>
      </c>
      <c r="C864" t="s">
        <v>44</v>
      </c>
      <c r="D864" t="str">
        <f t="shared" si="31"/>
        <v/>
      </c>
      <c r="E864" t="str">
        <f t="shared" si="30"/>
        <v>goin' down the road feeling bad</v>
      </c>
      <c r="F864" t="s">
        <v>5783</v>
      </c>
      <c r="G864" t="str">
        <f>_xlfn.IFNA(VLOOKUP(F864,songs!$B$1:$C$1539, 2, FALSE),"")</f>
        <v>Goin' Down The Road Feelin' Bad</v>
      </c>
      <c r="H864" t="s">
        <v>7867</v>
      </c>
    </row>
    <row r="865" spans="1:8" x14ac:dyDescent="0.25">
      <c r="A865">
        <v>864</v>
      </c>
      <c r="B865" t="s">
        <v>1173</v>
      </c>
      <c r="C865" t="s">
        <v>1057</v>
      </c>
      <c r="D865" t="str">
        <f t="shared" si="31"/>
        <v/>
      </c>
      <c r="E865" t="str">
        <f t="shared" si="30"/>
        <v>it must have been the roses</v>
      </c>
      <c r="F865" t="s">
        <v>6128</v>
      </c>
      <c r="G865" t="str">
        <f>_xlfn.IFNA(VLOOKUP(F865,songs!$B$1:$C$1539, 2, FALSE),"")</f>
        <v>It Must Have Been The Roses</v>
      </c>
      <c r="H865" t="s">
        <v>1057</v>
      </c>
    </row>
    <row r="866" spans="1:8" x14ac:dyDescent="0.25">
      <c r="A866">
        <v>865</v>
      </c>
      <c r="B866" t="s">
        <v>1174</v>
      </c>
      <c r="C866" t="s">
        <v>69</v>
      </c>
      <c r="D866" t="str">
        <f t="shared" si="31"/>
        <v/>
      </c>
      <c r="E866" t="str">
        <f t="shared" si="30"/>
        <v>estimated prophet</v>
      </c>
      <c r="F866" t="s">
        <v>5612</v>
      </c>
      <c r="G866" t="str">
        <f>_xlfn.IFNA(VLOOKUP(F866,songs!$B$1:$C$1539, 2, FALSE),"")</f>
        <v>Estimated Prophet</v>
      </c>
      <c r="H866" t="s">
        <v>69</v>
      </c>
    </row>
    <row r="867" spans="1:8" x14ac:dyDescent="0.25">
      <c r="A867">
        <v>866</v>
      </c>
      <c r="B867" t="s">
        <v>1175</v>
      </c>
      <c r="C867" t="s">
        <v>13</v>
      </c>
      <c r="D867" t="str">
        <f t="shared" si="31"/>
        <v/>
      </c>
      <c r="E867" t="str">
        <f t="shared" si="30"/>
        <v>he's gone</v>
      </c>
      <c r="F867" t="s">
        <v>5903</v>
      </c>
      <c r="G867" t="str">
        <f>_xlfn.IFNA(VLOOKUP(F867,songs!$B$1:$C$1539, 2, FALSE),"")</f>
        <v>He's Gone</v>
      </c>
      <c r="H867" t="s">
        <v>13</v>
      </c>
    </row>
    <row r="868" spans="1:8" x14ac:dyDescent="0.25">
      <c r="A868">
        <v>941</v>
      </c>
      <c r="B868" t="s">
        <v>1257</v>
      </c>
      <c r="C868" t="s">
        <v>1258</v>
      </c>
      <c r="D868" t="str">
        <f t="shared" si="31"/>
        <v/>
      </c>
      <c r="E868" t="str">
        <f t="shared" si="30"/>
        <v>going down the road feelin' bad</v>
      </c>
      <c r="F868" t="s">
        <v>5783</v>
      </c>
      <c r="G868" t="str">
        <f>_xlfn.IFNA(VLOOKUP(F868,songs!$B$1:$C$1539, 2, FALSE),"")</f>
        <v>Goin' Down The Road Feelin' Bad</v>
      </c>
      <c r="H868" t="s">
        <v>7867</v>
      </c>
    </row>
    <row r="869" spans="1:8" x14ac:dyDescent="0.25">
      <c r="A869">
        <v>868</v>
      </c>
      <c r="B869" t="s">
        <v>1178</v>
      </c>
      <c r="C869" t="s">
        <v>139</v>
      </c>
      <c r="D869" t="str">
        <f t="shared" si="31"/>
        <v/>
      </c>
      <c r="E869" t="str">
        <f t="shared" si="30"/>
        <v>the other one</v>
      </c>
      <c r="F869" t="s">
        <v>7325</v>
      </c>
      <c r="G869" t="str">
        <f>_xlfn.IFNA(VLOOKUP(F869,songs!$B$1:$C$1539, 2, FALSE),"")</f>
        <v>The Other One</v>
      </c>
      <c r="H869" t="s">
        <v>139</v>
      </c>
    </row>
    <row r="870" spans="1:8" x14ac:dyDescent="0.25">
      <c r="A870">
        <v>869</v>
      </c>
      <c r="B870" t="s">
        <v>1179</v>
      </c>
      <c r="C870" t="s">
        <v>221</v>
      </c>
      <c r="D870" t="str">
        <f t="shared" si="31"/>
        <v/>
      </c>
      <c r="E870" t="str">
        <f t="shared" si="30"/>
        <v>black peter</v>
      </c>
      <c r="F870" t="s">
        <v>5190</v>
      </c>
      <c r="G870" t="str">
        <f>_xlfn.IFNA(VLOOKUP(F870,songs!$B$1:$C$1539, 2, FALSE),"")</f>
        <v>Black Peter</v>
      </c>
      <c r="H870" t="s">
        <v>221</v>
      </c>
    </row>
    <row r="871" spans="1:8" x14ac:dyDescent="0.25">
      <c r="A871">
        <v>870</v>
      </c>
      <c r="B871" t="s">
        <v>1180</v>
      </c>
      <c r="C871" t="s">
        <v>30</v>
      </c>
      <c r="D871" t="str">
        <f t="shared" si="31"/>
        <v/>
      </c>
      <c r="E871" t="str">
        <f t="shared" si="30"/>
        <v>sugar magnolia</v>
      </c>
      <c r="F871" t="s">
        <v>7150</v>
      </c>
      <c r="G871" t="str">
        <f>_xlfn.IFNA(VLOOKUP(F871,songs!$B$1:$C$1539, 2, FALSE),"")</f>
        <v>Sugar Magnolia</v>
      </c>
      <c r="H871" t="s">
        <v>30</v>
      </c>
    </row>
    <row r="872" spans="1:8" x14ac:dyDescent="0.25">
      <c r="A872">
        <v>871</v>
      </c>
      <c r="B872" t="s">
        <v>1181</v>
      </c>
      <c r="C872" t="s">
        <v>956</v>
      </c>
      <c r="D872" t="str">
        <f t="shared" si="31"/>
        <v/>
      </c>
      <c r="E872" t="str">
        <f t="shared" si="30"/>
        <v>one more saturday night</v>
      </c>
      <c r="F872" t="s">
        <v>6702</v>
      </c>
      <c r="G872" t="str">
        <f>_xlfn.IFNA(VLOOKUP(F872,songs!$B$1:$C$1539, 2, FALSE),"")</f>
        <v>One More Saturday Night</v>
      </c>
      <c r="H872" t="s">
        <v>956</v>
      </c>
    </row>
    <row r="873" spans="1:8" x14ac:dyDescent="0.25">
      <c r="A873">
        <v>872</v>
      </c>
      <c r="B873" t="s">
        <v>1182</v>
      </c>
      <c r="C873" t="s">
        <v>139</v>
      </c>
      <c r="D873" t="str">
        <f t="shared" si="31"/>
        <v/>
      </c>
      <c r="E873" t="str">
        <f t="shared" si="30"/>
        <v>the other one</v>
      </c>
      <c r="F873" t="s">
        <v>7325</v>
      </c>
      <c r="G873" t="str">
        <f>_xlfn.IFNA(VLOOKUP(F873,songs!$B$1:$C$1539, 2, FALSE),"")</f>
        <v>The Other One</v>
      </c>
      <c r="H873" t="s">
        <v>139</v>
      </c>
    </row>
    <row r="874" spans="1:8" x14ac:dyDescent="0.25">
      <c r="A874">
        <v>944</v>
      </c>
      <c r="B874" t="s">
        <v>1261</v>
      </c>
      <c r="C874" t="s">
        <v>1262</v>
      </c>
      <c r="D874" t="str">
        <f t="shared" si="31"/>
        <v/>
      </c>
      <c r="E874" t="str">
        <f t="shared" si="30"/>
        <v>he's gone (filler 9-3-72 folsom field, boulder, co)</v>
      </c>
      <c r="F874" t="s">
        <v>5903</v>
      </c>
      <c r="G874" t="str">
        <f>_xlfn.IFNA(VLOOKUP(F874,songs!$B$1:$C$1539, 2, FALSE),"")</f>
        <v>He's Gone</v>
      </c>
      <c r="H874" t="s">
        <v>7867</v>
      </c>
    </row>
    <row r="875" spans="1:8" x14ac:dyDescent="0.25">
      <c r="A875">
        <v>874</v>
      </c>
      <c r="B875" t="s">
        <v>1184</v>
      </c>
      <c r="C875" t="s">
        <v>139</v>
      </c>
      <c r="D875" t="str">
        <f t="shared" si="31"/>
        <v/>
      </c>
      <c r="E875" t="str">
        <f t="shared" si="30"/>
        <v>the other one</v>
      </c>
      <c r="F875" t="s">
        <v>7325</v>
      </c>
      <c r="G875" t="str">
        <f>_xlfn.IFNA(VLOOKUP(F875,songs!$B$1:$C$1539, 2, FALSE),"")</f>
        <v>The Other One</v>
      </c>
      <c r="H875" t="s">
        <v>139</v>
      </c>
    </row>
    <row r="876" spans="1:8" x14ac:dyDescent="0.25">
      <c r="A876">
        <v>875</v>
      </c>
      <c r="B876" t="s">
        <v>1185</v>
      </c>
      <c r="C876" t="s">
        <v>264</v>
      </c>
      <c r="D876" t="str">
        <f t="shared" si="31"/>
        <v/>
      </c>
      <c r="E876" t="str">
        <f t="shared" si="30"/>
        <v>deal</v>
      </c>
      <c r="F876" t="s">
        <v>5461</v>
      </c>
      <c r="G876" t="str">
        <f>_xlfn.IFNA(VLOOKUP(F876,songs!$B$1:$C$1539, 2, FALSE),"")</f>
        <v>Deal</v>
      </c>
      <c r="H876" t="s">
        <v>264</v>
      </c>
    </row>
    <row r="877" spans="1:8" x14ac:dyDescent="0.25">
      <c r="A877">
        <v>876</v>
      </c>
      <c r="B877" t="s">
        <v>1186</v>
      </c>
      <c r="C877" t="s">
        <v>30</v>
      </c>
      <c r="D877" t="str">
        <f t="shared" si="31"/>
        <v/>
      </c>
      <c r="E877" t="str">
        <f t="shared" si="30"/>
        <v>sugar magnolia</v>
      </c>
      <c r="F877" t="s">
        <v>7150</v>
      </c>
      <c r="G877" t="str">
        <f>_xlfn.IFNA(VLOOKUP(F877,songs!$B$1:$C$1539, 2, FALSE),"")</f>
        <v>Sugar Magnolia</v>
      </c>
      <c r="H877" t="s">
        <v>30</v>
      </c>
    </row>
    <row r="878" spans="1:8" x14ac:dyDescent="0.25">
      <c r="A878">
        <v>877</v>
      </c>
      <c r="B878" t="s">
        <v>1187</v>
      </c>
      <c r="C878" t="s">
        <v>212</v>
      </c>
      <c r="D878" t="str">
        <f t="shared" si="31"/>
        <v/>
      </c>
      <c r="E878" t="str">
        <f t="shared" si="30"/>
        <v>morning dew</v>
      </c>
      <c r="F878" t="s">
        <v>6555</v>
      </c>
      <c r="G878" t="str">
        <f>_xlfn.IFNA(VLOOKUP(F878,songs!$B$1:$C$1539, 2, FALSE),"")</f>
        <v>Morning Dew</v>
      </c>
      <c r="H878" t="s">
        <v>212</v>
      </c>
    </row>
    <row r="879" spans="1:8" x14ac:dyDescent="0.25">
      <c r="A879">
        <v>878</v>
      </c>
      <c r="B879" t="s">
        <v>1188</v>
      </c>
      <c r="C879" t="s">
        <v>507</v>
      </c>
      <c r="D879" t="str">
        <f t="shared" si="31"/>
        <v/>
      </c>
      <c r="E879" t="str">
        <f t="shared" si="30"/>
        <v>turn on your lovelight</v>
      </c>
      <c r="F879" t="s">
        <v>7447</v>
      </c>
      <c r="G879" t="str">
        <f>_xlfn.IFNA(VLOOKUP(F879,songs!$B$1:$C$1539, 2, FALSE),"")</f>
        <v>Turn On Your Lovelight</v>
      </c>
      <c r="H879" t="s">
        <v>507</v>
      </c>
    </row>
    <row r="880" spans="1:8" x14ac:dyDescent="0.25">
      <c r="A880">
        <v>879</v>
      </c>
      <c r="B880" t="s">
        <v>1189</v>
      </c>
      <c r="C880" t="s">
        <v>9</v>
      </c>
      <c r="D880" t="str">
        <f t="shared" si="31"/>
        <v/>
      </c>
      <c r="E880" t="str">
        <f t="shared" si="30"/>
        <v>big railroad blues</v>
      </c>
      <c r="F880" t="s">
        <v>5174</v>
      </c>
      <c r="G880" t="str">
        <f>_xlfn.IFNA(VLOOKUP(F880,songs!$B$1:$C$1539, 2, FALSE),"")</f>
        <v>Big Railroad Blues</v>
      </c>
      <c r="H880" t="s">
        <v>9</v>
      </c>
    </row>
    <row r="881" spans="1:8" x14ac:dyDescent="0.25">
      <c r="A881">
        <v>880</v>
      </c>
      <c r="B881" t="s">
        <v>1190</v>
      </c>
      <c r="C881" t="s">
        <v>327</v>
      </c>
      <c r="D881" t="str">
        <f t="shared" si="31"/>
        <v/>
      </c>
      <c r="E881" t="str">
        <f t="shared" si="30"/>
        <v>el paso</v>
      </c>
      <c r="F881" t="s">
        <v>5600</v>
      </c>
      <c r="G881" t="str">
        <f>_xlfn.IFNA(VLOOKUP(F881,songs!$B$1:$C$1539, 2, FALSE),"")</f>
        <v>El Paso</v>
      </c>
      <c r="H881" t="s">
        <v>327</v>
      </c>
    </row>
    <row r="882" spans="1:8" x14ac:dyDescent="0.25">
      <c r="A882">
        <v>881</v>
      </c>
      <c r="B882" t="s">
        <v>1191</v>
      </c>
      <c r="C882" t="s">
        <v>1013</v>
      </c>
      <c r="D882" t="str">
        <f t="shared" si="31"/>
        <v/>
      </c>
      <c r="E882" t="str">
        <f t="shared" si="30"/>
        <v>mr. charlie</v>
      </c>
      <c r="F882" t="s">
        <v>6571</v>
      </c>
      <c r="G882" t="str">
        <f>_xlfn.IFNA(VLOOKUP(F882,songs!$B$1:$C$1539, 2, FALSE),"")</f>
        <v>Mr. Charlie</v>
      </c>
      <c r="H882" t="s">
        <v>1013</v>
      </c>
    </row>
    <row r="883" spans="1:8" x14ac:dyDescent="0.25">
      <c r="A883">
        <v>882</v>
      </c>
      <c r="B883" t="s">
        <v>1192</v>
      </c>
      <c r="C883" t="s">
        <v>51</v>
      </c>
      <c r="D883" t="str">
        <f t="shared" si="31"/>
        <v/>
      </c>
      <c r="E883" t="str">
        <f t="shared" si="30"/>
        <v>sugaree</v>
      </c>
      <c r="F883" t="s">
        <v>7151</v>
      </c>
      <c r="G883" t="str">
        <f>_xlfn.IFNA(VLOOKUP(F883,songs!$B$1:$C$1539, 2, FALSE),"")</f>
        <v>Sugaree</v>
      </c>
      <c r="H883" t="s">
        <v>51</v>
      </c>
    </row>
    <row r="884" spans="1:8" x14ac:dyDescent="0.25">
      <c r="A884">
        <v>883</v>
      </c>
      <c r="B884" t="s">
        <v>1193</v>
      </c>
      <c r="C884" t="s">
        <v>158</v>
      </c>
      <c r="D884" t="str">
        <f t="shared" si="31"/>
        <v/>
      </c>
      <c r="E884" t="str">
        <f t="shared" si="30"/>
        <v>mama tried</v>
      </c>
      <c r="F884" t="s">
        <v>6454</v>
      </c>
      <c r="G884" t="str">
        <f>_xlfn.IFNA(VLOOKUP(F884,songs!$B$1:$C$1539, 2, FALSE),"")</f>
        <v>Mama Tried</v>
      </c>
      <c r="H884" t="s">
        <v>158</v>
      </c>
    </row>
    <row r="885" spans="1:8" x14ac:dyDescent="0.25">
      <c r="A885">
        <v>884</v>
      </c>
      <c r="B885" t="s">
        <v>1194</v>
      </c>
      <c r="C885" t="s">
        <v>298</v>
      </c>
      <c r="D885" t="str">
        <f t="shared" si="31"/>
        <v/>
      </c>
      <c r="E885" t="str">
        <f t="shared" si="30"/>
        <v>bertha</v>
      </c>
      <c r="F885" t="s">
        <v>5158</v>
      </c>
      <c r="G885" t="str">
        <f>_xlfn.IFNA(VLOOKUP(F885,songs!$B$1:$C$1539, 2, FALSE),"")</f>
        <v>Bertha</v>
      </c>
      <c r="H885" t="s">
        <v>298</v>
      </c>
    </row>
    <row r="886" spans="1:8" x14ac:dyDescent="0.25">
      <c r="A886">
        <v>885</v>
      </c>
      <c r="B886" t="s">
        <v>1195</v>
      </c>
      <c r="C886" t="s">
        <v>1196</v>
      </c>
      <c r="D886" t="str">
        <f t="shared" si="31"/>
        <v/>
      </c>
      <c r="E886" t="str">
        <f t="shared" si="30"/>
        <v>big boss man</v>
      </c>
      <c r="F886" t="s">
        <v>5163</v>
      </c>
      <c r="G886" t="str">
        <f>_xlfn.IFNA(VLOOKUP(F886,songs!$B$1:$C$1539, 2, FALSE),"")</f>
        <v>Big Boss Man</v>
      </c>
      <c r="H886" t="s">
        <v>1196</v>
      </c>
    </row>
    <row r="887" spans="1:8" x14ac:dyDescent="0.25">
      <c r="A887">
        <v>886</v>
      </c>
      <c r="B887" t="s">
        <v>1197</v>
      </c>
      <c r="C887" t="s">
        <v>130</v>
      </c>
      <c r="D887" t="str">
        <f t="shared" si="31"/>
        <v/>
      </c>
      <c r="E887" t="str">
        <f t="shared" si="30"/>
        <v>promised land</v>
      </c>
      <c r="F887" t="s">
        <v>6797</v>
      </c>
      <c r="G887" t="str">
        <f>_xlfn.IFNA(VLOOKUP(F887,songs!$B$1:$C$1539, 2, FALSE),"")</f>
        <v>Promised Land</v>
      </c>
      <c r="H887" t="s">
        <v>130</v>
      </c>
    </row>
    <row r="888" spans="1:8" x14ac:dyDescent="0.25">
      <c r="A888">
        <v>887</v>
      </c>
      <c r="B888" t="s">
        <v>1198</v>
      </c>
      <c r="C888" t="s">
        <v>1199</v>
      </c>
      <c r="D888" t="str">
        <f t="shared" si="31"/>
        <v/>
      </c>
      <c r="E888" t="str">
        <f t="shared" si="30"/>
        <v>hard to handle</v>
      </c>
      <c r="F888" t="s">
        <v>5861</v>
      </c>
      <c r="G888" t="str">
        <f>_xlfn.IFNA(VLOOKUP(F888,songs!$B$1:$C$1539, 2, FALSE),"")</f>
        <v>Hard To Handle</v>
      </c>
      <c r="H888" t="s">
        <v>1199</v>
      </c>
    </row>
    <row r="889" spans="1:8" x14ac:dyDescent="0.25">
      <c r="A889">
        <v>888</v>
      </c>
      <c r="B889" t="s">
        <v>1200</v>
      </c>
      <c r="C889" t="s">
        <v>225</v>
      </c>
      <c r="D889" t="str">
        <f t="shared" si="31"/>
        <v/>
      </c>
      <c r="E889" t="str">
        <f t="shared" si="30"/>
        <v>cumberland blues</v>
      </c>
      <c r="F889" t="s">
        <v>5411</v>
      </c>
      <c r="G889" t="str">
        <f>_xlfn.IFNA(VLOOKUP(F889,songs!$B$1:$C$1539, 2, FALSE),"")</f>
        <v>Cumberland Blues</v>
      </c>
      <c r="H889" t="s">
        <v>225</v>
      </c>
    </row>
    <row r="890" spans="1:8" x14ac:dyDescent="0.25">
      <c r="A890">
        <v>889</v>
      </c>
      <c r="B890" t="s">
        <v>1201</v>
      </c>
      <c r="C890" t="s">
        <v>81</v>
      </c>
      <c r="D890" t="str">
        <f t="shared" si="31"/>
        <v/>
      </c>
      <c r="E890" t="str">
        <f t="shared" si="30"/>
        <v>casey jones</v>
      </c>
      <c r="F890" t="s">
        <v>5290</v>
      </c>
      <c r="G890" t="str">
        <f>_xlfn.IFNA(VLOOKUP(F890,songs!$B$1:$C$1539, 2, FALSE),"")</f>
        <v>Casey Jones</v>
      </c>
      <c r="H890" t="s">
        <v>81</v>
      </c>
    </row>
    <row r="891" spans="1:8" x14ac:dyDescent="0.25">
      <c r="A891">
        <v>890</v>
      </c>
      <c r="B891" t="s">
        <v>1202</v>
      </c>
      <c r="C891" t="s">
        <v>15</v>
      </c>
      <c r="D891" t="str">
        <f t="shared" si="31"/>
        <v/>
      </c>
      <c r="E891" t="str">
        <f t="shared" si="30"/>
        <v>truckin'</v>
      </c>
      <c r="F891" t="s">
        <v>7436</v>
      </c>
      <c r="G891" t="str">
        <f>_xlfn.IFNA(VLOOKUP(F891,songs!$B$1:$C$1539, 2, FALSE),"")</f>
        <v>Truckin'</v>
      </c>
      <c r="H891" t="s">
        <v>15</v>
      </c>
    </row>
    <row r="892" spans="1:8" x14ac:dyDescent="0.25">
      <c r="A892">
        <v>891</v>
      </c>
      <c r="B892" t="s">
        <v>1203</v>
      </c>
      <c r="C892" t="s">
        <v>84</v>
      </c>
      <c r="D892" t="str">
        <f t="shared" si="31"/>
        <v/>
      </c>
      <c r="E892" t="str">
        <f t="shared" si="30"/>
        <v>china cat sunflower</v>
      </c>
      <c r="F892" t="s">
        <v>5319</v>
      </c>
      <c r="G892" t="str">
        <f>_xlfn.IFNA(VLOOKUP(F892,songs!$B$1:$C$1539, 2, FALSE),"")</f>
        <v>China Cat Sunflower</v>
      </c>
      <c r="H892" t="s">
        <v>84</v>
      </c>
    </row>
    <row r="893" spans="1:8" x14ac:dyDescent="0.25">
      <c r="A893">
        <v>892</v>
      </c>
      <c r="B893" t="s">
        <v>1204</v>
      </c>
      <c r="C893" t="s">
        <v>86</v>
      </c>
      <c r="D893" t="str">
        <f t="shared" si="31"/>
        <v/>
      </c>
      <c r="E893" t="str">
        <f t="shared" si="30"/>
        <v>i know you rider</v>
      </c>
      <c r="F893" t="s">
        <v>6020</v>
      </c>
      <c r="G893" t="str">
        <f>_xlfn.IFNA(VLOOKUP(F893,songs!$B$1:$C$1539, 2, FALSE),"")</f>
        <v>I Know You Rider</v>
      </c>
      <c r="H893" t="s">
        <v>86</v>
      </c>
    </row>
    <row r="894" spans="1:8" x14ac:dyDescent="0.25">
      <c r="A894">
        <v>893</v>
      </c>
      <c r="B894" t="s">
        <v>1205</v>
      </c>
      <c r="C894" t="s">
        <v>1017</v>
      </c>
      <c r="D894" t="str">
        <f t="shared" si="31"/>
        <v/>
      </c>
      <c r="E894" t="str">
        <f t="shared" si="30"/>
        <v>next time you see me</v>
      </c>
      <c r="F894" t="s">
        <v>6629</v>
      </c>
      <c r="G894" t="str">
        <f>_xlfn.IFNA(VLOOKUP(F894,songs!$B$1:$C$1539, 2, FALSE),"")</f>
        <v>Next Time You See Me</v>
      </c>
      <c r="H894" t="s">
        <v>1017</v>
      </c>
    </row>
    <row r="895" spans="1:8" x14ac:dyDescent="0.25">
      <c r="A895">
        <v>894</v>
      </c>
      <c r="B895" t="s">
        <v>1206</v>
      </c>
      <c r="C895" t="s">
        <v>30</v>
      </c>
      <c r="D895" t="str">
        <f t="shared" si="31"/>
        <v/>
      </c>
      <c r="E895" t="str">
        <f t="shared" si="30"/>
        <v>sugar magnolia</v>
      </c>
      <c r="F895" t="s">
        <v>7150</v>
      </c>
      <c r="G895" t="str">
        <f>_xlfn.IFNA(VLOOKUP(F895,songs!$B$1:$C$1539, 2, FALSE),"")</f>
        <v>Sugar Magnolia</v>
      </c>
      <c r="H895" t="s">
        <v>30</v>
      </c>
    </row>
    <row r="896" spans="1:8" x14ac:dyDescent="0.25">
      <c r="A896">
        <v>895</v>
      </c>
      <c r="B896" t="s">
        <v>1207</v>
      </c>
      <c r="C896" t="s">
        <v>749</v>
      </c>
      <c r="D896" t="str">
        <f t="shared" si="31"/>
        <v/>
      </c>
      <c r="E896" t="str">
        <f t="shared" si="30"/>
        <v>sing me back home</v>
      </c>
      <c r="F896" t="s">
        <v>7017</v>
      </c>
      <c r="G896" t="str">
        <f>_xlfn.IFNA(VLOOKUP(F896,songs!$B$1:$C$1539, 2, FALSE),"")</f>
        <v>Sing Me Back Home</v>
      </c>
      <c r="H896" t="s">
        <v>749</v>
      </c>
    </row>
    <row r="897" spans="1:8" x14ac:dyDescent="0.25">
      <c r="A897">
        <v>945</v>
      </c>
      <c r="B897" t="s">
        <v>1263</v>
      </c>
      <c r="C897" t="s">
        <v>1264</v>
      </c>
      <c r="D897" t="str">
        <f t="shared" si="31"/>
        <v/>
      </c>
      <c r="E897" t="str">
        <f t="shared" si="30"/>
        <v>the other one (filler 9-3-72 folsom field, boulder, co)</v>
      </c>
      <c r="F897" t="s">
        <v>7325</v>
      </c>
      <c r="G897" t="str">
        <f>_xlfn.IFNA(VLOOKUP(F897,songs!$B$1:$C$1539, 2, FALSE),"")</f>
        <v>The Other One</v>
      </c>
      <c r="H897" t="s">
        <v>7867</v>
      </c>
    </row>
    <row r="898" spans="1:8" x14ac:dyDescent="0.25">
      <c r="A898">
        <v>897</v>
      </c>
      <c r="B898" t="s">
        <v>1209</v>
      </c>
      <c r="C898" t="s">
        <v>34</v>
      </c>
      <c r="D898" t="str">
        <f t="shared" si="31"/>
        <v/>
      </c>
      <c r="E898" t="str">
        <f t="shared" si="30"/>
        <v>not fade away</v>
      </c>
      <c r="F898" t="s">
        <v>6651</v>
      </c>
      <c r="G898" t="str">
        <f>_xlfn.IFNA(VLOOKUP(F898,songs!$B$1:$C$1539, 2, FALSE),"")</f>
        <v>Not Fade Away</v>
      </c>
      <c r="H898" t="s">
        <v>34</v>
      </c>
    </row>
    <row r="899" spans="1:8" x14ac:dyDescent="0.25">
      <c r="A899">
        <v>946</v>
      </c>
      <c r="B899" t="s">
        <v>1265</v>
      </c>
      <c r="C899" t="s">
        <v>1266</v>
      </c>
      <c r="D899" t="str">
        <f t="shared" si="31"/>
        <v/>
      </c>
      <c r="E899" t="str">
        <f t="shared" si="30"/>
        <v>wharf rat (filler 9-3-72 folsom field, boulder, co)</v>
      </c>
      <c r="F899" t="s">
        <v>7664</v>
      </c>
      <c r="G899" t="str">
        <f>_xlfn.IFNA(VLOOKUP(F899,songs!$B$1:$C$1539, 2, FALSE),"")</f>
        <v>Wharf Rat</v>
      </c>
      <c r="H899" t="s">
        <v>7867</v>
      </c>
    </row>
    <row r="900" spans="1:8" x14ac:dyDescent="0.25">
      <c r="A900">
        <v>899</v>
      </c>
      <c r="B900" t="s">
        <v>1211</v>
      </c>
      <c r="C900" t="s">
        <v>19</v>
      </c>
      <c r="D900" t="str">
        <f t="shared" si="31"/>
        <v/>
      </c>
      <c r="E900" t="str">
        <f t="shared" ref="E900:E963" si="32">LOWER(TRIM(SUBSTITUTE(IF(RIGHT(TRIM(C900),2)="-&gt;",LEFT(TRIM(C900),LEN(TRIM(C900))-2),IF(RIGHT(TRIM(C900),1)="&gt;",LEFT(TRIM(C900),LEN(TRIM(C900))-1),C900)),"//","")))</f>
        <v>jam</v>
      </c>
      <c r="F900" t="s">
        <v>6165</v>
      </c>
      <c r="G900" t="str">
        <f>_xlfn.IFNA(VLOOKUP(F900,songs!$B$1:$C$1539, 2, FALSE),"")</f>
        <v>Jam</v>
      </c>
      <c r="H900" t="s">
        <v>19</v>
      </c>
    </row>
    <row r="901" spans="1:8" x14ac:dyDescent="0.25">
      <c r="A901">
        <v>900</v>
      </c>
      <c r="B901" t="s">
        <v>1212</v>
      </c>
      <c r="C901" t="s">
        <v>148</v>
      </c>
      <c r="D901" t="str">
        <f t="shared" si="31"/>
        <v/>
      </c>
      <c r="E901" t="str">
        <f t="shared" si="32"/>
        <v>johnny b. goode</v>
      </c>
      <c r="F901" t="s">
        <v>6192</v>
      </c>
      <c r="G901" t="str">
        <f>_xlfn.IFNA(VLOOKUP(F901,songs!$B$1:$C$1539, 2, FALSE),"")</f>
        <v>Johnny B. Goode</v>
      </c>
      <c r="H901" t="s">
        <v>148</v>
      </c>
    </row>
    <row r="902" spans="1:8" x14ac:dyDescent="0.25">
      <c r="A902">
        <v>901</v>
      </c>
      <c r="B902" t="s">
        <v>1213</v>
      </c>
      <c r="C902" t="s">
        <v>133</v>
      </c>
      <c r="D902" t="str">
        <f t="shared" si="31"/>
        <v/>
      </c>
      <c r="E902" t="str">
        <f t="shared" si="32"/>
        <v>uncle john's band</v>
      </c>
      <c r="F902" t="s">
        <v>7466</v>
      </c>
      <c r="G902" t="str">
        <f>_xlfn.IFNA(VLOOKUP(F902,songs!$B$1:$C$1539, 2, FALSE),"")</f>
        <v>Uncle John's Band</v>
      </c>
      <c r="H902" t="s">
        <v>133</v>
      </c>
    </row>
    <row r="903" spans="1:8" x14ac:dyDescent="0.25">
      <c r="A903">
        <v>902</v>
      </c>
      <c r="B903" t="s">
        <v>1214</v>
      </c>
      <c r="C903" t="s">
        <v>419</v>
      </c>
      <c r="D903" t="str">
        <f t="shared" si="31"/>
        <v/>
      </c>
      <c r="E903" t="str">
        <f t="shared" si="32"/>
        <v>playing in the band</v>
      </c>
      <c r="F903" t="s">
        <v>6769</v>
      </c>
      <c r="G903" t="str">
        <f>_xlfn.IFNA(VLOOKUP(F903,songs!$B$1:$C$1539, 2, FALSE),"")</f>
        <v>Playing In The Band</v>
      </c>
      <c r="H903" t="s">
        <v>419</v>
      </c>
    </row>
    <row r="904" spans="1:8" x14ac:dyDescent="0.25">
      <c r="A904">
        <v>903</v>
      </c>
      <c r="B904" t="s">
        <v>1215</v>
      </c>
      <c r="C904" t="s">
        <v>291</v>
      </c>
      <c r="D904" t="str">
        <f t="shared" si="31"/>
        <v/>
      </c>
      <c r="E904" t="str">
        <f t="shared" si="32"/>
        <v>loser</v>
      </c>
      <c r="F904" t="s">
        <v>6400</v>
      </c>
      <c r="G904" t="str">
        <f>_xlfn.IFNA(VLOOKUP(F904,songs!$B$1:$C$1539, 2, FALSE),"")</f>
        <v>Loser</v>
      </c>
      <c r="H904" t="s">
        <v>291</v>
      </c>
    </row>
    <row r="905" spans="1:8" x14ac:dyDescent="0.25">
      <c r="A905">
        <v>904</v>
      </c>
      <c r="B905" t="s">
        <v>1216</v>
      </c>
      <c r="C905" t="s">
        <v>701</v>
      </c>
      <c r="D905" t="str">
        <f t="shared" si="31"/>
        <v/>
      </c>
      <c r="E905" t="str">
        <f t="shared" si="32"/>
        <v>hurts me too</v>
      </c>
      <c r="F905" t="s">
        <v>5979</v>
      </c>
      <c r="G905" t="str">
        <f>_xlfn.IFNA(VLOOKUP(F905,songs!$B$1:$C$1539, 2, FALSE),"")</f>
        <v>Hurts Me Too</v>
      </c>
      <c r="H905" t="s">
        <v>701</v>
      </c>
    </row>
    <row r="906" spans="1:8" x14ac:dyDescent="0.25">
      <c r="A906">
        <v>905</v>
      </c>
      <c r="B906" t="s">
        <v>1217</v>
      </c>
      <c r="C906" t="s">
        <v>225</v>
      </c>
      <c r="D906" t="str">
        <f t="shared" si="31"/>
        <v/>
      </c>
      <c r="E906" t="str">
        <f t="shared" si="32"/>
        <v>cumberland blues</v>
      </c>
      <c r="F906" t="s">
        <v>5411</v>
      </c>
      <c r="G906" t="str">
        <f>_xlfn.IFNA(VLOOKUP(F906,songs!$B$1:$C$1539, 2, FALSE),"")</f>
        <v>Cumberland Blues</v>
      </c>
      <c r="H906" t="s">
        <v>225</v>
      </c>
    </row>
    <row r="907" spans="1:8" x14ac:dyDescent="0.25">
      <c r="A907">
        <v>906</v>
      </c>
      <c r="B907" t="s">
        <v>1218</v>
      </c>
      <c r="C907" t="s">
        <v>1219</v>
      </c>
      <c r="D907" t="str">
        <f t="shared" si="31"/>
        <v/>
      </c>
      <c r="E907" t="str">
        <f t="shared" si="32"/>
        <v>empty pages</v>
      </c>
      <c r="F907" t="s">
        <v>5607</v>
      </c>
      <c r="G907" t="str">
        <f>_xlfn.IFNA(VLOOKUP(F907,songs!$B$1:$C$1539, 2, FALSE),"")</f>
        <v>Empty Pages</v>
      </c>
      <c r="H907" t="s">
        <v>1219</v>
      </c>
    </row>
    <row r="908" spans="1:8" x14ac:dyDescent="0.25">
      <c r="A908">
        <v>907</v>
      </c>
      <c r="B908" t="s">
        <v>1220</v>
      </c>
      <c r="C908" t="s">
        <v>431</v>
      </c>
      <c r="D908" t="str">
        <f t="shared" si="31"/>
        <v/>
      </c>
      <c r="E908" t="str">
        <f t="shared" si="32"/>
        <v>beat it on down the line</v>
      </c>
      <c r="F908" t="s">
        <v>5149</v>
      </c>
      <c r="G908" t="str">
        <f>_xlfn.IFNA(VLOOKUP(F908,songs!$B$1:$C$1539, 2, FALSE),"")</f>
        <v>Beat It On Down The Line</v>
      </c>
      <c r="H908" t="s">
        <v>431</v>
      </c>
    </row>
    <row r="909" spans="1:8" x14ac:dyDescent="0.25">
      <c r="A909">
        <v>908</v>
      </c>
      <c r="B909" t="s">
        <v>1221</v>
      </c>
      <c r="C909" t="s">
        <v>1222</v>
      </c>
      <c r="D909" t="str">
        <f t="shared" si="31"/>
        <v/>
      </c>
      <c r="E909" t="str">
        <f t="shared" si="32"/>
        <v>brown eyed women</v>
      </c>
      <c r="F909" t="s">
        <v>5255</v>
      </c>
      <c r="G909" t="str">
        <f>_xlfn.IFNA(VLOOKUP(F909,songs!$B$1:$C$1539, 2, FALSE),"")</f>
        <v>Brown Eyed Women</v>
      </c>
      <c r="H909" t="s">
        <v>1222</v>
      </c>
    </row>
    <row r="910" spans="1:8" x14ac:dyDescent="0.25">
      <c r="A910">
        <v>954</v>
      </c>
      <c r="B910" t="s">
        <v>1274</v>
      </c>
      <c r="C910" t="s">
        <v>1275</v>
      </c>
      <c r="D910" t="str">
        <f t="shared" si="31"/>
        <v/>
      </c>
      <c r="E910" t="str">
        <f t="shared" si="32"/>
        <v>lazy lightning ]</v>
      </c>
      <c r="F910" t="s">
        <v>6293</v>
      </c>
      <c r="G910" t="str">
        <f>_xlfn.IFNA(VLOOKUP(F910,songs!$B$1:$C$1539, 2, FALSE),"")</f>
        <v>Lazy Lightning</v>
      </c>
      <c r="H910" t="s">
        <v>7867</v>
      </c>
    </row>
    <row r="911" spans="1:8" x14ac:dyDescent="0.25">
      <c r="A911">
        <v>910</v>
      </c>
      <c r="B911" t="s">
        <v>1224</v>
      </c>
      <c r="C911" t="s">
        <v>34</v>
      </c>
      <c r="D911" t="str">
        <f t="shared" si="31"/>
        <v/>
      </c>
      <c r="E911" t="str">
        <f t="shared" si="32"/>
        <v>not fade away</v>
      </c>
      <c r="F911" t="s">
        <v>6651</v>
      </c>
      <c r="G911" t="str">
        <f>_xlfn.IFNA(VLOOKUP(F911,songs!$B$1:$C$1539, 2, FALSE),"")</f>
        <v>Not Fade Away</v>
      </c>
      <c r="H911" t="s">
        <v>34</v>
      </c>
    </row>
    <row r="912" spans="1:8" x14ac:dyDescent="0.25">
      <c r="A912">
        <v>956</v>
      </c>
      <c r="B912" t="s">
        <v>1277</v>
      </c>
      <c r="C912" t="s">
        <v>615</v>
      </c>
      <c r="D912" t="str">
        <f t="shared" si="31"/>
        <v/>
      </c>
      <c r="E912" t="str">
        <f t="shared" si="32"/>
        <v>brown-eyed women</v>
      </c>
      <c r="F912" t="s">
        <v>5255</v>
      </c>
      <c r="G912" t="str">
        <f>_xlfn.IFNA(VLOOKUP(F912,songs!$B$1:$C$1539, 2, FALSE),"")</f>
        <v>Brown Eyed Women</v>
      </c>
      <c r="H912" t="s">
        <v>7867</v>
      </c>
    </row>
    <row r="913" spans="1:8" x14ac:dyDescent="0.25">
      <c r="A913">
        <v>912</v>
      </c>
      <c r="B913" t="s">
        <v>1226</v>
      </c>
      <c r="C913" t="s">
        <v>34</v>
      </c>
      <c r="D913" t="str">
        <f t="shared" si="31"/>
        <v/>
      </c>
      <c r="E913" t="str">
        <f t="shared" si="32"/>
        <v>not fade away</v>
      </c>
      <c r="F913" t="s">
        <v>6651</v>
      </c>
      <c r="G913" t="str">
        <f>_xlfn.IFNA(VLOOKUP(F913,songs!$B$1:$C$1539, 2, FALSE),"")</f>
        <v>Not Fade Away</v>
      </c>
      <c r="H913" t="s">
        <v>34</v>
      </c>
    </row>
    <row r="914" spans="1:8" x14ac:dyDescent="0.25">
      <c r="A914">
        <v>913</v>
      </c>
      <c r="B914" t="s">
        <v>1227</v>
      </c>
      <c r="C914" t="s">
        <v>1228</v>
      </c>
      <c r="D914" t="str">
        <f t="shared" si="31"/>
        <v/>
      </c>
      <c r="E914" t="str">
        <f t="shared" si="32"/>
        <v>me and bobby mcgee</v>
      </c>
      <c r="F914" t="s">
        <v>6483</v>
      </c>
      <c r="G914" t="str">
        <f>_xlfn.IFNA(VLOOKUP(F914,songs!$B$1:$C$1539, 2, FALSE),"")</f>
        <v>Me And Bobby McGee</v>
      </c>
      <c r="H914" t="s">
        <v>1228</v>
      </c>
    </row>
    <row r="915" spans="1:8" x14ac:dyDescent="0.25">
      <c r="A915">
        <v>914</v>
      </c>
      <c r="B915" t="s">
        <v>1229</v>
      </c>
      <c r="C915" t="s">
        <v>1196</v>
      </c>
      <c r="D915" t="str">
        <f t="shared" si="31"/>
        <v/>
      </c>
      <c r="E915" t="str">
        <f t="shared" si="32"/>
        <v>big boss man</v>
      </c>
      <c r="F915" t="s">
        <v>5163</v>
      </c>
      <c r="G915" t="str">
        <f>_xlfn.IFNA(VLOOKUP(F915,songs!$B$1:$C$1539, 2, FALSE),"")</f>
        <v>Big Boss Man</v>
      </c>
      <c r="H915" t="s">
        <v>1196</v>
      </c>
    </row>
    <row r="916" spans="1:8" x14ac:dyDescent="0.25">
      <c r="A916">
        <v>915</v>
      </c>
      <c r="B916" t="s">
        <v>1230</v>
      </c>
      <c r="C916" t="s">
        <v>145</v>
      </c>
      <c r="D916" t="str">
        <f t="shared" si="31"/>
        <v/>
      </c>
      <c r="E916" t="str">
        <f t="shared" si="32"/>
        <v>brokedown palace</v>
      </c>
      <c r="F916" t="s">
        <v>5250</v>
      </c>
      <c r="G916" t="str">
        <f>_xlfn.IFNA(VLOOKUP(F916,songs!$B$1:$C$1539, 2, FALSE),"")</f>
        <v>Brokedown Palace</v>
      </c>
      <c r="H916" t="s">
        <v>145</v>
      </c>
    </row>
    <row r="917" spans="1:8" x14ac:dyDescent="0.25">
      <c r="A917">
        <v>916</v>
      </c>
      <c r="B917" t="s">
        <v>1231</v>
      </c>
      <c r="C917" t="s">
        <v>242</v>
      </c>
      <c r="D917" t="str">
        <f t="shared" ref="D917:D980" si="33">IF(RIGHT(TRIM(C917),2)="-&gt;","&gt;",IF(RIGHT(TRIM(C917),1)="&gt;","&gt;",""))</f>
        <v/>
      </c>
      <c r="E917" t="str">
        <f t="shared" si="32"/>
        <v>good lovin'</v>
      </c>
      <c r="F917" t="s">
        <v>5810</v>
      </c>
      <c r="G917" t="str">
        <f>_xlfn.IFNA(VLOOKUP(F917,songs!$B$1:$C$1539, 2, FALSE),"")</f>
        <v>Good Lovin'</v>
      </c>
      <c r="H917" t="s">
        <v>242</v>
      </c>
    </row>
    <row r="918" spans="1:8" x14ac:dyDescent="0.25">
      <c r="A918">
        <v>917</v>
      </c>
      <c r="B918" t="s">
        <v>1232</v>
      </c>
      <c r="C918" t="s">
        <v>92</v>
      </c>
      <c r="D918" t="str">
        <f t="shared" si="33"/>
        <v/>
      </c>
      <c r="E918" t="str">
        <f t="shared" si="32"/>
        <v>dark star</v>
      </c>
      <c r="F918" t="s">
        <v>5428</v>
      </c>
      <c r="G918" t="str">
        <f>_xlfn.IFNA(VLOOKUP(F918,songs!$B$1:$C$1539, 2, FALSE),"")</f>
        <v>Dark Star</v>
      </c>
      <c r="H918" t="s">
        <v>92</v>
      </c>
    </row>
    <row r="919" spans="1:8" x14ac:dyDescent="0.25">
      <c r="A919">
        <v>918</v>
      </c>
      <c r="B919" t="s">
        <v>1233</v>
      </c>
      <c r="C919" t="s">
        <v>212</v>
      </c>
      <c r="D919" t="str">
        <f t="shared" si="33"/>
        <v/>
      </c>
      <c r="E919" t="str">
        <f t="shared" si="32"/>
        <v>morning dew</v>
      </c>
      <c r="F919" t="s">
        <v>6555</v>
      </c>
      <c r="G919" t="str">
        <f>_xlfn.IFNA(VLOOKUP(F919,songs!$B$1:$C$1539, 2, FALSE),"")</f>
        <v>Morning Dew</v>
      </c>
      <c r="H919" t="s">
        <v>212</v>
      </c>
    </row>
    <row r="920" spans="1:8" x14ac:dyDescent="0.25">
      <c r="A920">
        <v>919</v>
      </c>
      <c r="B920" t="s">
        <v>1234</v>
      </c>
      <c r="C920" t="s">
        <v>431</v>
      </c>
      <c r="D920" t="str">
        <f t="shared" si="33"/>
        <v/>
      </c>
      <c r="E920" t="str">
        <f t="shared" si="32"/>
        <v>beat it on down the line</v>
      </c>
      <c r="F920" t="s">
        <v>5149</v>
      </c>
      <c r="G920" t="str">
        <f>_xlfn.IFNA(VLOOKUP(F920,songs!$B$1:$C$1539, 2, FALSE),"")</f>
        <v>Beat It On Down The Line</v>
      </c>
      <c r="H920" t="s">
        <v>431</v>
      </c>
    </row>
    <row r="921" spans="1:8" x14ac:dyDescent="0.25">
      <c r="A921">
        <v>920</v>
      </c>
      <c r="B921" t="s">
        <v>1235</v>
      </c>
      <c r="C921" t="s">
        <v>458</v>
      </c>
      <c r="D921" t="str">
        <f t="shared" si="33"/>
        <v/>
      </c>
      <c r="E921" t="str">
        <f t="shared" si="32"/>
        <v>mississippi half-step uptown toodeloo</v>
      </c>
      <c r="F921" t="s">
        <v>6531</v>
      </c>
      <c r="G921" t="str">
        <f>_xlfn.IFNA(VLOOKUP(F921,songs!$B$1:$C$1539, 2, FALSE),"")</f>
        <v>Mississippi Half-Step Uptown Toodeloo</v>
      </c>
      <c r="H921" t="s">
        <v>458</v>
      </c>
    </row>
    <row r="922" spans="1:8" x14ac:dyDescent="0.25">
      <c r="A922">
        <v>921</v>
      </c>
      <c r="B922" t="s">
        <v>1236</v>
      </c>
      <c r="C922" t="s">
        <v>30</v>
      </c>
      <c r="D922" t="str">
        <f t="shared" si="33"/>
        <v/>
      </c>
      <c r="E922" t="str">
        <f t="shared" si="32"/>
        <v>sugar magnolia</v>
      </c>
      <c r="F922" t="s">
        <v>7150</v>
      </c>
      <c r="G922" t="str">
        <f>_xlfn.IFNA(VLOOKUP(F922,songs!$B$1:$C$1539, 2, FALSE),"")</f>
        <v>Sugar Magnolia</v>
      </c>
      <c r="H922" t="s">
        <v>30</v>
      </c>
    </row>
    <row r="923" spans="1:8" x14ac:dyDescent="0.25">
      <c r="A923">
        <v>922</v>
      </c>
      <c r="B923" t="s">
        <v>1237</v>
      </c>
      <c r="C923" t="s">
        <v>464</v>
      </c>
      <c r="D923" t="str">
        <f t="shared" si="33"/>
        <v/>
      </c>
      <c r="E923" t="str">
        <f t="shared" si="32"/>
        <v>friend of the devil</v>
      </c>
      <c r="F923" t="s">
        <v>5721</v>
      </c>
      <c r="G923" t="str">
        <f>_xlfn.IFNA(VLOOKUP(F923,songs!$B$1:$C$1539, 2, FALSE),"")</f>
        <v>Friend Of The Devil</v>
      </c>
      <c r="H923" t="s">
        <v>464</v>
      </c>
    </row>
    <row r="924" spans="1:8" x14ac:dyDescent="0.25">
      <c r="A924">
        <v>923</v>
      </c>
      <c r="B924" t="s">
        <v>1238</v>
      </c>
      <c r="C924" t="s">
        <v>130</v>
      </c>
      <c r="D924" t="str">
        <f t="shared" si="33"/>
        <v/>
      </c>
      <c r="E924" t="str">
        <f t="shared" si="32"/>
        <v>promised land</v>
      </c>
      <c r="F924" t="s">
        <v>6797</v>
      </c>
      <c r="G924" t="str">
        <f>_xlfn.IFNA(VLOOKUP(F924,songs!$B$1:$C$1539, 2, FALSE),"")</f>
        <v>Promised Land</v>
      </c>
      <c r="H924" t="s">
        <v>130</v>
      </c>
    </row>
    <row r="925" spans="1:8" x14ac:dyDescent="0.25">
      <c r="A925">
        <v>924</v>
      </c>
      <c r="B925" t="s">
        <v>1239</v>
      </c>
      <c r="C925" t="s">
        <v>323</v>
      </c>
      <c r="D925" t="str">
        <f t="shared" si="33"/>
        <v/>
      </c>
      <c r="E925" t="str">
        <f t="shared" si="32"/>
        <v>bird song</v>
      </c>
      <c r="F925" t="s">
        <v>5184</v>
      </c>
      <c r="G925" t="str">
        <f>_xlfn.IFNA(VLOOKUP(F925,songs!$B$1:$C$1539, 2, FALSE),"")</f>
        <v>Bird Song</v>
      </c>
      <c r="H925" t="s">
        <v>323</v>
      </c>
    </row>
    <row r="926" spans="1:8" x14ac:dyDescent="0.25">
      <c r="A926">
        <v>925</v>
      </c>
      <c r="B926" t="s">
        <v>1240</v>
      </c>
      <c r="C926" t="s">
        <v>327</v>
      </c>
      <c r="D926" t="str">
        <f t="shared" si="33"/>
        <v/>
      </c>
      <c r="E926" t="str">
        <f t="shared" si="32"/>
        <v>el paso</v>
      </c>
      <c r="F926" t="s">
        <v>5600</v>
      </c>
      <c r="G926" t="str">
        <f>_xlfn.IFNA(VLOOKUP(F926,songs!$B$1:$C$1539, 2, FALSE),"")</f>
        <v>El Paso</v>
      </c>
      <c r="H926" t="s">
        <v>327</v>
      </c>
    </row>
    <row r="927" spans="1:8" x14ac:dyDescent="0.25">
      <c r="A927">
        <v>926</v>
      </c>
      <c r="B927" t="s">
        <v>1241</v>
      </c>
      <c r="C927" t="s">
        <v>84</v>
      </c>
      <c r="D927" t="str">
        <f t="shared" si="33"/>
        <v/>
      </c>
      <c r="E927" t="str">
        <f t="shared" si="32"/>
        <v>china cat sunflower</v>
      </c>
      <c r="F927" t="s">
        <v>5319</v>
      </c>
      <c r="G927" t="str">
        <f>_xlfn.IFNA(VLOOKUP(F927,songs!$B$1:$C$1539, 2, FALSE),"")</f>
        <v>China Cat Sunflower</v>
      </c>
      <c r="H927" t="s">
        <v>84</v>
      </c>
    </row>
    <row r="928" spans="1:8" x14ac:dyDescent="0.25">
      <c r="A928">
        <v>927</v>
      </c>
      <c r="B928" t="s">
        <v>1242</v>
      </c>
      <c r="C928" t="s">
        <v>86</v>
      </c>
      <c r="D928" t="str">
        <f t="shared" si="33"/>
        <v/>
      </c>
      <c r="E928" t="str">
        <f t="shared" si="32"/>
        <v>i know you rider</v>
      </c>
      <c r="F928" t="s">
        <v>6020</v>
      </c>
      <c r="G928" t="str">
        <f>_xlfn.IFNA(VLOOKUP(F928,songs!$B$1:$C$1539, 2, FALSE),"")</f>
        <v>I Know You Rider</v>
      </c>
      <c r="H928" t="s">
        <v>86</v>
      </c>
    </row>
    <row r="929" spans="1:8" x14ac:dyDescent="0.25">
      <c r="A929">
        <v>928</v>
      </c>
      <c r="B929" t="s">
        <v>1243</v>
      </c>
      <c r="C929" t="s">
        <v>1244</v>
      </c>
      <c r="D929" t="str">
        <f t="shared" si="33"/>
        <v/>
      </c>
      <c r="E929" t="str">
        <f t="shared" si="32"/>
        <v>black throated wind</v>
      </c>
      <c r="F929" t="s">
        <v>5193</v>
      </c>
      <c r="G929" t="str">
        <f>_xlfn.IFNA(VLOOKUP(F929,songs!$B$1:$C$1539, 2, FALSE),"")</f>
        <v>Black Throated Wind</v>
      </c>
      <c r="H929" t="s">
        <v>1244</v>
      </c>
    </row>
    <row r="930" spans="1:8" x14ac:dyDescent="0.25">
      <c r="A930">
        <v>929</v>
      </c>
      <c r="B930" t="s">
        <v>1245</v>
      </c>
      <c r="C930" t="s">
        <v>9</v>
      </c>
      <c r="D930" t="str">
        <f t="shared" si="33"/>
        <v/>
      </c>
      <c r="E930" t="str">
        <f t="shared" si="32"/>
        <v>big railroad blues</v>
      </c>
      <c r="F930" t="s">
        <v>5174</v>
      </c>
      <c r="G930" t="str">
        <f>_xlfn.IFNA(VLOOKUP(F930,songs!$B$1:$C$1539, 2, FALSE),"")</f>
        <v>Big Railroad Blues</v>
      </c>
      <c r="H930" t="s">
        <v>9</v>
      </c>
    </row>
    <row r="931" spans="1:8" x14ac:dyDescent="0.25">
      <c r="A931">
        <v>930</v>
      </c>
      <c r="B931" t="s">
        <v>1246</v>
      </c>
      <c r="C931" t="s">
        <v>199</v>
      </c>
      <c r="D931" t="str">
        <f t="shared" si="33"/>
        <v/>
      </c>
      <c r="E931" t="str">
        <f t="shared" si="32"/>
        <v>jack straw</v>
      </c>
      <c r="F931" t="s">
        <v>6161</v>
      </c>
      <c r="G931" t="str">
        <f>_xlfn.IFNA(VLOOKUP(F931,songs!$B$1:$C$1539, 2, FALSE),"")</f>
        <v>Jack Straw</v>
      </c>
      <c r="H931" t="s">
        <v>199</v>
      </c>
    </row>
    <row r="932" spans="1:8" x14ac:dyDescent="0.25">
      <c r="A932">
        <v>931</v>
      </c>
      <c r="B932" t="s">
        <v>1247</v>
      </c>
      <c r="C932" t="s">
        <v>291</v>
      </c>
      <c r="D932" t="str">
        <f t="shared" si="33"/>
        <v/>
      </c>
      <c r="E932" t="str">
        <f t="shared" si="32"/>
        <v>loser</v>
      </c>
      <c r="F932" t="s">
        <v>6400</v>
      </c>
      <c r="G932" t="str">
        <f>_xlfn.IFNA(VLOOKUP(F932,songs!$B$1:$C$1539, 2, FALSE),"")</f>
        <v>Loser</v>
      </c>
      <c r="H932" t="s">
        <v>291</v>
      </c>
    </row>
    <row r="933" spans="1:8" x14ac:dyDescent="0.25">
      <c r="A933">
        <v>932</v>
      </c>
      <c r="B933" t="s">
        <v>1248</v>
      </c>
      <c r="C933" t="s">
        <v>3</v>
      </c>
      <c r="D933" t="str">
        <f t="shared" si="33"/>
        <v/>
      </c>
      <c r="E933" t="str">
        <f t="shared" si="32"/>
        <v>big river</v>
      </c>
      <c r="F933" t="s">
        <v>5175</v>
      </c>
      <c r="G933" t="str">
        <f>_xlfn.IFNA(VLOOKUP(F933,songs!$B$1:$C$1539, 2, FALSE),"")</f>
        <v>Big River</v>
      </c>
      <c r="H933" t="s">
        <v>3</v>
      </c>
    </row>
    <row r="934" spans="1:8" x14ac:dyDescent="0.25">
      <c r="A934">
        <v>933</v>
      </c>
      <c r="B934" t="s">
        <v>1249</v>
      </c>
      <c r="C934" t="s">
        <v>436</v>
      </c>
      <c r="D934" t="str">
        <f t="shared" si="33"/>
        <v/>
      </c>
      <c r="E934" t="str">
        <f t="shared" si="32"/>
        <v>ramble on rose</v>
      </c>
      <c r="F934" t="s">
        <v>6827</v>
      </c>
      <c r="G934" t="str">
        <f>_xlfn.IFNA(VLOOKUP(F934,songs!$B$1:$C$1539, 2, FALSE),"")</f>
        <v>Ramble On Rose</v>
      </c>
      <c r="H934" t="s">
        <v>436</v>
      </c>
    </row>
    <row r="935" spans="1:8" x14ac:dyDescent="0.25">
      <c r="A935">
        <v>934</v>
      </c>
      <c r="B935" t="s">
        <v>1250</v>
      </c>
      <c r="C935" t="s">
        <v>225</v>
      </c>
      <c r="D935" t="str">
        <f t="shared" si="33"/>
        <v/>
      </c>
      <c r="E935" t="str">
        <f t="shared" si="32"/>
        <v>cumberland blues</v>
      </c>
      <c r="F935" t="s">
        <v>5411</v>
      </c>
      <c r="G935" t="str">
        <f>_xlfn.IFNA(VLOOKUP(F935,songs!$B$1:$C$1539, 2, FALSE),"")</f>
        <v>Cumberland Blues</v>
      </c>
      <c r="H935" t="s">
        <v>225</v>
      </c>
    </row>
    <row r="936" spans="1:8" x14ac:dyDescent="0.25">
      <c r="A936">
        <v>935</v>
      </c>
      <c r="B936" t="s">
        <v>1251</v>
      </c>
      <c r="C936" t="s">
        <v>419</v>
      </c>
      <c r="D936" t="str">
        <f t="shared" si="33"/>
        <v/>
      </c>
      <c r="E936" t="str">
        <f t="shared" si="32"/>
        <v>playing in the band</v>
      </c>
      <c r="F936" t="s">
        <v>6769</v>
      </c>
      <c r="G936" t="str">
        <f>_xlfn.IFNA(VLOOKUP(F936,songs!$B$1:$C$1539, 2, FALSE),"")</f>
        <v>Playing In The Band</v>
      </c>
      <c r="H936" t="s">
        <v>419</v>
      </c>
    </row>
    <row r="937" spans="1:8" x14ac:dyDescent="0.25">
      <c r="A937">
        <v>936</v>
      </c>
      <c r="B937" t="s">
        <v>1252</v>
      </c>
      <c r="C937" t="s">
        <v>13</v>
      </c>
      <c r="D937" t="str">
        <f t="shared" si="33"/>
        <v/>
      </c>
      <c r="E937" t="str">
        <f t="shared" si="32"/>
        <v>he's gone</v>
      </c>
      <c r="F937" t="s">
        <v>5903</v>
      </c>
      <c r="G937" t="str">
        <f>_xlfn.IFNA(VLOOKUP(F937,songs!$B$1:$C$1539, 2, FALSE),"")</f>
        <v>He's Gone</v>
      </c>
      <c r="H937" t="s">
        <v>13</v>
      </c>
    </row>
    <row r="938" spans="1:8" x14ac:dyDescent="0.25">
      <c r="A938">
        <v>937</v>
      </c>
      <c r="B938" t="s">
        <v>1253</v>
      </c>
      <c r="C938" t="s">
        <v>15</v>
      </c>
      <c r="D938" t="str">
        <f t="shared" si="33"/>
        <v/>
      </c>
      <c r="E938" t="str">
        <f t="shared" si="32"/>
        <v>truckin'</v>
      </c>
      <c r="F938" t="s">
        <v>7436</v>
      </c>
      <c r="G938" t="str">
        <f>_xlfn.IFNA(VLOOKUP(F938,songs!$B$1:$C$1539, 2, FALSE),"")</f>
        <v>Truckin'</v>
      </c>
      <c r="H938" t="s">
        <v>15</v>
      </c>
    </row>
    <row r="939" spans="1:8" x14ac:dyDescent="0.25">
      <c r="A939">
        <v>938</v>
      </c>
      <c r="B939" t="s">
        <v>1254</v>
      </c>
      <c r="C939" t="s">
        <v>221</v>
      </c>
      <c r="D939" t="str">
        <f t="shared" si="33"/>
        <v/>
      </c>
      <c r="E939" t="str">
        <f t="shared" si="32"/>
        <v>black peter</v>
      </c>
      <c r="F939" t="s">
        <v>5190</v>
      </c>
      <c r="G939" t="str">
        <f>_xlfn.IFNA(VLOOKUP(F939,songs!$B$1:$C$1539, 2, FALSE),"")</f>
        <v>Black Peter</v>
      </c>
      <c r="H939" t="s">
        <v>221</v>
      </c>
    </row>
    <row r="940" spans="1:8" x14ac:dyDescent="0.25">
      <c r="A940">
        <v>939</v>
      </c>
      <c r="B940" t="s">
        <v>1255</v>
      </c>
      <c r="C940" t="s">
        <v>186</v>
      </c>
      <c r="D940" t="str">
        <f t="shared" si="33"/>
        <v/>
      </c>
      <c r="E940" t="str">
        <f t="shared" si="32"/>
        <v>mexicali blues</v>
      </c>
      <c r="F940" t="s">
        <v>6499</v>
      </c>
      <c r="G940" t="str">
        <f>_xlfn.IFNA(VLOOKUP(F940,songs!$B$1:$C$1539, 2, FALSE),"")</f>
        <v>Mexicali Blues</v>
      </c>
      <c r="H940" t="s">
        <v>186</v>
      </c>
    </row>
    <row r="941" spans="1:8" x14ac:dyDescent="0.25">
      <c r="A941">
        <v>940</v>
      </c>
      <c r="B941" t="s">
        <v>1256</v>
      </c>
      <c r="C941" t="s">
        <v>34</v>
      </c>
      <c r="D941" t="str">
        <f t="shared" si="33"/>
        <v/>
      </c>
      <c r="E941" t="str">
        <f t="shared" si="32"/>
        <v>not fade away</v>
      </c>
      <c r="F941" t="s">
        <v>6651</v>
      </c>
      <c r="G941" t="str">
        <f>_xlfn.IFNA(VLOOKUP(F941,songs!$B$1:$C$1539, 2, FALSE),"")</f>
        <v>Not Fade Away</v>
      </c>
      <c r="H941" t="s">
        <v>34</v>
      </c>
    </row>
    <row r="942" spans="1:8" x14ac:dyDescent="0.25">
      <c r="A942">
        <v>958</v>
      </c>
      <c r="B942" t="s">
        <v>1279</v>
      </c>
      <c r="C942" t="s">
        <v>1280</v>
      </c>
      <c r="D942" t="str">
        <f t="shared" si="33"/>
        <v/>
      </c>
      <c r="E942" t="str">
        <f t="shared" si="32"/>
        <v>scarlet begonias ]</v>
      </c>
      <c r="F942" t="s">
        <v>6944</v>
      </c>
      <c r="G942" t="str">
        <f>_xlfn.IFNA(VLOOKUP(F942,songs!$B$1:$C$1539, 2, FALSE),"")</f>
        <v>Scarlet Begonias</v>
      </c>
      <c r="H942" t="s">
        <v>7867</v>
      </c>
    </row>
    <row r="943" spans="1:8" x14ac:dyDescent="0.25">
      <c r="A943">
        <v>942</v>
      </c>
      <c r="B943" t="s">
        <v>1259</v>
      </c>
      <c r="C943" t="s">
        <v>34</v>
      </c>
      <c r="D943" t="str">
        <f t="shared" si="33"/>
        <v/>
      </c>
      <c r="E943" t="str">
        <f t="shared" si="32"/>
        <v>not fade away</v>
      </c>
      <c r="F943" t="s">
        <v>6651</v>
      </c>
      <c r="G943" t="str">
        <f>_xlfn.IFNA(VLOOKUP(F943,songs!$B$1:$C$1539, 2, FALSE),"")</f>
        <v>Not Fade Away</v>
      </c>
      <c r="H943" t="s">
        <v>34</v>
      </c>
    </row>
    <row r="944" spans="1:8" x14ac:dyDescent="0.25">
      <c r="A944">
        <v>943</v>
      </c>
      <c r="B944" t="s">
        <v>1260</v>
      </c>
      <c r="C944" t="s">
        <v>956</v>
      </c>
      <c r="D944" t="str">
        <f t="shared" si="33"/>
        <v/>
      </c>
      <c r="E944" t="str">
        <f t="shared" si="32"/>
        <v>one more saturday night</v>
      </c>
      <c r="F944" t="s">
        <v>6702</v>
      </c>
      <c r="G944" t="str">
        <f>_xlfn.IFNA(VLOOKUP(F944,songs!$B$1:$C$1539, 2, FALSE),"")</f>
        <v>One More Saturday Night</v>
      </c>
      <c r="H944" t="s">
        <v>956</v>
      </c>
    </row>
    <row r="945" spans="1:8" x14ac:dyDescent="0.25">
      <c r="A945">
        <v>960</v>
      </c>
      <c r="B945" t="s">
        <v>1282</v>
      </c>
      <c r="C945" t="s">
        <v>1283</v>
      </c>
      <c r="D945" t="str">
        <f t="shared" si="33"/>
        <v/>
      </c>
      <c r="E945" t="str">
        <f t="shared" si="32"/>
        <v>estimated prophet ]</v>
      </c>
      <c r="F945" t="s">
        <v>5612</v>
      </c>
      <c r="G945" t="str">
        <f>_xlfn.IFNA(VLOOKUP(F945,songs!$B$1:$C$1539, 2, FALSE),"")</f>
        <v>Estimated Prophet</v>
      </c>
      <c r="H945" t="s">
        <v>7867</v>
      </c>
    </row>
    <row r="946" spans="1:8" x14ac:dyDescent="0.25">
      <c r="A946">
        <v>961</v>
      </c>
      <c r="B946" t="s">
        <v>1284</v>
      </c>
      <c r="C946" t="s">
        <v>1285</v>
      </c>
      <c r="D946" t="str">
        <f t="shared" si="33"/>
        <v/>
      </c>
      <c r="E946" t="str">
        <f t="shared" si="32"/>
        <v>he's gone ]</v>
      </c>
      <c r="F946" t="s">
        <v>5903</v>
      </c>
      <c r="G946" t="str">
        <f>_xlfn.IFNA(VLOOKUP(F946,songs!$B$1:$C$1539, 2, FALSE),"")</f>
        <v>He's Gone</v>
      </c>
      <c r="H946" t="s">
        <v>7867</v>
      </c>
    </row>
    <row r="947" spans="1:8" x14ac:dyDescent="0.25">
      <c r="A947">
        <v>963</v>
      </c>
      <c r="B947" t="s">
        <v>1287</v>
      </c>
      <c r="C947" t="s">
        <v>1288</v>
      </c>
      <c r="D947" t="str">
        <f t="shared" si="33"/>
        <v/>
      </c>
      <c r="E947" t="str">
        <f t="shared" si="32"/>
        <v>the other one ]</v>
      </c>
      <c r="F947" t="s">
        <v>7325</v>
      </c>
      <c r="G947" t="str">
        <f>_xlfn.IFNA(VLOOKUP(F947,songs!$B$1:$C$1539, 2, FALSE),"")</f>
        <v>The Other One</v>
      </c>
      <c r="H947" t="s">
        <v>7867</v>
      </c>
    </row>
    <row r="948" spans="1:8" x14ac:dyDescent="0.25">
      <c r="A948">
        <v>947</v>
      </c>
      <c r="B948" t="s">
        <v>1267</v>
      </c>
      <c r="C948" t="s">
        <v>458</v>
      </c>
      <c r="D948" t="str">
        <f t="shared" si="33"/>
        <v/>
      </c>
      <c r="E948" t="str">
        <f t="shared" si="32"/>
        <v>mississippi half-step uptown toodeloo</v>
      </c>
      <c r="F948" t="s">
        <v>6531</v>
      </c>
      <c r="G948" t="str">
        <f>_xlfn.IFNA(VLOOKUP(F948,songs!$B$1:$C$1539, 2, FALSE),"")</f>
        <v>Mississippi Half-Step Uptown Toodeloo</v>
      </c>
      <c r="H948" t="s">
        <v>458</v>
      </c>
    </row>
    <row r="949" spans="1:8" x14ac:dyDescent="0.25">
      <c r="A949">
        <v>948</v>
      </c>
      <c r="B949" t="s">
        <v>1268</v>
      </c>
      <c r="C949" t="s">
        <v>199</v>
      </c>
      <c r="D949" t="str">
        <f t="shared" si="33"/>
        <v/>
      </c>
      <c r="E949" t="str">
        <f t="shared" si="32"/>
        <v>jack straw</v>
      </c>
      <c r="F949" t="s">
        <v>6161</v>
      </c>
      <c r="G949" t="str">
        <f>_xlfn.IFNA(VLOOKUP(F949,songs!$B$1:$C$1539, 2, FALSE),"")</f>
        <v>Jack Straw</v>
      </c>
      <c r="H949" t="s">
        <v>199</v>
      </c>
    </row>
    <row r="950" spans="1:8" x14ac:dyDescent="0.25">
      <c r="A950">
        <v>949</v>
      </c>
      <c r="B950" t="s">
        <v>1269</v>
      </c>
      <c r="C950" t="s">
        <v>156</v>
      </c>
      <c r="D950" t="str">
        <f t="shared" si="33"/>
        <v/>
      </c>
      <c r="E950" t="str">
        <f t="shared" si="32"/>
        <v>they love each other</v>
      </c>
      <c r="F950" t="s">
        <v>7358</v>
      </c>
      <c r="G950" t="str">
        <f>_xlfn.IFNA(VLOOKUP(F950,songs!$B$1:$C$1539, 2, FALSE),"")</f>
        <v>They Love Each Other</v>
      </c>
      <c r="H950" t="s">
        <v>156</v>
      </c>
    </row>
    <row r="951" spans="1:8" x14ac:dyDescent="0.25">
      <c r="A951">
        <v>950</v>
      </c>
      <c r="B951" t="s">
        <v>1270</v>
      </c>
      <c r="C951" t="s">
        <v>186</v>
      </c>
      <c r="D951" t="str">
        <f t="shared" si="33"/>
        <v/>
      </c>
      <c r="E951" t="str">
        <f t="shared" si="32"/>
        <v>mexicali blues</v>
      </c>
      <c r="F951" t="s">
        <v>6499</v>
      </c>
      <c r="G951" t="str">
        <f>_xlfn.IFNA(VLOOKUP(F951,songs!$B$1:$C$1539, 2, FALSE),"")</f>
        <v>Mexicali Blues</v>
      </c>
      <c r="H951" t="s">
        <v>186</v>
      </c>
    </row>
    <row r="952" spans="1:8" x14ac:dyDescent="0.25">
      <c r="A952">
        <v>951</v>
      </c>
      <c r="B952" t="s">
        <v>1271</v>
      </c>
      <c r="C952" t="s">
        <v>461</v>
      </c>
      <c r="D952" t="str">
        <f t="shared" si="33"/>
        <v/>
      </c>
      <c r="E952" t="str">
        <f t="shared" si="32"/>
        <v>peggy-o</v>
      </c>
      <c r="F952" t="s">
        <v>6749</v>
      </c>
      <c r="G952" t="str">
        <f>_xlfn.IFNA(VLOOKUP(F952,songs!$B$1:$C$1539, 2, FALSE),"")</f>
        <v>Peggy-O</v>
      </c>
      <c r="H952" t="s">
        <v>461</v>
      </c>
    </row>
    <row r="953" spans="1:8" x14ac:dyDescent="0.25">
      <c r="A953">
        <v>952</v>
      </c>
      <c r="B953" t="s">
        <v>1272</v>
      </c>
      <c r="C953" t="s">
        <v>262</v>
      </c>
      <c r="D953" t="str">
        <f t="shared" si="33"/>
        <v/>
      </c>
      <c r="E953" t="str">
        <f t="shared" si="32"/>
        <v>cassidy</v>
      </c>
      <c r="F953" t="s">
        <v>5291</v>
      </c>
      <c r="G953" t="str">
        <f>_xlfn.IFNA(VLOOKUP(F953,songs!$B$1:$C$1539, 2, FALSE),"")</f>
        <v>Cassidy</v>
      </c>
      <c r="H953" t="s">
        <v>262</v>
      </c>
    </row>
    <row r="954" spans="1:8" x14ac:dyDescent="0.25">
      <c r="A954">
        <v>953</v>
      </c>
      <c r="B954" t="s">
        <v>1273</v>
      </c>
      <c r="C954" t="s">
        <v>291</v>
      </c>
      <c r="D954" t="str">
        <f t="shared" si="33"/>
        <v/>
      </c>
      <c r="E954" t="str">
        <f t="shared" si="32"/>
        <v>loser</v>
      </c>
      <c r="F954" t="s">
        <v>6400</v>
      </c>
      <c r="G954" t="str">
        <f>_xlfn.IFNA(VLOOKUP(F954,songs!$B$1:$C$1539, 2, FALSE),"")</f>
        <v>Loser</v>
      </c>
      <c r="H954" t="s">
        <v>291</v>
      </c>
    </row>
    <row r="955" spans="1:8" x14ac:dyDescent="0.25">
      <c r="A955">
        <v>964</v>
      </c>
      <c r="B955" t="s">
        <v>1289</v>
      </c>
      <c r="C955" t="s">
        <v>1290</v>
      </c>
      <c r="D955" t="str">
        <f t="shared" si="33"/>
        <v/>
      </c>
      <c r="E955" t="str">
        <f t="shared" si="32"/>
        <v>wharf rat ]</v>
      </c>
      <c r="F955" t="s">
        <v>7664</v>
      </c>
      <c r="G955" t="str">
        <f>_xlfn.IFNA(VLOOKUP(F955,songs!$B$1:$C$1539, 2, FALSE),"")</f>
        <v>Wharf Rat</v>
      </c>
      <c r="H955" t="s">
        <v>7867</v>
      </c>
    </row>
    <row r="956" spans="1:8" x14ac:dyDescent="0.25">
      <c r="A956">
        <v>955</v>
      </c>
      <c r="B956" t="s">
        <v>1276</v>
      </c>
      <c r="C956" t="s">
        <v>55</v>
      </c>
      <c r="D956" t="str">
        <f t="shared" si="33"/>
        <v/>
      </c>
      <c r="E956" t="str">
        <f t="shared" si="32"/>
        <v>supplication</v>
      </c>
      <c r="F956" t="s">
        <v>7162</v>
      </c>
      <c r="G956" t="str">
        <f>_xlfn.IFNA(VLOOKUP(F956,songs!$B$1:$C$1539, 2, FALSE),"")</f>
        <v>Supplication</v>
      </c>
      <c r="H956" t="s">
        <v>55</v>
      </c>
    </row>
    <row r="957" spans="1:8" x14ac:dyDescent="0.25">
      <c r="A957">
        <v>965</v>
      </c>
      <c r="B957" t="s">
        <v>1291</v>
      </c>
      <c r="C957" t="s">
        <v>1288</v>
      </c>
      <c r="D957" t="str">
        <f t="shared" si="33"/>
        <v/>
      </c>
      <c r="E957" t="str">
        <f t="shared" si="32"/>
        <v>the other one ]</v>
      </c>
      <c r="F957" t="s">
        <v>7325</v>
      </c>
      <c r="G957" t="str">
        <f>_xlfn.IFNA(VLOOKUP(F957,songs!$B$1:$C$1539, 2, FALSE),"")</f>
        <v>The Other One</v>
      </c>
      <c r="H957" t="s">
        <v>7867</v>
      </c>
    </row>
    <row r="958" spans="1:8" x14ac:dyDescent="0.25">
      <c r="A958">
        <v>957</v>
      </c>
      <c r="B958" t="s">
        <v>1278</v>
      </c>
      <c r="C958" t="s">
        <v>130</v>
      </c>
      <c r="D958" t="str">
        <f t="shared" si="33"/>
        <v/>
      </c>
      <c r="E958" t="str">
        <f t="shared" si="32"/>
        <v>promised land</v>
      </c>
      <c r="F958" t="s">
        <v>6797</v>
      </c>
      <c r="G958" t="str">
        <f>_xlfn.IFNA(VLOOKUP(F958,songs!$B$1:$C$1539, 2, FALSE),"")</f>
        <v>Promised Land</v>
      </c>
      <c r="H958" t="s">
        <v>130</v>
      </c>
    </row>
    <row r="959" spans="1:8" x14ac:dyDescent="0.25">
      <c r="A959">
        <v>966</v>
      </c>
      <c r="B959" t="s">
        <v>1292</v>
      </c>
      <c r="C959" t="s">
        <v>1293</v>
      </c>
      <c r="D959" t="str">
        <f t="shared" si="33"/>
        <v/>
      </c>
      <c r="E959" t="str">
        <f t="shared" si="32"/>
        <v>the wheel ]</v>
      </c>
      <c r="F959" t="s">
        <v>7343</v>
      </c>
      <c r="G959" t="str">
        <f>_xlfn.IFNA(VLOOKUP(F959,songs!$B$1:$C$1539, 2, FALSE),"")</f>
        <v>The Wheel</v>
      </c>
      <c r="H959" t="s">
        <v>7867</v>
      </c>
    </row>
    <row r="960" spans="1:8" x14ac:dyDescent="0.25">
      <c r="A960">
        <v>959</v>
      </c>
      <c r="B960" t="s">
        <v>1281</v>
      </c>
      <c r="C960" t="s">
        <v>172</v>
      </c>
      <c r="D960" t="str">
        <f t="shared" si="33"/>
        <v/>
      </c>
      <c r="E960" t="str">
        <f t="shared" si="32"/>
        <v>fire on the mountain</v>
      </c>
      <c r="F960" t="s">
        <v>5675</v>
      </c>
      <c r="G960" t="str">
        <f>_xlfn.IFNA(VLOOKUP(F960,songs!$B$1:$C$1539, 2, FALSE),"")</f>
        <v>Fire On The Mountain</v>
      </c>
      <c r="H960" t="s">
        <v>573</v>
      </c>
    </row>
    <row r="961" spans="1:8" x14ac:dyDescent="0.25">
      <c r="A961">
        <v>971</v>
      </c>
      <c r="B961" t="s">
        <v>1298</v>
      </c>
      <c r="C961" t="s">
        <v>615</v>
      </c>
      <c r="D961" t="str">
        <f t="shared" si="33"/>
        <v/>
      </c>
      <c r="E961" t="str">
        <f t="shared" si="32"/>
        <v>brown-eyed women</v>
      </c>
      <c r="F961" t="s">
        <v>5255</v>
      </c>
      <c r="G961" t="str">
        <f>_xlfn.IFNA(VLOOKUP(F961,songs!$B$1:$C$1539, 2, FALSE),"")</f>
        <v>Brown Eyed Women</v>
      </c>
      <c r="H961" t="s">
        <v>7867</v>
      </c>
    </row>
    <row r="962" spans="1:8" x14ac:dyDescent="0.25">
      <c r="A962">
        <v>975</v>
      </c>
      <c r="B962" t="s">
        <v>1302</v>
      </c>
      <c r="C962" t="s">
        <v>1303</v>
      </c>
      <c r="D962" t="str">
        <f t="shared" si="33"/>
        <v/>
      </c>
      <c r="E962" t="str">
        <f t="shared" si="32"/>
        <v>mexicalli blues</v>
      </c>
      <c r="F962" t="s">
        <v>6499</v>
      </c>
      <c r="G962" t="str">
        <f>_xlfn.IFNA(VLOOKUP(F962,songs!$B$1:$C$1539, 2, FALSE),"")</f>
        <v>Mexicali Blues</v>
      </c>
      <c r="H962" t="s">
        <v>7867</v>
      </c>
    </row>
    <row r="963" spans="1:8" x14ac:dyDescent="0.25">
      <c r="A963">
        <v>962</v>
      </c>
      <c r="B963" t="s">
        <v>1286</v>
      </c>
      <c r="C963" t="s">
        <v>100</v>
      </c>
      <c r="D963" t="str">
        <f t="shared" si="33"/>
        <v/>
      </c>
      <c r="E963" t="str">
        <f t="shared" si="32"/>
        <v>drums</v>
      </c>
      <c r="F963" t="s">
        <v>5568</v>
      </c>
      <c r="G963" t="str">
        <f>_xlfn.IFNA(VLOOKUP(F963,songs!$B$1:$C$1539, 2, FALSE),"")</f>
        <v>Drums</v>
      </c>
      <c r="H963" t="s">
        <v>100</v>
      </c>
    </row>
    <row r="964" spans="1:8" x14ac:dyDescent="0.25">
      <c r="A964">
        <v>983</v>
      </c>
      <c r="B964" t="s">
        <v>1311</v>
      </c>
      <c r="C964" t="s">
        <v>1312</v>
      </c>
      <c r="D964" t="str">
        <f t="shared" si="33"/>
        <v/>
      </c>
      <c r="E964" t="str">
        <f t="shared" ref="E964:E1027" si="34">LOWER(TRIM(SUBSTITUTE(IF(RIGHT(TRIM(C964),2)="-&gt;",LEFT(TRIM(C964),LEN(TRIM(C964))-2),IF(RIGHT(TRIM(C964),1)="&gt;",LEFT(TRIM(C964),LEN(TRIM(C964))-1),C964)),"//","")))</f>
        <v>eyes of the world]</v>
      </c>
      <c r="F964" t="s">
        <v>5633</v>
      </c>
      <c r="G964" t="str">
        <f>_xlfn.IFNA(VLOOKUP(F964,songs!$B$1:$C$1539, 2, FALSE),"")</f>
        <v>Eyes Of The World</v>
      </c>
      <c r="H964" t="s">
        <v>7867</v>
      </c>
    </row>
    <row r="965" spans="1:8" x14ac:dyDescent="0.25">
      <c r="A965">
        <v>987</v>
      </c>
      <c r="B965" t="s">
        <v>1316</v>
      </c>
      <c r="C965" t="s">
        <v>7</v>
      </c>
      <c r="D965" t="str">
        <f t="shared" si="33"/>
        <v/>
      </c>
      <c r="E965" t="str">
        <f t="shared" si="34"/>
        <v>weather report suite</v>
      </c>
      <c r="F965" t="s">
        <v>7658</v>
      </c>
      <c r="G965" t="str">
        <f>_xlfn.IFNA(VLOOKUP(F965,songs!$B$1:$C$1539, 2, FALSE),"")</f>
        <v>Weather Report Suite Prelude &gt; Weather Report Suite Part 1</v>
      </c>
      <c r="H965" t="s">
        <v>7867</v>
      </c>
    </row>
    <row r="966" spans="1:8" x14ac:dyDescent="0.25">
      <c r="A966">
        <v>992</v>
      </c>
      <c r="B966" t="s">
        <v>1321</v>
      </c>
      <c r="C966" t="s">
        <v>1322</v>
      </c>
      <c r="D966" t="str">
        <f t="shared" si="33"/>
        <v/>
      </c>
      <c r="E966" t="str">
        <f t="shared" si="34"/>
        <v>truckin']</v>
      </c>
      <c r="F966" t="s">
        <v>7436</v>
      </c>
      <c r="G966" t="str">
        <f>_xlfn.IFNA(VLOOKUP(F966,songs!$B$1:$C$1539, 2, FALSE),"")</f>
        <v>Truckin'</v>
      </c>
      <c r="H966" t="s">
        <v>7867</v>
      </c>
    </row>
    <row r="967" spans="1:8" x14ac:dyDescent="0.25">
      <c r="A967">
        <v>993</v>
      </c>
      <c r="B967" t="s">
        <v>1323</v>
      </c>
      <c r="C967" t="s">
        <v>1324</v>
      </c>
      <c r="D967" t="str">
        <f t="shared" si="33"/>
        <v/>
      </c>
      <c r="E967" t="str">
        <f t="shared" si="34"/>
        <v>mind left body jam]</v>
      </c>
      <c r="F967" t="s">
        <v>6523</v>
      </c>
      <c r="G967" t="str">
        <f>_xlfn.IFNA(VLOOKUP(F967,songs!$B$1:$C$1539, 2, FALSE),"")</f>
        <v>Mind Left Body Jam</v>
      </c>
      <c r="H967" t="s">
        <v>7867</v>
      </c>
    </row>
    <row r="968" spans="1:8" x14ac:dyDescent="0.25">
      <c r="A968">
        <v>967</v>
      </c>
      <c r="B968" t="s">
        <v>1294</v>
      </c>
      <c r="C968" t="s">
        <v>26</v>
      </c>
      <c r="D968" t="str">
        <f t="shared" si="33"/>
        <v/>
      </c>
      <c r="E968" t="str">
        <f t="shared" si="34"/>
        <v>around and around</v>
      </c>
      <c r="F968" t="s">
        <v>5103</v>
      </c>
      <c r="G968" t="str">
        <f>_xlfn.IFNA(VLOOKUP(F968,songs!$B$1:$C$1539, 2, FALSE),"")</f>
        <v>Around And Around</v>
      </c>
      <c r="H968" t="s">
        <v>579</v>
      </c>
    </row>
    <row r="969" spans="1:8" x14ac:dyDescent="0.25">
      <c r="A969">
        <v>968</v>
      </c>
      <c r="B969" t="s">
        <v>1295</v>
      </c>
      <c r="C969" t="s">
        <v>148</v>
      </c>
      <c r="D969" t="str">
        <f t="shared" si="33"/>
        <v/>
      </c>
      <c r="E969" t="str">
        <f t="shared" si="34"/>
        <v>johnny b. goode</v>
      </c>
      <c r="F969" t="s">
        <v>6192</v>
      </c>
      <c r="G969" t="str">
        <f>_xlfn.IFNA(VLOOKUP(F969,songs!$B$1:$C$1539, 2, FALSE),"")</f>
        <v>Johnny B. Goode</v>
      </c>
      <c r="H969" t="s">
        <v>148</v>
      </c>
    </row>
    <row r="970" spans="1:8" x14ac:dyDescent="0.25">
      <c r="A970">
        <v>969</v>
      </c>
      <c r="B970" t="s">
        <v>1296</v>
      </c>
      <c r="C970" t="s">
        <v>170</v>
      </c>
      <c r="D970" t="str">
        <f t="shared" si="33"/>
        <v/>
      </c>
      <c r="E970" t="str">
        <f t="shared" si="34"/>
        <v>scarlet begonias</v>
      </c>
      <c r="F970" t="s">
        <v>6944</v>
      </c>
      <c r="G970" t="str">
        <f>_xlfn.IFNA(VLOOKUP(F970,songs!$B$1:$C$1539, 2, FALSE),"")</f>
        <v>Scarlet Begonias</v>
      </c>
      <c r="H970" t="s">
        <v>170</v>
      </c>
    </row>
    <row r="971" spans="1:8" x14ac:dyDescent="0.25">
      <c r="A971">
        <v>970</v>
      </c>
      <c r="B971" t="s">
        <v>1297</v>
      </c>
      <c r="C971" t="s">
        <v>595</v>
      </c>
      <c r="D971" t="str">
        <f t="shared" si="33"/>
        <v/>
      </c>
      <c r="E971" t="str">
        <f t="shared" si="34"/>
        <v>me and my uncle</v>
      </c>
      <c r="F971" t="s">
        <v>6486</v>
      </c>
      <c r="G971" t="str">
        <f>_xlfn.IFNA(VLOOKUP(F971,songs!$B$1:$C$1539, 2, FALSE),"")</f>
        <v>Me And My Uncle</v>
      </c>
      <c r="H971" t="s">
        <v>903</v>
      </c>
    </row>
    <row r="972" spans="1:8" x14ac:dyDescent="0.25">
      <c r="A972">
        <v>994</v>
      </c>
      <c r="B972" t="s">
        <v>1325</v>
      </c>
      <c r="C972" t="s">
        <v>1326</v>
      </c>
      <c r="D972" t="str">
        <f t="shared" si="33"/>
        <v/>
      </c>
      <c r="E972" t="str">
        <f t="shared" si="34"/>
        <v>spanish jam]</v>
      </c>
      <c r="F972" t="s">
        <v>7094</v>
      </c>
      <c r="G972" t="str">
        <f>_xlfn.IFNA(VLOOKUP(F972,songs!$B$1:$C$1539, 2, FALSE),"")</f>
        <v>Spanish Jam</v>
      </c>
      <c r="H972" t="s">
        <v>7867</v>
      </c>
    </row>
    <row r="973" spans="1:8" x14ac:dyDescent="0.25">
      <c r="A973">
        <v>972</v>
      </c>
      <c r="B973" t="s">
        <v>1299</v>
      </c>
      <c r="C973" t="s">
        <v>431</v>
      </c>
      <c r="D973" t="str">
        <f t="shared" si="33"/>
        <v/>
      </c>
      <c r="E973" t="str">
        <f t="shared" si="34"/>
        <v>beat it on down the line</v>
      </c>
      <c r="F973" t="s">
        <v>5149</v>
      </c>
      <c r="G973" t="str">
        <f>_xlfn.IFNA(VLOOKUP(F973,songs!$B$1:$C$1539, 2, FALSE),"")</f>
        <v>Beat It On Down The Line</v>
      </c>
      <c r="H973" t="s">
        <v>431</v>
      </c>
    </row>
    <row r="974" spans="1:8" x14ac:dyDescent="0.25">
      <c r="A974">
        <v>973</v>
      </c>
      <c r="B974" t="s">
        <v>1300</v>
      </c>
      <c r="C974" t="s">
        <v>458</v>
      </c>
      <c r="D974" t="str">
        <f t="shared" si="33"/>
        <v/>
      </c>
      <c r="E974" t="str">
        <f t="shared" si="34"/>
        <v>mississippi half-step uptown toodeloo</v>
      </c>
      <c r="F974" t="s">
        <v>6531</v>
      </c>
      <c r="G974" t="str">
        <f>_xlfn.IFNA(VLOOKUP(F974,songs!$B$1:$C$1539, 2, FALSE),"")</f>
        <v>Mississippi Half-Step Uptown Toodeloo</v>
      </c>
      <c r="H974" t="s">
        <v>458</v>
      </c>
    </row>
    <row r="975" spans="1:8" x14ac:dyDescent="0.25">
      <c r="A975">
        <v>974</v>
      </c>
      <c r="B975" t="s">
        <v>1301</v>
      </c>
      <c r="C975" t="s">
        <v>1057</v>
      </c>
      <c r="D975" t="str">
        <f t="shared" si="33"/>
        <v/>
      </c>
      <c r="E975" t="str">
        <f t="shared" si="34"/>
        <v>it must have been the roses</v>
      </c>
      <c r="F975" t="s">
        <v>6128</v>
      </c>
      <c r="G975" t="str">
        <f>_xlfn.IFNA(VLOOKUP(F975,songs!$B$1:$C$1539, 2, FALSE),"")</f>
        <v>It Must Have Been The Roses</v>
      </c>
      <c r="H975" t="s">
        <v>1057</v>
      </c>
    </row>
    <row r="976" spans="1:8" x14ac:dyDescent="0.25">
      <c r="A976">
        <v>1001</v>
      </c>
      <c r="B976" t="s">
        <v>1333</v>
      </c>
      <c r="C976" t="s">
        <v>1334</v>
      </c>
      <c r="D976" t="str">
        <f t="shared" si="33"/>
        <v/>
      </c>
      <c r="E976" t="str">
        <f t="shared" si="34"/>
        <v>the frozen logger</v>
      </c>
      <c r="F976" t="s">
        <v>5727</v>
      </c>
      <c r="G976" t="str">
        <f>_xlfn.IFNA(VLOOKUP(F976,songs!$B$1:$C$1539, 2, FALSE),"")</f>
        <v>Frozen Logger</v>
      </c>
      <c r="H976" t="s">
        <v>7867</v>
      </c>
    </row>
    <row r="977" spans="1:8" x14ac:dyDescent="0.25">
      <c r="A977">
        <v>976</v>
      </c>
      <c r="B977" t="s">
        <v>1304</v>
      </c>
      <c r="C977" t="s">
        <v>188</v>
      </c>
      <c r="D977" t="str">
        <f t="shared" si="33"/>
        <v/>
      </c>
      <c r="E977" t="str">
        <f t="shared" si="34"/>
        <v>row jimmy</v>
      </c>
      <c r="F977" t="s">
        <v>6893</v>
      </c>
      <c r="G977" t="str">
        <f>_xlfn.IFNA(VLOOKUP(F977,songs!$B$1:$C$1539, 2, FALSE),"")</f>
        <v>Row Jimmy</v>
      </c>
      <c r="H977" t="s">
        <v>188</v>
      </c>
    </row>
    <row r="978" spans="1:8" x14ac:dyDescent="0.25">
      <c r="A978">
        <v>977</v>
      </c>
      <c r="B978" t="s">
        <v>1305</v>
      </c>
      <c r="C978" t="s">
        <v>199</v>
      </c>
      <c r="D978" t="str">
        <f t="shared" si="33"/>
        <v/>
      </c>
      <c r="E978" t="str">
        <f t="shared" si="34"/>
        <v>jack straw</v>
      </c>
      <c r="F978" t="s">
        <v>6161</v>
      </c>
      <c r="G978" t="str">
        <f>_xlfn.IFNA(VLOOKUP(F978,songs!$B$1:$C$1539, 2, FALSE),"")</f>
        <v>Jack Straw</v>
      </c>
      <c r="H978" t="s">
        <v>199</v>
      </c>
    </row>
    <row r="979" spans="1:8" x14ac:dyDescent="0.25">
      <c r="A979">
        <v>978</v>
      </c>
      <c r="B979" t="s">
        <v>1306</v>
      </c>
      <c r="C979" t="s">
        <v>84</v>
      </c>
      <c r="D979" t="str">
        <f t="shared" si="33"/>
        <v/>
      </c>
      <c r="E979" t="str">
        <f t="shared" si="34"/>
        <v>china cat sunflower</v>
      </c>
      <c r="F979" t="s">
        <v>5319</v>
      </c>
      <c r="G979" t="str">
        <f>_xlfn.IFNA(VLOOKUP(F979,songs!$B$1:$C$1539, 2, FALSE),"")</f>
        <v>China Cat Sunflower</v>
      </c>
      <c r="H979" t="s">
        <v>84</v>
      </c>
    </row>
    <row r="980" spans="1:8" x14ac:dyDescent="0.25">
      <c r="A980">
        <v>979</v>
      </c>
      <c r="B980" t="s">
        <v>1307</v>
      </c>
      <c r="C980" t="s">
        <v>86</v>
      </c>
      <c r="D980" t="str">
        <f t="shared" si="33"/>
        <v/>
      </c>
      <c r="E980" t="str">
        <f t="shared" si="34"/>
        <v>i know you rider</v>
      </c>
      <c r="F980" t="s">
        <v>6020</v>
      </c>
      <c r="G980" t="str">
        <f>_xlfn.IFNA(VLOOKUP(F980,songs!$B$1:$C$1539, 2, FALSE),"")</f>
        <v>I Know You Rider</v>
      </c>
      <c r="H980" t="s">
        <v>86</v>
      </c>
    </row>
    <row r="981" spans="1:8" x14ac:dyDescent="0.25">
      <c r="A981">
        <v>980</v>
      </c>
      <c r="B981" t="s">
        <v>1308</v>
      </c>
      <c r="C981" t="s">
        <v>26</v>
      </c>
      <c r="D981" t="str">
        <f t="shared" ref="D981:D1044" si="35">IF(RIGHT(TRIM(C981),2)="-&gt;","&gt;",IF(RIGHT(TRIM(C981),1)="&gt;","&gt;",""))</f>
        <v/>
      </c>
      <c r="E981" t="str">
        <f t="shared" si="34"/>
        <v>around and around</v>
      </c>
      <c r="F981" t="s">
        <v>5103</v>
      </c>
      <c r="G981" t="str">
        <f>_xlfn.IFNA(VLOOKUP(F981,songs!$B$1:$C$1539, 2, FALSE),"")</f>
        <v>Around And Around</v>
      </c>
      <c r="H981" t="s">
        <v>579</v>
      </c>
    </row>
    <row r="982" spans="1:8" x14ac:dyDescent="0.25">
      <c r="A982">
        <v>981</v>
      </c>
      <c r="B982" t="s">
        <v>1309</v>
      </c>
      <c r="C982" t="s">
        <v>298</v>
      </c>
      <c r="D982" t="str">
        <f t="shared" si="35"/>
        <v/>
      </c>
      <c r="E982" t="str">
        <f t="shared" si="34"/>
        <v>bertha</v>
      </c>
      <c r="F982" t="s">
        <v>5158</v>
      </c>
      <c r="G982" t="str">
        <f>_xlfn.IFNA(VLOOKUP(F982,songs!$B$1:$C$1539, 2, FALSE),"")</f>
        <v>Bertha</v>
      </c>
      <c r="H982" t="s">
        <v>298</v>
      </c>
    </row>
    <row r="983" spans="1:8" x14ac:dyDescent="0.25">
      <c r="A983">
        <v>982</v>
      </c>
      <c r="B983" t="s">
        <v>1310</v>
      </c>
      <c r="C983" t="s">
        <v>3</v>
      </c>
      <c r="D983" t="str">
        <f t="shared" si="35"/>
        <v/>
      </c>
      <c r="E983" t="str">
        <f t="shared" si="34"/>
        <v>big river</v>
      </c>
      <c r="F983" t="s">
        <v>5175</v>
      </c>
      <c r="G983" t="str">
        <f>_xlfn.IFNA(VLOOKUP(F983,songs!$B$1:$C$1539, 2, FALSE),"")</f>
        <v>Big River</v>
      </c>
      <c r="H983" t="s">
        <v>3</v>
      </c>
    </row>
    <row r="984" spans="1:8" x14ac:dyDescent="0.25">
      <c r="A984">
        <v>1006</v>
      </c>
      <c r="B984" t="s">
        <v>1341</v>
      </c>
      <c r="C984" t="s">
        <v>615</v>
      </c>
      <c r="D984" t="str">
        <f t="shared" si="35"/>
        <v/>
      </c>
      <c r="E984" t="str">
        <f t="shared" si="34"/>
        <v>brown-eyed women</v>
      </c>
      <c r="F984" t="s">
        <v>5255</v>
      </c>
      <c r="G984" t="str">
        <f>_xlfn.IFNA(VLOOKUP(F984,songs!$B$1:$C$1539, 2, FALSE),"")</f>
        <v>Brown Eyed Women</v>
      </c>
      <c r="H984" t="s">
        <v>7867</v>
      </c>
    </row>
    <row r="985" spans="1:8" x14ac:dyDescent="0.25">
      <c r="A985">
        <v>984</v>
      </c>
      <c r="B985" t="s">
        <v>1313</v>
      </c>
      <c r="C985" t="s">
        <v>304</v>
      </c>
      <c r="D985" t="str">
        <f t="shared" si="35"/>
        <v/>
      </c>
      <c r="E985" t="str">
        <f t="shared" si="34"/>
        <v>china doll</v>
      </c>
      <c r="F985" t="s">
        <v>5320</v>
      </c>
      <c r="G985" t="str">
        <f>_xlfn.IFNA(VLOOKUP(F985,songs!$B$1:$C$1539, 2, FALSE),"")</f>
        <v>China Doll</v>
      </c>
      <c r="H985" t="s">
        <v>304</v>
      </c>
    </row>
    <row r="986" spans="1:8" x14ac:dyDescent="0.25">
      <c r="A986">
        <v>985</v>
      </c>
      <c r="B986" t="s">
        <v>1314</v>
      </c>
      <c r="C986" t="s">
        <v>130</v>
      </c>
      <c r="D986" t="str">
        <f t="shared" si="35"/>
        <v/>
      </c>
      <c r="E986" t="str">
        <f t="shared" si="34"/>
        <v>promised land</v>
      </c>
      <c r="F986" t="s">
        <v>6797</v>
      </c>
      <c r="G986" t="str">
        <f>_xlfn.IFNA(VLOOKUP(F986,songs!$B$1:$C$1539, 2, FALSE),"")</f>
        <v>Promised Land</v>
      </c>
      <c r="H986" t="s">
        <v>130</v>
      </c>
    </row>
    <row r="987" spans="1:8" x14ac:dyDescent="0.25">
      <c r="A987">
        <v>986</v>
      </c>
      <c r="B987" t="s">
        <v>1315</v>
      </c>
      <c r="C987" t="s">
        <v>866</v>
      </c>
      <c r="D987" t="str">
        <f t="shared" si="35"/>
        <v/>
      </c>
      <c r="E987" t="str">
        <f t="shared" si="34"/>
        <v>ship of fools</v>
      </c>
      <c r="F987" t="s">
        <v>6999</v>
      </c>
      <c r="G987" t="str">
        <f>_xlfn.IFNA(VLOOKUP(F987,songs!$B$1:$C$1539, 2, FALSE),"")</f>
        <v>Ship Of Fools</v>
      </c>
      <c r="H987" t="s">
        <v>866</v>
      </c>
    </row>
    <row r="988" spans="1:8" x14ac:dyDescent="0.25">
      <c r="A988">
        <v>1007</v>
      </c>
      <c r="B988" t="s">
        <v>1342</v>
      </c>
      <c r="C988" t="s">
        <v>32</v>
      </c>
      <c r="D988" t="str">
        <f t="shared" si="35"/>
        <v/>
      </c>
      <c r="E988" t="str">
        <f t="shared" si="34"/>
        <v>st. stephen</v>
      </c>
      <c r="F988" t="s">
        <v>6910</v>
      </c>
      <c r="G988" t="str">
        <f>_xlfn.IFNA(VLOOKUP(F988,songs!$B$1:$C$1539, 2, FALSE),"")</f>
        <v>Saint Stephen</v>
      </c>
      <c r="H988" t="s">
        <v>7867</v>
      </c>
    </row>
    <row r="989" spans="1:8" x14ac:dyDescent="0.25">
      <c r="A989">
        <v>988</v>
      </c>
      <c r="B989" t="s">
        <v>1317</v>
      </c>
      <c r="C989" t="s">
        <v>327</v>
      </c>
      <c r="D989" t="str">
        <f t="shared" si="35"/>
        <v/>
      </c>
      <c r="E989" t="str">
        <f t="shared" si="34"/>
        <v>el paso</v>
      </c>
      <c r="F989" t="s">
        <v>5600</v>
      </c>
      <c r="G989" t="str">
        <f>_xlfn.IFNA(VLOOKUP(F989,songs!$B$1:$C$1539, 2, FALSE),"")</f>
        <v>El Paso</v>
      </c>
      <c r="H989" t="s">
        <v>327</v>
      </c>
    </row>
    <row r="990" spans="1:8" x14ac:dyDescent="0.25">
      <c r="A990">
        <v>989</v>
      </c>
      <c r="B990" t="s">
        <v>1318</v>
      </c>
      <c r="C990" t="s">
        <v>436</v>
      </c>
      <c r="D990" t="str">
        <f t="shared" si="35"/>
        <v/>
      </c>
      <c r="E990" t="str">
        <f t="shared" si="34"/>
        <v>ramble on rose</v>
      </c>
      <c r="F990" t="s">
        <v>6827</v>
      </c>
      <c r="G990" t="str">
        <f>_xlfn.IFNA(VLOOKUP(F990,songs!$B$1:$C$1539, 2, FALSE),"")</f>
        <v>Ramble On Rose</v>
      </c>
      <c r="H990" t="s">
        <v>436</v>
      </c>
    </row>
    <row r="991" spans="1:8" x14ac:dyDescent="0.25">
      <c r="A991">
        <v>990</v>
      </c>
      <c r="B991" t="s">
        <v>1319</v>
      </c>
      <c r="C991" t="s">
        <v>154</v>
      </c>
      <c r="D991" t="str">
        <f t="shared" si="35"/>
        <v/>
      </c>
      <c r="E991" t="str">
        <f t="shared" si="34"/>
        <v>greatest story ever told</v>
      </c>
      <c r="F991" t="s">
        <v>5826</v>
      </c>
      <c r="G991" t="str">
        <f>_xlfn.IFNA(VLOOKUP(F991,songs!$B$1:$C$1539, 2, FALSE),"")</f>
        <v>Greatest Story Ever Told</v>
      </c>
      <c r="H991" t="s">
        <v>154</v>
      </c>
    </row>
    <row r="992" spans="1:8" x14ac:dyDescent="0.25">
      <c r="A992">
        <v>991</v>
      </c>
      <c r="B992" t="s">
        <v>1320</v>
      </c>
      <c r="C992" t="s">
        <v>365</v>
      </c>
      <c r="D992" t="str">
        <f t="shared" si="35"/>
        <v/>
      </c>
      <c r="E992" t="str">
        <f t="shared" si="34"/>
        <v>to lay me down</v>
      </c>
      <c r="F992" t="s">
        <v>7397</v>
      </c>
      <c r="G992" t="str">
        <f>_xlfn.IFNA(VLOOKUP(F992,songs!$B$1:$C$1539, 2, FALSE),"")</f>
        <v>To Lay Me Down</v>
      </c>
      <c r="H992" t="s">
        <v>365</v>
      </c>
    </row>
    <row r="993" spans="1:8" x14ac:dyDescent="0.25">
      <c r="A993">
        <v>1019</v>
      </c>
      <c r="B993" t="s">
        <v>1354</v>
      </c>
      <c r="C993" t="s">
        <v>244</v>
      </c>
      <c r="D993" t="str">
        <f t="shared" si="35"/>
        <v/>
      </c>
      <c r="E993" t="str">
        <f t="shared" si="34"/>
        <v>cold rain &amp; snow</v>
      </c>
      <c r="F993" t="s">
        <v>5347</v>
      </c>
      <c r="G993" t="str">
        <f>_xlfn.IFNA(VLOOKUP(F993,songs!$B$1:$C$1539, 2, FALSE),"")</f>
        <v>Cold Rain And Snow</v>
      </c>
      <c r="H993" t="s">
        <v>7867</v>
      </c>
    </row>
    <row r="994" spans="1:8" x14ac:dyDescent="0.25">
      <c r="A994">
        <v>1025</v>
      </c>
      <c r="B994" t="s">
        <v>1360</v>
      </c>
      <c r="C994" t="s">
        <v>94</v>
      </c>
      <c r="D994" t="str">
        <f t="shared" si="35"/>
        <v/>
      </c>
      <c r="E994" t="str">
        <f t="shared" si="34"/>
        <v>that's it for the other one</v>
      </c>
      <c r="F994" t="s">
        <v>7325</v>
      </c>
      <c r="G994" t="str">
        <f>_xlfn.IFNA(VLOOKUP(F994,songs!$B$1:$C$1539, 2, FALSE),"")</f>
        <v>The Other One</v>
      </c>
      <c r="H994" t="s">
        <v>7867</v>
      </c>
    </row>
    <row r="995" spans="1:8" x14ac:dyDescent="0.25">
      <c r="A995">
        <v>1035</v>
      </c>
      <c r="B995" t="s">
        <v>1370</v>
      </c>
      <c r="C995" t="s">
        <v>1371</v>
      </c>
      <c r="D995" t="str">
        <f t="shared" si="35"/>
        <v/>
      </c>
      <c r="E995" t="str">
        <f t="shared" si="34"/>
        <v>row jimmy row</v>
      </c>
      <c r="F995" t="s">
        <v>6893</v>
      </c>
      <c r="G995" t="str">
        <f>_xlfn.IFNA(VLOOKUP(F995,songs!$B$1:$C$1539, 2, FALSE),"")</f>
        <v>Row Jimmy</v>
      </c>
      <c r="H995" t="s">
        <v>7867</v>
      </c>
    </row>
    <row r="996" spans="1:8" x14ac:dyDescent="0.25">
      <c r="A996">
        <v>995</v>
      </c>
      <c r="B996" t="s">
        <v>1327</v>
      </c>
      <c r="C996" t="s">
        <v>73</v>
      </c>
      <c r="D996" t="str">
        <f t="shared" si="35"/>
        <v/>
      </c>
      <c r="E996" t="str">
        <f t="shared" si="34"/>
        <v>wharf rat</v>
      </c>
      <c r="F996" t="s">
        <v>7664</v>
      </c>
      <c r="G996" t="str">
        <f>_xlfn.IFNA(VLOOKUP(F996,songs!$B$1:$C$1539, 2, FALSE),"")</f>
        <v>Wharf Rat</v>
      </c>
      <c r="H996" t="s">
        <v>73</v>
      </c>
    </row>
    <row r="997" spans="1:8" x14ac:dyDescent="0.25">
      <c r="A997">
        <v>996</v>
      </c>
      <c r="B997" t="s">
        <v>1328</v>
      </c>
      <c r="C997" t="s">
        <v>183</v>
      </c>
      <c r="D997" t="str">
        <f t="shared" si="35"/>
        <v/>
      </c>
      <c r="E997" t="str">
        <f t="shared" si="34"/>
        <v>u.s. blues</v>
      </c>
      <c r="F997" t="s">
        <v>7464</v>
      </c>
      <c r="G997" t="str">
        <f>_xlfn.IFNA(VLOOKUP(F997,songs!$B$1:$C$1539, 2, FALSE),"")</f>
        <v>U.S. Blues</v>
      </c>
      <c r="H997" t="s">
        <v>183</v>
      </c>
    </row>
    <row r="998" spans="1:8" x14ac:dyDescent="0.25">
      <c r="A998">
        <v>997</v>
      </c>
      <c r="B998" t="s">
        <v>1329</v>
      </c>
      <c r="C998" t="s">
        <v>956</v>
      </c>
      <c r="D998" t="str">
        <f t="shared" si="35"/>
        <v/>
      </c>
      <c r="E998" t="str">
        <f t="shared" si="34"/>
        <v>one more saturday night</v>
      </c>
      <c r="F998" t="s">
        <v>6702</v>
      </c>
      <c r="G998" t="str">
        <f>_xlfn.IFNA(VLOOKUP(F998,songs!$B$1:$C$1539, 2, FALSE),"")</f>
        <v>One More Saturday Night</v>
      </c>
      <c r="H998" t="s">
        <v>956</v>
      </c>
    </row>
    <row r="999" spans="1:8" x14ac:dyDescent="0.25">
      <c r="A999">
        <v>998</v>
      </c>
      <c r="B999" t="s">
        <v>1330</v>
      </c>
      <c r="C999" t="s">
        <v>133</v>
      </c>
      <c r="D999" t="str">
        <f t="shared" si="35"/>
        <v/>
      </c>
      <c r="E999" t="str">
        <f t="shared" si="34"/>
        <v>uncle john's band</v>
      </c>
      <c r="F999" t="s">
        <v>7466</v>
      </c>
      <c r="G999" t="str">
        <f>_xlfn.IFNA(VLOOKUP(F999,songs!$B$1:$C$1539, 2, FALSE),"")</f>
        <v>Uncle John's Band</v>
      </c>
      <c r="H999" t="s">
        <v>133</v>
      </c>
    </row>
    <row r="1000" spans="1:8" x14ac:dyDescent="0.25">
      <c r="A1000">
        <v>999</v>
      </c>
      <c r="B1000" t="s">
        <v>1331</v>
      </c>
      <c r="C1000" t="s">
        <v>15</v>
      </c>
      <c r="D1000" t="str">
        <f t="shared" si="35"/>
        <v/>
      </c>
      <c r="E1000" t="str">
        <f t="shared" si="34"/>
        <v>truckin'</v>
      </c>
      <c r="F1000" t="s">
        <v>7436</v>
      </c>
      <c r="G1000" t="str">
        <f>_xlfn.IFNA(VLOOKUP(F1000,songs!$B$1:$C$1539, 2, FALSE),"")</f>
        <v>Truckin'</v>
      </c>
      <c r="H1000" t="s">
        <v>15</v>
      </c>
    </row>
    <row r="1001" spans="1:8" x14ac:dyDescent="0.25">
      <c r="A1001">
        <v>1000</v>
      </c>
      <c r="B1001" t="s">
        <v>1332</v>
      </c>
      <c r="C1001" t="s">
        <v>9</v>
      </c>
      <c r="D1001" t="str">
        <f t="shared" si="35"/>
        <v/>
      </c>
      <c r="E1001" t="str">
        <f t="shared" si="34"/>
        <v>big railroad blues</v>
      </c>
      <c r="F1001" t="s">
        <v>5174</v>
      </c>
      <c r="G1001" t="str">
        <f>_xlfn.IFNA(VLOOKUP(F1001,songs!$B$1:$C$1539, 2, FALSE),"")</f>
        <v>Big Railroad Blues</v>
      </c>
      <c r="H1001" t="s">
        <v>9</v>
      </c>
    </row>
    <row r="1002" spans="1:8" x14ac:dyDescent="0.25">
      <c r="A1002">
        <v>1042</v>
      </c>
      <c r="B1002" t="s">
        <v>1378</v>
      </c>
      <c r="C1002" t="s">
        <v>473</v>
      </c>
      <c r="D1002" t="str">
        <f t="shared" si="35"/>
        <v/>
      </c>
      <c r="E1002" t="str">
        <f t="shared" si="34"/>
        <v>samson &amp; delilah</v>
      </c>
      <c r="F1002" t="s">
        <v>6925</v>
      </c>
      <c r="G1002" t="str">
        <f>_xlfn.IFNA(VLOOKUP(F1002,songs!$B$1:$C$1539, 2, FALSE),"")</f>
        <v>Samson And Delilah</v>
      </c>
      <c r="H1002" t="s">
        <v>7867</v>
      </c>
    </row>
    <row r="1003" spans="1:8" x14ac:dyDescent="0.25">
      <c r="A1003">
        <v>1002</v>
      </c>
      <c r="B1003" t="s">
        <v>1335</v>
      </c>
      <c r="C1003" t="s">
        <v>92</v>
      </c>
      <c r="D1003" t="str">
        <f t="shared" si="35"/>
        <v/>
      </c>
      <c r="E1003" t="str">
        <f t="shared" si="34"/>
        <v>dark star</v>
      </c>
      <c r="F1003" t="s">
        <v>5428</v>
      </c>
      <c r="G1003" t="str">
        <f>_xlfn.IFNA(VLOOKUP(F1003,songs!$B$1:$C$1539, 2, FALSE),"")</f>
        <v>Dark Star</v>
      </c>
      <c r="H1003" t="s">
        <v>92</v>
      </c>
    </row>
    <row r="1004" spans="1:8" x14ac:dyDescent="0.25">
      <c r="A1004">
        <v>1003</v>
      </c>
      <c r="B1004" t="s">
        <v>1336</v>
      </c>
      <c r="C1004" t="s">
        <v>1337</v>
      </c>
      <c r="D1004" t="str">
        <f t="shared" si="35"/>
        <v/>
      </c>
      <c r="E1004" t="str">
        <f t="shared" si="34"/>
        <v>sitting on top of the world</v>
      </c>
      <c r="F1004" t="s">
        <v>7024</v>
      </c>
      <c r="G1004" t="str">
        <f>_xlfn.IFNA(VLOOKUP(F1004,songs!$B$1:$C$1539, 2, FALSE),"")</f>
        <v>Sitting On Top Of The World</v>
      </c>
      <c r="H1004" t="s">
        <v>843</v>
      </c>
    </row>
    <row r="1005" spans="1:8" x14ac:dyDescent="0.25">
      <c r="A1005">
        <v>1004</v>
      </c>
      <c r="B1005" t="s">
        <v>1338</v>
      </c>
      <c r="C1005" t="s">
        <v>92</v>
      </c>
      <c r="D1005" t="str">
        <f t="shared" si="35"/>
        <v/>
      </c>
      <c r="E1005" t="str">
        <f t="shared" si="34"/>
        <v>dark star</v>
      </c>
      <c r="F1005" t="s">
        <v>5428</v>
      </c>
      <c r="G1005" t="str">
        <f>_xlfn.IFNA(VLOOKUP(F1005,songs!$B$1:$C$1539, 2, FALSE),"")</f>
        <v>Dark Star</v>
      </c>
      <c r="H1005" t="s">
        <v>92</v>
      </c>
    </row>
    <row r="1006" spans="1:8" x14ac:dyDescent="0.25">
      <c r="A1006">
        <v>1005</v>
      </c>
      <c r="B1006" t="s">
        <v>1339</v>
      </c>
      <c r="C1006" t="s">
        <v>1340</v>
      </c>
      <c r="D1006" t="str">
        <f t="shared" si="35"/>
        <v/>
      </c>
      <c r="E1006" t="str">
        <f t="shared" si="34"/>
        <v>me and bobby mcgee</v>
      </c>
      <c r="F1006" t="s">
        <v>6483</v>
      </c>
      <c r="G1006" t="str">
        <f>_xlfn.IFNA(VLOOKUP(F1006,songs!$B$1:$C$1539, 2, FALSE),"")</f>
        <v>Me And Bobby McGee</v>
      </c>
      <c r="H1006" t="s">
        <v>1228</v>
      </c>
    </row>
    <row r="1007" spans="1:8" x14ac:dyDescent="0.25">
      <c r="A1007">
        <v>1044</v>
      </c>
      <c r="B1007" t="s">
        <v>1380</v>
      </c>
      <c r="C1007" t="s">
        <v>122</v>
      </c>
      <c r="D1007" t="str">
        <f t="shared" si="35"/>
        <v/>
      </c>
      <c r="E1007" t="str">
        <f t="shared" si="34"/>
        <v>new minglewood blues</v>
      </c>
      <c r="F1007" t="s">
        <v>7869</v>
      </c>
      <c r="G1007" t="str">
        <f>_xlfn.IFNA(VLOOKUP(F1007,songs!$B$1:$C$1539, 2, FALSE),"")</f>
        <v>Minglewood Blues</v>
      </c>
      <c r="H1007" t="s">
        <v>7867</v>
      </c>
    </row>
    <row r="1008" spans="1:8" x14ac:dyDescent="0.25">
      <c r="A1008">
        <v>1052</v>
      </c>
      <c r="B1008" t="s">
        <v>1389</v>
      </c>
      <c r="C1008" t="s">
        <v>1390</v>
      </c>
      <c r="D1008" t="str">
        <f t="shared" si="35"/>
        <v/>
      </c>
      <c r="E1008" t="str">
        <f t="shared" si="34"/>
        <v>around &amp; around</v>
      </c>
      <c r="F1008" t="s">
        <v>5103</v>
      </c>
      <c r="G1008" t="str">
        <f>_xlfn.IFNA(VLOOKUP(F1008,songs!$B$1:$C$1539, 2, FALSE),"")</f>
        <v>Around And Around</v>
      </c>
      <c r="H1008" t="s">
        <v>7867</v>
      </c>
    </row>
    <row r="1009" spans="1:8" x14ac:dyDescent="0.25">
      <c r="A1009">
        <v>1008</v>
      </c>
      <c r="B1009" t="s">
        <v>1343</v>
      </c>
      <c r="C1009" t="s">
        <v>148</v>
      </c>
      <c r="D1009" t="str">
        <f t="shared" si="35"/>
        <v/>
      </c>
      <c r="E1009" t="str">
        <f t="shared" si="34"/>
        <v>johnny b. goode</v>
      </c>
      <c r="F1009" t="s">
        <v>6192</v>
      </c>
      <c r="G1009" t="str">
        <f>_xlfn.IFNA(VLOOKUP(F1009,songs!$B$1:$C$1539, 2, FALSE),"")</f>
        <v>Johnny B. Goode</v>
      </c>
      <c r="H1009" t="s">
        <v>148</v>
      </c>
    </row>
    <row r="1010" spans="1:8" x14ac:dyDescent="0.25">
      <c r="A1010">
        <v>1009</v>
      </c>
      <c r="B1010" t="s">
        <v>1344</v>
      </c>
      <c r="C1010" t="s">
        <v>298</v>
      </c>
      <c r="D1010" t="str">
        <f t="shared" si="35"/>
        <v/>
      </c>
      <c r="E1010" t="str">
        <f t="shared" si="34"/>
        <v>bertha</v>
      </c>
      <c r="F1010" t="s">
        <v>5158</v>
      </c>
      <c r="G1010" t="str">
        <f>_xlfn.IFNA(VLOOKUP(F1010,songs!$B$1:$C$1539, 2, FALSE),"")</f>
        <v>Bertha</v>
      </c>
      <c r="H1010" t="s">
        <v>298</v>
      </c>
    </row>
    <row r="1011" spans="1:8" x14ac:dyDescent="0.25">
      <c r="A1011">
        <v>1010</v>
      </c>
      <c r="B1011" t="s">
        <v>1345</v>
      </c>
      <c r="C1011" t="s">
        <v>595</v>
      </c>
      <c r="D1011" t="str">
        <f t="shared" si="35"/>
        <v/>
      </c>
      <c r="E1011" t="str">
        <f t="shared" si="34"/>
        <v>me and my uncle</v>
      </c>
      <c r="F1011" t="s">
        <v>6486</v>
      </c>
      <c r="G1011" t="str">
        <f>_xlfn.IFNA(VLOOKUP(F1011,songs!$B$1:$C$1539, 2, FALSE),"")</f>
        <v>Me And My Uncle</v>
      </c>
      <c r="H1011" t="s">
        <v>903</v>
      </c>
    </row>
    <row r="1012" spans="1:8" x14ac:dyDescent="0.25">
      <c r="A1012">
        <v>1011</v>
      </c>
      <c r="B1012" t="s">
        <v>1346</v>
      </c>
      <c r="C1012" t="s">
        <v>164</v>
      </c>
      <c r="D1012" t="str">
        <f t="shared" si="35"/>
        <v/>
      </c>
      <c r="E1012" t="str">
        <f t="shared" si="34"/>
        <v>tennessee jed</v>
      </c>
      <c r="F1012" t="s">
        <v>7234</v>
      </c>
      <c r="G1012" t="str">
        <f>_xlfn.IFNA(VLOOKUP(F1012,songs!$B$1:$C$1539, 2, FALSE),"")</f>
        <v>Tennessee Jed</v>
      </c>
      <c r="H1012" t="s">
        <v>164</v>
      </c>
    </row>
    <row r="1013" spans="1:8" x14ac:dyDescent="0.25">
      <c r="A1013">
        <v>1012</v>
      </c>
      <c r="B1013" t="s">
        <v>1347</v>
      </c>
      <c r="C1013" t="s">
        <v>199</v>
      </c>
      <c r="D1013" t="str">
        <f t="shared" si="35"/>
        <v/>
      </c>
      <c r="E1013" t="str">
        <f t="shared" si="34"/>
        <v>jack straw</v>
      </c>
      <c r="F1013" t="s">
        <v>6161</v>
      </c>
      <c r="G1013" t="str">
        <f>_xlfn.IFNA(VLOOKUP(F1013,songs!$B$1:$C$1539, 2, FALSE),"")</f>
        <v>Jack Straw</v>
      </c>
      <c r="H1013" t="s">
        <v>199</v>
      </c>
    </row>
    <row r="1014" spans="1:8" x14ac:dyDescent="0.25">
      <c r="A1014">
        <v>1013</v>
      </c>
      <c r="B1014" t="s">
        <v>1348</v>
      </c>
      <c r="C1014" t="s">
        <v>291</v>
      </c>
      <c r="D1014" t="str">
        <f t="shared" si="35"/>
        <v/>
      </c>
      <c r="E1014" t="str">
        <f t="shared" si="34"/>
        <v>loser</v>
      </c>
      <c r="F1014" t="s">
        <v>6400</v>
      </c>
      <c r="G1014" t="str">
        <f>_xlfn.IFNA(VLOOKUP(F1014,songs!$B$1:$C$1539, 2, FALSE),"")</f>
        <v>Loser</v>
      </c>
      <c r="H1014" t="s">
        <v>291</v>
      </c>
    </row>
    <row r="1015" spans="1:8" x14ac:dyDescent="0.25">
      <c r="A1015">
        <v>1014</v>
      </c>
      <c r="B1015" t="s">
        <v>1349</v>
      </c>
      <c r="C1015" t="s">
        <v>11</v>
      </c>
      <c r="D1015" t="str">
        <f t="shared" si="35"/>
        <v/>
      </c>
      <c r="E1015" t="str">
        <f t="shared" si="34"/>
        <v>playing in the band</v>
      </c>
      <c r="F1015" t="s">
        <v>6769</v>
      </c>
      <c r="G1015" t="str">
        <f>_xlfn.IFNA(VLOOKUP(F1015,songs!$B$1:$C$1539, 2, FALSE),"")</f>
        <v>Playing In The Band</v>
      </c>
      <c r="H1015" t="s">
        <v>419</v>
      </c>
    </row>
    <row r="1016" spans="1:8" x14ac:dyDescent="0.25">
      <c r="A1016">
        <v>1015</v>
      </c>
      <c r="B1016" t="s">
        <v>1350</v>
      </c>
      <c r="C1016" t="s">
        <v>51</v>
      </c>
      <c r="D1016" t="str">
        <f t="shared" si="35"/>
        <v/>
      </c>
      <c r="E1016" t="str">
        <f t="shared" si="34"/>
        <v>sugaree</v>
      </c>
      <c r="F1016" t="s">
        <v>7151</v>
      </c>
      <c r="G1016" t="str">
        <f>_xlfn.IFNA(VLOOKUP(F1016,songs!$B$1:$C$1539, 2, FALSE),"")</f>
        <v>Sugaree</v>
      </c>
      <c r="H1016" t="s">
        <v>51</v>
      </c>
    </row>
    <row r="1017" spans="1:8" x14ac:dyDescent="0.25">
      <c r="A1017">
        <v>1016</v>
      </c>
      <c r="B1017" t="s">
        <v>1351</v>
      </c>
      <c r="C1017" t="s">
        <v>802</v>
      </c>
      <c r="D1017" t="str">
        <f t="shared" si="35"/>
        <v/>
      </c>
      <c r="E1017" t="str">
        <f t="shared" si="34"/>
        <v>beat it on down the line</v>
      </c>
      <c r="F1017" t="s">
        <v>5149</v>
      </c>
      <c r="G1017" t="str">
        <f>_xlfn.IFNA(VLOOKUP(F1017,songs!$B$1:$C$1539, 2, FALSE),"")</f>
        <v>Beat It On Down The Line</v>
      </c>
      <c r="H1017" t="s">
        <v>431</v>
      </c>
    </row>
    <row r="1018" spans="1:8" x14ac:dyDescent="0.25">
      <c r="A1018">
        <v>1017</v>
      </c>
      <c r="B1018" t="s">
        <v>1352</v>
      </c>
      <c r="C1018" t="s">
        <v>221</v>
      </c>
      <c r="D1018" t="str">
        <f t="shared" si="35"/>
        <v/>
      </c>
      <c r="E1018" t="str">
        <f t="shared" si="34"/>
        <v>black peter</v>
      </c>
      <c r="F1018" t="s">
        <v>5190</v>
      </c>
      <c r="G1018" t="str">
        <f>_xlfn.IFNA(VLOOKUP(F1018,songs!$B$1:$C$1539, 2, FALSE),"")</f>
        <v>Black Peter</v>
      </c>
      <c r="H1018" t="s">
        <v>221</v>
      </c>
    </row>
    <row r="1019" spans="1:8" x14ac:dyDescent="0.25">
      <c r="A1019">
        <v>1018</v>
      </c>
      <c r="B1019" t="s">
        <v>1353</v>
      </c>
      <c r="C1019" t="s">
        <v>186</v>
      </c>
      <c r="D1019" t="str">
        <f t="shared" si="35"/>
        <v/>
      </c>
      <c r="E1019" t="str">
        <f t="shared" si="34"/>
        <v>mexicali blues</v>
      </c>
      <c r="F1019" t="s">
        <v>6499</v>
      </c>
      <c r="G1019" t="str">
        <f>_xlfn.IFNA(VLOOKUP(F1019,songs!$B$1:$C$1539, 2, FALSE),"")</f>
        <v>Mexicali Blues</v>
      </c>
      <c r="H1019" t="s">
        <v>186</v>
      </c>
    </row>
    <row r="1020" spans="1:8" x14ac:dyDescent="0.25">
      <c r="A1020">
        <v>1053</v>
      </c>
      <c r="B1020" t="s">
        <v>1391</v>
      </c>
      <c r="C1020" t="s">
        <v>1392</v>
      </c>
      <c r="D1020" t="str">
        <f t="shared" si="35"/>
        <v/>
      </c>
      <c r="E1020" t="str">
        <f t="shared" si="34"/>
        <v>us blues</v>
      </c>
      <c r="F1020" t="s">
        <v>7464</v>
      </c>
      <c r="G1020" t="str">
        <f>_xlfn.IFNA(VLOOKUP(F1020,songs!$B$1:$C$1539, 2, FALSE),"")</f>
        <v>U.S. Blues</v>
      </c>
      <c r="H1020" t="s">
        <v>7867</v>
      </c>
    </row>
    <row r="1021" spans="1:8" x14ac:dyDescent="0.25">
      <c r="A1021">
        <v>1020</v>
      </c>
      <c r="B1021" t="s">
        <v>1355</v>
      </c>
      <c r="C1021" t="s">
        <v>1340</v>
      </c>
      <c r="D1021" t="str">
        <f t="shared" si="35"/>
        <v/>
      </c>
      <c r="E1021" t="str">
        <f t="shared" si="34"/>
        <v>me and bobby mcgee</v>
      </c>
      <c r="F1021" t="s">
        <v>6483</v>
      </c>
      <c r="G1021" t="str">
        <f>_xlfn.IFNA(VLOOKUP(F1021,songs!$B$1:$C$1539, 2, FALSE),"")</f>
        <v>Me And Bobby McGee</v>
      </c>
      <c r="H1021" t="s">
        <v>1228</v>
      </c>
    </row>
    <row r="1022" spans="1:8" x14ac:dyDescent="0.25">
      <c r="A1022">
        <v>1021</v>
      </c>
      <c r="B1022" t="s">
        <v>1356</v>
      </c>
      <c r="C1022" t="s">
        <v>653</v>
      </c>
      <c r="D1022" t="str">
        <f t="shared" si="35"/>
        <v/>
      </c>
      <c r="E1022" t="str">
        <f t="shared" si="34"/>
        <v>comes a time</v>
      </c>
      <c r="F1022" t="s">
        <v>5360</v>
      </c>
      <c r="G1022" t="str">
        <f>_xlfn.IFNA(VLOOKUP(F1022,songs!$B$1:$C$1539, 2, FALSE),"")</f>
        <v>Comes A Time</v>
      </c>
      <c r="H1022" t="s">
        <v>1731</v>
      </c>
    </row>
    <row r="1023" spans="1:8" x14ac:dyDescent="0.25">
      <c r="A1023">
        <v>1022</v>
      </c>
      <c r="B1023" t="s">
        <v>1357</v>
      </c>
      <c r="C1023" t="s">
        <v>956</v>
      </c>
      <c r="D1023" t="str">
        <f t="shared" si="35"/>
        <v/>
      </c>
      <c r="E1023" t="str">
        <f t="shared" si="34"/>
        <v>one more saturday night</v>
      </c>
      <c r="F1023" t="s">
        <v>6702</v>
      </c>
      <c r="G1023" t="str">
        <f>_xlfn.IFNA(VLOOKUP(F1023,songs!$B$1:$C$1539, 2, FALSE),"")</f>
        <v>One More Saturday Night</v>
      </c>
      <c r="H1023" t="s">
        <v>956</v>
      </c>
    </row>
    <row r="1024" spans="1:8" x14ac:dyDescent="0.25">
      <c r="A1024">
        <v>1023</v>
      </c>
      <c r="B1024" t="s">
        <v>1358</v>
      </c>
      <c r="C1024" t="s">
        <v>436</v>
      </c>
      <c r="D1024" t="str">
        <f t="shared" si="35"/>
        <v/>
      </c>
      <c r="E1024" t="str">
        <f t="shared" si="34"/>
        <v>ramble on rose</v>
      </c>
      <c r="F1024" t="s">
        <v>6827</v>
      </c>
      <c r="G1024" t="str">
        <f>_xlfn.IFNA(VLOOKUP(F1024,songs!$B$1:$C$1539, 2, FALSE),"")</f>
        <v>Ramble On Rose</v>
      </c>
      <c r="H1024" t="s">
        <v>436</v>
      </c>
    </row>
    <row r="1025" spans="1:8" x14ac:dyDescent="0.25">
      <c r="A1025">
        <v>1024</v>
      </c>
      <c r="B1025" t="s">
        <v>1359</v>
      </c>
      <c r="C1025" t="s">
        <v>225</v>
      </c>
      <c r="D1025" t="str">
        <f t="shared" si="35"/>
        <v/>
      </c>
      <c r="E1025" t="str">
        <f t="shared" si="34"/>
        <v>cumberland blues</v>
      </c>
      <c r="F1025" t="s">
        <v>5411</v>
      </c>
      <c r="G1025" t="str">
        <f>_xlfn.IFNA(VLOOKUP(F1025,songs!$B$1:$C$1539, 2, FALSE),"")</f>
        <v>Cumberland Blues</v>
      </c>
      <c r="H1025" t="s">
        <v>225</v>
      </c>
    </row>
    <row r="1026" spans="1:8" x14ac:dyDescent="0.25">
      <c r="A1026">
        <v>1061</v>
      </c>
      <c r="B1026" t="s">
        <v>1401</v>
      </c>
      <c r="C1026" t="s">
        <v>1402</v>
      </c>
      <c r="D1026" t="str">
        <f t="shared" si="35"/>
        <v/>
      </c>
      <c r="E1026" t="str">
        <f t="shared" si="34"/>
        <v>china cat sunflower ]</v>
      </c>
      <c r="F1026" t="s">
        <v>5319</v>
      </c>
      <c r="G1026" t="str">
        <f>_xlfn.IFNA(VLOOKUP(F1026,songs!$B$1:$C$1539, 2, FALSE),"")</f>
        <v>China Cat Sunflower</v>
      </c>
      <c r="H1026" t="s">
        <v>7867</v>
      </c>
    </row>
    <row r="1027" spans="1:8" x14ac:dyDescent="0.25">
      <c r="A1027">
        <v>1026</v>
      </c>
      <c r="B1027" t="s">
        <v>1361</v>
      </c>
      <c r="C1027" t="s">
        <v>264</v>
      </c>
      <c r="D1027" t="str">
        <f t="shared" si="35"/>
        <v/>
      </c>
      <c r="E1027" t="str">
        <f t="shared" si="34"/>
        <v>deal</v>
      </c>
      <c r="F1027" t="s">
        <v>5461</v>
      </c>
      <c r="G1027" t="str">
        <f>_xlfn.IFNA(VLOOKUP(F1027,songs!$B$1:$C$1539, 2, FALSE),"")</f>
        <v>Deal</v>
      </c>
      <c r="H1027" t="s">
        <v>264</v>
      </c>
    </row>
    <row r="1028" spans="1:8" x14ac:dyDescent="0.25">
      <c r="A1028">
        <v>1027</v>
      </c>
      <c r="B1028" t="s">
        <v>1362</v>
      </c>
      <c r="C1028" t="s">
        <v>30</v>
      </c>
      <c r="D1028" t="str">
        <f t="shared" si="35"/>
        <v/>
      </c>
      <c r="E1028" t="str">
        <f t="shared" ref="E1028:E1091" si="36">LOWER(TRIM(SUBSTITUTE(IF(RIGHT(TRIM(C1028),2)="-&gt;",LEFT(TRIM(C1028),LEN(TRIM(C1028))-2),IF(RIGHT(TRIM(C1028),1)="&gt;",LEFT(TRIM(C1028),LEN(TRIM(C1028))-1),C1028)),"//","")))</f>
        <v>sugar magnolia</v>
      </c>
      <c r="F1028" t="s">
        <v>7150</v>
      </c>
      <c r="G1028" t="str">
        <f>_xlfn.IFNA(VLOOKUP(F1028,songs!$B$1:$C$1539, 2, FALSE),"")</f>
        <v>Sugar Magnolia</v>
      </c>
      <c r="H1028" t="s">
        <v>30</v>
      </c>
    </row>
    <row r="1029" spans="1:8" x14ac:dyDescent="0.25">
      <c r="A1029">
        <v>1028</v>
      </c>
      <c r="B1029" t="s">
        <v>1363</v>
      </c>
      <c r="C1029" t="s">
        <v>81</v>
      </c>
      <c r="D1029" t="str">
        <f t="shared" si="35"/>
        <v/>
      </c>
      <c r="E1029" t="str">
        <f t="shared" si="36"/>
        <v>casey jones</v>
      </c>
      <c r="F1029" t="s">
        <v>5290</v>
      </c>
      <c r="G1029" t="str">
        <f>_xlfn.IFNA(VLOOKUP(F1029,songs!$B$1:$C$1539, 2, FALSE),"")</f>
        <v>Casey Jones</v>
      </c>
      <c r="H1029" t="s">
        <v>81</v>
      </c>
    </row>
    <row r="1030" spans="1:8" x14ac:dyDescent="0.25">
      <c r="A1030">
        <v>1029</v>
      </c>
      <c r="B1030" t="s">
        <v>1364</v>
      </c>
      <c r="C1030" t="s">
        <v>148</v>
      </c>
      <c r="D1030" t="str">
        <f t="shared" si="35"/>
        <v/>
      </c>
      <c r="E1030" t="str">
        <f t="shared" si="36"/>
        <v>johnny b. goode</v>
      </c>
      <c r="F1030" t="s">
        <v>6192</v>
      </c>
      <c r="G1030" t="str">
        <f>_xlfn.IFNA(VLOOKUP(F1030,songs!$B$1:$C$1539, 2, FALSE),"")</f>
        <v>Johnny B. Goode</v>
      </c>
      <c r="H1030" t="s">
        <v>148</v>
      </c>
    </row>
    <row r="1031" spans="1:8" x14ac:dyDescent="0.25">
      <c r="A1031">
        <v>1030</v>
      </c>
      <c r="B1031" t="s">
        <v>1365</v>
      </c>
      <c r="C1031" t="s">
        <v>130</v>
      </c>
      <c r="D1031" t="str">
        <f t="shared" si="35"/>
        <v/>
      </c>
      <c r="E1031" t="str">
        <f t="shared" si="36"/>
        <v>promised land</v>
      </c>
      <c r="F1031" t="s">
        <v>6797</v>
      </c>
      <c r="G1031" t="str">
        <f>_xlfn.IFNA(VLOOKUP(F1031,songs!$B$1:$C$1539, 2, FALSE),"")</f>
        <v>Promised Land</v>
      </c>
      <c r="H1031" t="s">
        <v>130</v>
      </c>
    </row>
    <row r="1032" spans="1:8" x14ac:dyDescent="0.25">
      <c r="A1032">
        <v>1031</v>
      </c>
      <c r="B1032" t="s">
        <v>1366</v>
      </c>
      <c r="C1032" t="s">
        <v>264</v>
      </c>
      <c r="D1032" t="str">
        <f t="shared" si="35"/>
        <v/>
      </c>
      <c r="E1032" t="str">
        <f t="shared" si="36"/>
        <v>deal</v>
      </c>
      <c r="F1032" t="s">
        <v>5461</v>
      </c>
      <c r="G1032" t="str">
        <f>_xlfn.IFNA(VLOOKUP(F1032,songs!$B$1:$C$1539, 2, FALSE),"")</f>
        <v>Deal</v>
      </c>
      <c r="H1032" t="s">
        <v>264</v>
      </c>
    </row>
    <row r="1033" spans="1:8" x14ac:dyDescent="0.25">
      <c r="A1033">
        <v>1032</v>
      </c>
      <c r="B1033" t="s">
        <v>1367</v>
      </c>
      <c r="C1033" t="s">
        <v>262</v>
      </c>
      <c r="D1033" t="str">
        <f t="shared" si="35"/>
        <v/>
      </c>
      <c r="E1033" t="str">
        <f t="shared" si="36"/>
        <v>cassidy</v>
      </c>
      <c r="F1033" t="s">
        <v>5291</v>
      </c>
      <c r="G1033" t="str">
        <f>_xlfn.IFNA(VLOOKUP(F1033,songs!$B$1:$C$1539, 2, FALSE),"")</f>
        <v>Cassidy</v>
      </c>
      <c r="H1033" t="s">
        <v>262</v>
      </c>
    </row>
    <row r="1034" spans="1:8" x14ac:dyDescent="0.25">
      <c r="A1034">
        <v>1033</v>
      </c>
      <c r="B1034" t="s">
        <v>1368</v>
      </c>
      <c r="C1034" t="s">
        <v>51</v>
      </c>
      <c r="D1034" t="str">
        <f t="shared" si="35"/>
        <v/>
      </c>
      <c r="E1034" t="str">
        <f t="shared" si="36"/>
        <v>sugaree</v>
      </c>
      <c r="F1034" t="s">
        <v>7151</v>
      </c>
      <c r="G1034" t="str">
        <f>_xlfn.IFNA(VLOOKUP(F1034,songs!$B$1:$C$1539, 2, FALSE),"")</f>
        <v>Sugaree</v>
      </c>
      <c r="H1034" t="s">
        <v>51</v>
      </c>
    </row>
    <row r="1035" spans="1:8" x14ac:dyDescent="0.25">
      <c r="A1035">
        <v>1034</v>
      </c>
      <c r="B1035" t="s">
        <v>1369</v>
      </c>
      <c r="C1035" t="s">
        <v>126</v>
      </c>
      <c r="D1035" t="str">
        <f t="shared" si="35"/>
        <v/>
      </c>
      <c r="E1035" t="str">
        <f t="shared" si="36"/>
        <v>looks like rain</v>
      </c>
      <c r="F1035" t="s">
        <v>6398</v>
      </c>
      <c r="G1035" t="str">
        <f>_xlfn.IFNA(VLOOKUP(F1035,songs!$B$1:$C$1539, 2, FALSE),"")</f>
        <v>Looks Like Rain</v>
      </c>
      <c r="H1035" t="s">
        <v>126</v>
      </c>
    </row>
    <row r="1036" spans="1:8" x14ac:dyDescent="0.25">
      <c r="A1036">
        <v>1064</v>
      </c>
      <c r="B1036" t="s">
        <v>1405</v>
      </c>
      <c r="C1036" t="s">
        <v>615</v>
      </c>
      <c r="D1036" t="str">
        <f t="shared" si="35"/>
        <v/>
      </c>
      <c r="E1036" t="str">
        <f t="shared" si="36"/>
        <v>brown-eyed women</v>
      </c>
      <c r="F1036" t="s">
        <v>5255</v>
      </c>
      <c r="G1036" t="str">
        <f>_xlfn.IFNA(VLOOKUP(F1036,songs!$B$1:$C$1539, 2, FALSE),"")</f>
        <v>Brown Eyed Women</v>
      </c>
      <c r="H1036" t="s">
        <v>7867</v>
      </c>
    </row>
    <row r="1037" spans="1:8" x14ac:dyDescent="0.25">
      <c r="A1037">
        <v>1036</v>
      </c>
      <c r="B1037" t="s">
        <v>1372</v>
      </c>
      <c r="C1037" t="s">
        <v>3</v>
      </c>
      <c r="D1037" t="str">
        <f t="shared" si="35"/>
        <v/>
      </c>
      <c r="E1037" t="str">
        <f t="shared" si="36"/>
        <v>big river</v>
      </c>
      <c r="F1037" t="s">
        <v>5175</v>
      </c>
      <c r="G1037" t="str">
        <f>_xlfn.IFNA(VLOOKUP(F1037,songs!$B$1:$C$1539, 2, FALSE),"")</f>
        <v>Big River</v>
      </c>
      <c r="H1037" t="s">
        <v>3</v>
      </c>
    </row>
    <row r="1038" spans="1:8" x14ac:dyDescent="0.25">
      <c r="A1038">
        <v>1037</v>
      </c>
      <c r="B1038" t="s">
        <v>1373</v>
      </c>
      <c r="C1038" t="s">
        <v>164</v>
      </c>
      <c r="D1038" t="str">
        <f t="shared" si="35"/>
        <v/>
      </c>
      <c r="E1038" t="str">
        <f t="shared" si="36"/>
        <v>tennessee jed</v>
      </c>
      <c r="F1038" t="s">
        <v>7234</v>
      </c>
      <c r="G1038" t="str">
        <f>_xlfn.IFNA(VLOOKUP(F1038,songs!$B$1:$C$1539, 2, FALSE),"")</f>
        <v>Tennessee Jed</v>
      </c>
      <c r="H1038" t="s">
        <v>164</v>
      </c>
    </row>
    <row r="1039" spans="1:8" x14ac:dyDescent="0.25">
      <c r="A1039">
        <v>1038</v>
      </c>
      <c r="B1039" t="s">
        <v>1374</v>
      </c>
      <c r="C1039" t="s">
        <v>419</v>
      </c>
      <c r="D1039" t="str">
        <f t="shared" si="35"/>
        <v/>
      </c>
      <c r="E1039" t="str">
        <f t="shared" si="36"/>
        <v>playing in the band</v>
      </c>
      <c r="F1039" t="s">
        <v>6769</v>
      </c>
      <c r="G1039" t="str">
        <f>_xlfn.IFNA(VLOOKUP(F1039,songs!$B$1:$C$1539, 2, FALSE),"")</f>
        <v>Playing In The Band</v>
      </c>
      <c r="H1039" t="s">
        <v>419</v>
      </c>
    </row>
    <row r="1040" spans="1:8" x14ac:dyDescent="0.25">
      <c r="A1040">
        <v>1039</v>
      </c>
      <c r="B1040" t="s">
        <v>1375</v>
      </c>
      <c r="C1040" t="s">
        <v>55</v>
      </c>
      <c r="D1040" t="str">
        <f t="shared" si="35"/>
        <v/>
      </c>
      <c r="E1040" t="str">
        <f t="shared" si="36"/>
        <v>supplication</v>
      </c>
      <c r="F1040" t="s">
        <v>7162</v>
      </c>
      <c r="G1040" t="str">
        <f>_xlfn.IFNA(VLOOKUP(F1040,songs!$B$1:$C$1539, 2, FALSE),"")</f>
        <v>Supplication</v>
      </c>
      <c r="H1040" t="s">
        <v>55</v>
      </c>
    </row>
    <row r="1041" spans="1:8" x14ac:dyDescent="0.25">
      <c r="A1041">
        <v>1040</v>
      </c>
      <c r="B1041" t="s">
        <v>1376</v>
      </c>
      <c r="C1041" t="s">
        <v>419</v>
      </c>
      <c r="D1041" t="str">
        <f t="shared" si="35"/>
        <v/>
      </c>
      <c r="E1041" t="str">
        <f t="shared" si="36"/>
        <v>playing in the band</v>
      </c>
      <c r="F1041" t="s">
        <v>6769</v>
      </c>
      <c r="G1041" t="str">
        <f>_xlfn.IFNA(VLOOKUP(F1041,songs!$B$1:$C$1539, 2, FALSE),"")</f>
        <v>Playing In The Band</v>
      </c>
      <c r="H1041" t="s">
        <v>419</v>
      </c>
    </row>
    <row r="1042" spans="1:8" x14ac:dyDescent="0.25">
      <c r="A1042">
        <v>1041</v>
      </c>
      <c r="B1042" t="s">
        <v>1377</v>
      </c>
      <c r="C1042" t="s">
        <v>1127</v>
      </c>
      <c r="D1042" t="str">
        <f t="shared" si="35"/>
        <v/>
      </c>
      <c r="E1042" t="str">
        <f t="shared" si="36"/>
        <v>might as well</v>
      </c>
      <c r="F1042" t="s">
        <v>6518</v>
      </c>
      <c r="G1042" t="str">
        <f>_xlfn.IFNA(VLOOKUP(F1042,songs!$B$1:$C$1539, 2, FALSE),"")</f>
        <v>Might As Well</v>
      </c>
      <c r="H1042" t="s">
        <v>1127</v>
      </c>
    </row>
    <row r="1043" spans="1:8" x14ac:dyDescent="0.25">
      <c r="A1043">
        <v>1069</v>
      </c>
      <c r="B1043" t="s">
        <v>1410</v>
      </c>
      <c r="C1043" t="s">
        <v>1411</v>
      </c>
      <c r="D1043" t="str">
        <f t="shared" si="35"/>
        <v/>
      </c>
      <c r="E1043" t="str">
        <f t="shared" si="36"/>
        <v>playing in the band ]</v>
      </c>
      <c r="F1043" t="s">
        <v>6769</v>
      </c>
      <c r="G1043" t="str">
        <f>_xlfn.IFNA(VLOOKUP(F1043,songs!$B$1:$C$1539, 2, FALSE),"")</f>
        <v>Playing In The Band</v>
      </c>
      <c r="H1043" t="s">
        <v>7867</v>
      </c>
    </row>
    <row r="1044" spans="1:8" x14ac:dyDescent="0.25">
      <c r="A1044">
        <v>1043</v>
      </c>
      <c r="B1044" t="s">
        <v>1379</v>
      </c>
      <c r="C1044" t="s">
        <v>291</v>
      </c>
      <c r="D1044" t="str">
        <f t="shared" si="35"/>
        <v/>
      </c>
      <c r="E1044" t="str">
        <f t="shared" si="36"/>
        <v>loser</v>
      </c>
      <c r="F1044" t="s">
        <v>6400</v>
      </c>
      <c r="G1044" t="str">
        <f>_xlfn.IFNA(VLOOKUP(F1044,songs!$B$1:$C$1539, 2, FALSE),"")</f>
        <v>Loser</v>
      </c>
      <c r="H1044" t="s">
        <v>291</v>
      </c>
    </row>
    <row r="1045" spans="1:8" x14ac:dyDescent="0.25">
      <c r="A1045">
        <v>1070</v>
      </c>
      <c r="B1045" t="s">
        <v>1412</v>
      </c>
      <c r="C1045" t="s">
        <v>1413</v>
      </c>
      <c r="D1045" t="str">
        <f t="shared" ref="D1045:D1076" si="37">IF(RIGHT(TRIM(C1045),2)="-&gt;","&gt;",IF(RIGHT(TRIM(C1045),1)="&gt;","&gt;",""))</f>
        <v/>
      </c>
      <c r="E1045" t="str">
        <f t="shared" si="36"/>
        <v>uncle john's band ]</v>
      </c>
      <c r="F1045" t="s">
        <v>7466</v>
      </c>
      <c r="G1045" t="str">
        <f>_xlfn.IFNA(VLOOKUP(F1045,songs!$B$1:$C$1539, 2, FALSE),"")</f>
        <v>Uncle John's Band</v>
      </c>
      <c r="H1045" t="s">
        <v>7867</v>
      </c>
    </row>
    <row r="1046" spans="1:8" x14ac:dyDescent="0.25">
      <c r="A1046">
        <v>1045</v>
      </c>
      <c r="B1046" t="s">
        <v>1381</v>
      </c>
      <c r="C1046" t="s">
        <v>1382</v>
      </c>
      <c r="D1046" t="str">
        <f t="shared" si="37"/>
        <v/>
      </c>
      <c r="E1046" t="str">
        <f t="shared" si="36"/>
        <v>help on the way</v>
      </c>
      <c r="F1046" t="s">
        <v>5895</v>
      </c>
      <c r="G1046" t="str">
        <f>_xlfn.IFNA(VLOOKUP(F1046,songs!$B$1:$C$1539, 2, FALSE),"")</f>
        <v>Help On The Way</v>
      </c>
      <c r="H1046" t="s">
        <v>1382</v>
      </c>
    </row>
    <row r="1047" spans="1:8" x14ac:dyDescent="0.25">
      <c r="A1047">
        <v>1046</v>
      </c>
      <c r="B1047" t="s">
        <v>1383</v>
      </c>
      <c r="C1047" t="s">
        <v>61</v>
      </c>
      <c r="D1047" t="str">
        <f t="shared" si="37"/>
        <v/>
      </c>
      <c r="E1047" t="str">
        <f t="shared" si="36"/>
        <v>slipknot!</v>
      </c>
      <c r="F1047" t="s">
        <v>7035</v>
      </c>
      <c r="G1047" t="str">
        <f>_xlfn.IFNA(VLOOKUP(F1047,songs!$B$1:$C$1539, 2, FALSE),"")</f>
        <v>Slipknot!</v>
      </c>
      <c r="H1047" t="s">
        <v>61</v>
      </c>
    </row>
    <row r="1048" spans="1:8" x14ac:dyDescent="0.25">
      <c r="A1048">
        <v>1047</v>
      </c>
      <c r="B1048" t="s">
        <v>1384</v>
      </c>
      <c r="C1048" t="s">
        <v>100</v>
      </c>
      <c r="D1048" t="str">
        <f t="shared" si="37"/>
        <v/>
      </c>
      <c r="E1048" t="str">
        <f t="shared" si="36"/>
        <v>drums</v>
      </c>
      <c r="F1048" t="s">
        <v>5568</v>
      </c>
      <c r="G1048" t="str">
        <f>_xlfn.IFNA(VLOOKUP(F1048,songs!$B$1:$C$1539, 2, FALSE),"")</f>
        <v>Drums</v>
      </c>
      <c r="H1048" t="s">
        <v>100</v>
      </c>
    </row>
    <row r="1049" spans="1:8" x14ac:dyDescent="0.25">
      <c r="A1049">
        <v>1048</v>
      </c>
      <c r="B1049" t="s">
        <v>1385</v>
      </c>
      <c r="C1049" t="s">
        <v>61</v>
      </c>
      <c r="D1049" t="str">
        <f t="shared" si="37"/>
        <v/>
      </c>
      <c r="E1049" t="str">
        <f t="shared" si="36"/>
        <v>slipknot!</v>
      </c>
      <c r="F1049" t="s">
        <v>7035</v>
      </c>
      <c r="G1049" t="str">
        <f>_xlfn.IFNA(VLOOKUP(F1049,songs!$B$1:$C$1539, 2, FALSE),"")</f>
        <v>Slipknot!</v>
      </c>
      <c r="H1049" t="s">
        <v>61</v>
      </c>
    </row>
    <row r="1050" spans="1:8" x14ac:dyDescent="0.25">
      <c r="A1050">
        <v>1049</v>
      </c>
      <c r="B1050" t="s">
        <v>1386</v>
      </c>
      <c r="C1050" t="s">
        <v>63</v>
      </c>
      <c r="D1050" t="str">
        <f t="shared" si="37"/>
        <v/>
      </c>
      <c r="E1050" t="str">
        <f t="shared" si="36"/>
        <v>franklin's tower</v>
      </c>
      <c r="F1050" t="s">
        <v>5712</v>
      </c>
      <c r="G1050" t="str">
        <f>_xlfn.IFNA(VLOOKUP(F1050,songs!$B$1:$C$1539, 2, FALSE),"")</f>
        <v>Franklin's Tower</v>
      </c>
      <c r="H1050" t="s">
        <v>63</v>
      </c>
    </row>
    <row r="1051" spans="1:8" x14ac:dyDescent="0.25">
      <c r="A1051">
        <v>1050</v>
      </c>
      <c r="B1051" t="s">
        <v>1387</v>
      </c>
      <c r="C1051" t="s">
        <v>49</v>
      </c>
      <c r="D1051" t="str">
        <f t="shared" si="37"/>
        <v/>
      </c>
      <c r="E1051" t="str">
        <f t="shared" si="36"/>
        <v>the music never stopped</v>
      </c>
      <c r="F1051" t="s">
        <v>7316</v>
      </c>
      <c r="G1051" t="str">
        <f>_xlfn.IFNA(VLOOKUP(F1051,songs!$B$1:$C$1539, 2, FALSE),"")</f>
        <v>The Music Never Stopped</v>
      </c>
      <c r="H1051" t="s">
        <v>49</v>
      </c>
    </row>
    <row r="1052" spans="1:8" x14ac:dyDescent="0.25">
      <c r="A1052">
        <v>1051</v>
      </c>
      <c r="B1052" t="s">
        <v>1388</v>
      </c>
      <c r="C1052" t="s">
        <v>24</v>
      </c>
      <c r="D1052" t="str">
        <f t="shared" si="37"/>
        <v/>
      </c>
      <c r="E1052" t="str">
        <f t="shared" si="36"/>
        <v>stella blue</v>
      </c>
      <c r="F1052" t="s">
        <v>7123</v>
      </c>
      <c r="G1052" t="str">
        <f>_xlfn.IFNA(VLOOKUP(F1052,songs!$B$1:$C$1539, 2, FALSE),"")</f>
        <v>Stella Blue</v>
      </c>
      <c r="H1052" t="s">
        <v>24</v>
      </c>
    </row>
    <row r="1053" spans="1:8" x14ac:dyDescent="0.25">
      <c r="A1053">
        <v>1071</v>
      </c>
      <c r="B1053" t="s">
        <v>1414</v>
      </c>
      <c r="C1053" t="s">
        <v>1415</v>
      </c>
      <c r="D1053" t="str">
        <f t="shared" si="37"/>
        <v/>
      </c>
      <c r="E1053" t="str">
        <f t="shared" si="36"/>
        <v>morning dew ]</v>
      </c>
      <c r="F1053" t="s">
        <v>6555</v>
      </c>
      <c r="G1053" t="str">
        <f>_xlfn.IFNA(VLOOKUP(F1053,songs!$B$1:$C$1539, 2, FALSE),"")</f>
        <v>Morning Dew</v>
      </c>
      <c r="H1053" t="s">
        <v>7867</v>
      </c>
    </row>
    <row r="1054" spans="1:8" x14ac:dyDescent="0.25">
      <c r="A1054">
        <v>1072</v>
      </c>
      <c r="B1054" t="s">
        <v>1416</v>
      </c>
      <c r="C1054" t="s">
        <v>1413</v>
      </c>
      <c r="D1054" t="str">
        <f t="shared" si="37"/>
        <v/>
      </c>
      <c r="E1054" t="str">
        <f t="shared" si="36"/>
        <v>uncle john's band ]</v>
      </c>
      <c r="F1054" t="s">
        <v>7466</v>
      </c>
      <c r="G1054" t="str">
        <f>_xlfn.IFNA(VLOOKUP(F1054,songs!$B$1:$C$1539, 2, FALSE),"")</f>
        <v>Uncle John's Band</v>
      </c>
      <c r="H1054" t="s">
        <v>7867</v>
      </c>
    </row>
    <row r="1055" spans="1:8" x14ac:dyDescent="0.25">
      <c r="A1055">
        <v>1054</v>
      </c>
      <c r="B1055" t="s">
        <v>1393</v>
      </c>
      <c r="C1055" t="s">
        <v>903</v>
      </c>
      <c r="D1055" t="str">
        <f t="shared" si="37"/>
        <v/>
      </c>
      <c r="E1055" t="str">
        <f t="shared" si="36"/>
        <v>me and my uncle</v>
      </c>
      <c r="F1055" t="s">
        <v>6486</v>
      </c>
      <c r="G1055" t="str">
        <f>_xlfn.IFNA(VLOOKUP(F1055,songs!$B$1:$C$1539, 2, FALSE),"")</f>
        <v>Me And My Uncle</v>
      </c>
      <c r="H1055" t="s">
        <v>903</v>
      </c>
    </row>
    <row r="1056" spans="1:8" x14ac:dyDescent="0.25">
      <c r="A1056">
        <v>1055</v>
      </c>
      <c r="B1056" t="s">
        <v>1394</v>
      </c>
      <c r="C1056" t="s">
        <v>1</v>
      </c>
      <c r="D1056" t="str">
        <f t="shared" si="37"/>
        <v/>
      </c>
      <c r="E1056" t="str">
        <f t="shared" si="36"/>
        <v>here comes sunshine</v>
      </c>
      <c r="F1056" t="s">
        <v>5898</v>
      </c>
      <c r="G1056" t="str">
        <f>_xlfn.IFNA(VLOOKUP(F1056,songs!$B$1:$C$1539, 2, FALSE),"")</f>
        <v>Here Comes Sunshine</v>
      </c>
      <c r="H1056" t="s">
        <v>1</v>
      </c>
    </row>
    <row r="1057" spans="1:8" x14ac:dyDescent="0.25">
      <c r="A1057">
        <v>1056</v>
      </c>
      <c r="B1057" t="s">
        <v>1395</v>
      </c>
      <c r="C1057" t="s">
        <v>126</v>
      </c>
      <c r="D1057" t="str">
        <f t="shared" si="37"/>
        <v/>
      </c>
      <c r="E1057" t="str">
        <f t="shared" si="36"/>
        <v>looks like rain</v>
      </c>
      <c r="F1057" t="s">
        <v>6398</v>
      </c>
      <c r="G1057" t="str">
        <f>_xlfn.IFNA(VLOOKUP(F1057,songs!$B$1:$C$1539, 2, FALSE),"")</f>
        <v>Looks Like Rain</v>
      </c>
      <c r="H1057" t="s">
        <v>126</v>
      </c>
    </row>
    <row r="1058" spans="1:8" x14ac:dyDescent="0.25">
      <c r="A1058">
        <v>1057</v>
      </c>
      <c r="B1058" t="s">
        <v>1396</v>
      </c>
      <c r="C1058" t="s">
        <v>264</v>
      </c>
      <c r="D1058" t="str">
        <f t="shared" si="37"/>
        <v/>
      </c>
      <c r="E1058" t="str">
        <f t="shared" si="36"/>
        <v>deal</v>
      </c>
      <c r="F1058" t="s">
        <v>5461</v>
      </c>
      <c r="G1058" t="str">
        <f>_xlfn.IFNA(VLOOKUP(F1058,songs!$B$1:$C$1539, 2, FALSE),"")</f>
        <v>Deal</v>
      </c>
      <c r="H1058" t="s">
        <v>264</v>
      </c>
    </row>
    <row r="1059" spans="1:8" x14ac:dyDescent="0.25">
      <c r="A1059">
        <v>1058</v>
      </c>
      <c r="B1059" t="s">
        <v>1397</v>
      </c>
      <c r="C1059" t="s">
        <v>186</v>
      </c>
      <c r="D1059" t="str">
        <f t="shared" si="37"/>
        <v/>
      </c>
      <c r="E1059" t="str">
        <f t="shared" si="36"/>
        <v>mexicali blues</v>
      </c>
      <c r="F1059" t="s">
        <v>6499</v>
      </c>
      <c r="G1059" t="str">
        <f>_xlfn.IFNA(VLOOKUP(F1059,songs!$B$1:$C$1539, 2, FALSE),"")</f>
        <v>Mexicali Blues</v>
      </c>
      <c r="H1059" t="s">
        <v>186</v>
      </c>
    </row>
    <row r="1060" spans="1:8" x14ac:dyDescent="0.25">
      <c r="A1060">
        <v>1059</v>
      </c>
      <c r="B1060" t="s">
        <v>1398</v>
      </c>
      <c r="C1060" t="s">
        <v>164</v>
      </c>
      <c r="D1060" t="str">
        <f t="shared" si="37"/>
        <v/>
      </c>
      <c r="E1060" t="str">
        <f t="shared" si="36"/>
        <v>tennessee jed</v>
      </c>
      <c r="F1060" t="s">
        <v>7234</v>
      </c>
      <c r="G1060" t="str">
        <f>_xlfn.IFNA(VLOOKUP(F1060,songs!$B$1:$C$1539, 2, FALSE),"")</f>
        <v>Tennessee Jed</v>
      </c>
      <c r="H1060" t="s">
        <v>164</v>
      </c>
    </row>
    <row r="1061" spans="1:8" x14ac:dyDescent="0.25">
      <c r="A1061">
        <v>1060</v>
      </c>
      <c r="B1061" t="s">
        <v>1399</v>
      </c>
      <c r="C1061" t="s">
        <v>1400</v>
      </c>
      <c r="D1061" t="str">
        <f t="shared" si="37"/>
        <v/>
      </c>
      <c r="E1061" t="str">
        <f t="shared" si="36"/>
        <v>the race is on</v>
      </c>
      <c r="F1061" t="s">
        <v>7326</v>
      </c>
      <c r="G1061" t="str">
        <f>_xlfn.IFNA(VLOOKUP(F1061,songs!$B$1:$C$1539, 2, FALSE),"")</f>
        <v>The Race Is On</v>
      </c>
      <c r="H1061" t="s">
        <v>1400</v>
      </c>
    </row>
    <row r="1062" spans="1:8" x14ac:dyDescent="0.25">
      <c r="A1062">
        <v>1076</v>
      </c>
      <c r="B1062" t="s">
        <v>1420</v>
      </c>
      <c r="C1062" t="s">
        <v>1421</v>
      </c>
      <c r="D1062" t="str">
        <f t="shared" si="37"/>
        <v/>
      </c>
      <c r="E1062" t="str">
        <f t="shared" si="36"/>
        <v>eyes of the world ]</v>
      </c>
      <c r="F1062" t="s">
        <v>5633</v>
      </c>
      <c r="G1062" t="str">
        <f>_xlfn.IFNA(VLOOKUP(F1062,songs!$B$1:$C$1539, 2, FALSE),"")</f>
        <v>Eyes Of The World</v>
      </c>
      <c r="H1062" t="s">
        <v>7867</v>
      </c>
    </row>
    <row r="1063" spans="1:8" x14ac:dyDescent="0.25">
      <c r="A1063">
        <v>1062</v>
      </c>
      <c r="B1063" t="s">
        <v>1403</v>
      </c>
      <c r="C1063" t="s">
        <v>86</v>
      </c>
      <c r="D1063" t="str">
        <f t="shared" si="37"/>
        <v/>
      </c>
      <c r="E1063" t="str">
        <f t="shared" si="36"/>
        <v>i know you rider</v>
      </c>
      <c r="F1063" t="s">
        <v>6020</v>
      </c>
      <c r="G1063" t="str">
        <f>_xlfn.IFNA(VLOOKUP(F1063,songs!$B$1:$C$1539, 2, FALSE),"")</f>
        <v>I Know You Rider</v>
      </c>
      <c r="H1063" t="s">
        <v>86</v>
      </c>
    </row>
    <row r="1064" spans="1:8" x14ac:dyDescent="0.25">
      <c r="A1064">
        <v>1063</v>
      </c>
      <c r="B1064" t="s">
        <v>1404</v>
      </c>
      <c r="C1064" t="s">
        <v>3</v>
      </c>
      <c r="D1064" t="str">
        <f t="shared" si="37"/>
        <v/>
      </c>
      <c r="E1064" t="str">
        <f t="shared" si="36"/>
        <v>big river</v>
      </c>
      <c r="F1064" t="s">
        <v>5175</v>
      </c>
      <c r="G1064" t="str">
        <f>_xlfn.IFNA(VLOOKUP(F1064,songs!$B$1:$C$1539, 2, FALSE),"")</f>
        <v>Big River</v>
      </c>
      <c r="H1064" t="s">
        <v>3</v>
      </c>
    </row>
    <row r="1065" spans="1:8" x14ac:dyDescent="0.25">
      <c r="A1065">
        <v>1083</v>
      </c>
      <c r="B1065" t="s">
        <v>1428</v>
      </c>
      <c r="C1065" t="s">
        <v>102</v>
      </c>
      <c r="D1065" t="str">
        <f t="shared" si="37"/>
        <v/>
      </c>
      <c r="E1065" t="str">
        <f t="shared" si="36"/>
        <v>me &amp; my uncle</v>
      </c>
      <c r="F1065" t="s">
        <v>6486</v>
      </c>
      <c r="G1065" t="str">
        <f>_xlfn.IFNA(VLOOKUP(F1065,songs!$B$1:$C$1539, 2, FALSE),"")</f>
        <v>Me And My Uncle</v>
      </c>
      <c r="H1065" t="s">
        <v>7867</v>
      </c>
    </row>
    <row r="1066" spans="1:8" x14ac:dyDescent="0.25">
      <c r="A1066">
        <v>1065</v>
      </c>
      <c r="B1066" t="s">
        <v>1406</v>
      </c>
      <c r="C1066" t="s">
        <v>579</v>
      </c>
      <c r="D1066" t="str">
        <f t="shared" si="37"/>
        <v/>
      </c>
      <c r="E1066" t="str">
        <f t="shared" si="36"/>
        <v>around and around</v>
      </c>
      <c r="F1066" t="s">
        <v>5103</v>
      </c>
      <c r="G1066" t="str">
        <f>_xlfn.IFNA(VLOOKUP(F1066,songs!$B$1:$C$1539, 2, FALSE),"")</f>
        <v>Around And Around</v>
      </c>
      <c r="H1066" t="s">
        <v>579</v>
      </c>
    </row>
    <row r="1067" spans="1:8" x14ac:dyDescent="0.25">
      <c r="A1067">
        <v>1066</v>
      </c>
      <c r="B1067" t="s">
        <v>1407</v>
      </c>
      <c r="C1067" t="s">
        <v>188</v>
      </c>
      <c r="D1067" t="str">
        <f t="shared" si="37"/>
        <v/>
      </c>
      <c r="E1067" t="str">
        <f t="shared" si="36"/>
        <v>row jimmy</v>
      </c>
      <c r="F1067" t="s">
        <v>6893</v>
      </c>
      <c r="G1067" t="str">
        <f>_xlfn.IFNA(VLOOKUP(F1067,songs!$B$1:$C$1539, 2, FALSE),"")</f>
        <v>Row Jimmy</v>
      </c>
      <c r="H1067" t="s">
        <v>188</v>
      </c>
    </row>
    <row r="1068" spans="1:8" x14ac:dyDescent="0.25">
      <c r="A1068">
        <v>1067</v>
      </c>
      <c r="B1068" t="s">
        <v>1408</v>
      </c>
      <c r="C1068" t="s">
        <v>199</v>
      </c>
      <c r="D1068" t="str">
        <f t="shared" si="37"/>
        <v/>
      </c>
      <c r="E1068" t="str">
        <f t="shared" si="36"/>
        <v>jack straw</v>
      </c>
      <c r="F1068" t="s">
        <v>6161</v>
      </c>
      <c r="G1068" t="str">
        <f>_xlfn.IFNA(VLOOKUP(F1068,songs!$B$1:$C$1539, 2, FALSE),"")</f>
        <v>Jack Straw</v>
      </c>
      <c r="H1068" t="s">
        <v>199</v>
      </c>
    </row>
    <row r="1069" spans="1:8" x14ac:dyDescent="0.25">
      <c r="A1069">
        <v>1068</v>
      </c>
      <c r="B1069" t="s">
        <v>1409</v>
      </c>
      <c r="C1069" t="s">
        <v>436</v>
      </c>
      <c r="D1069" t="str">
        <f t="shared" si="37"/>
        <v/>
      </c>
      <c r="E1069" t="str">
        <f t="shared" si="36"/>
        <v>ramble on rose</v>
      </c>
      <c r="F1069" t="s">
        <v>6827</v>
      </c>
      <c r="G1069" t="str">
        <f>_xlfn.IFNA(VLOOKUP(F1069,songs!$B$1:$C$1539, 2, FALSE),"")</f>
        <v>Ramble On Rose</v>
      </c>
      <c r="H1069" t="s">
        <v>436</v>
      </c>
    </row>
    <row r="1070" spans="1:8" x14ac:dyDescent="0.25">
      <c r="A1070">
        <v>1087</v>
      </c>
      <c r="B1070" t="s">
        <v>1432</v>
      </c>
      <c r="C1070" t="s">
        <v>32</v>
      </c>
      <c r="D1070" t="str">
        <f t="shared" si="37"/>
        <v/>
      </c>
      <c r="E1070" t="str">
        <f t="shared" si="36"/>
        <v>st. stephen</v>
      </c>
      <c r="F1070" t="s">
        <v>6910</v>
      </c>
      <c r="G1070" t="str">
        <f>_xlfn.IFNA(VLOOKUP(F1070,songs!$B$1:$C$1539, 2, FALSE),"")</f>
        <v>Saint Stephen</v>
      </c>
      <c r="H1070" t="s">
        <v>7867</v>
      </c>
    </row>
    <row r="1071" spans="1:8" x14ac:dyDescent="0.25">
      <c r="A1071">
        <v>1094</v>
      </c>
      <c r="B1071" t="s">
        <v>1440</v>
      </c>
      <c r="C1071" t="s">
        <v>244</v>
      </c>
      <c r="D1071" t="str">
        <f t="shared" si="37"/>
        <v/>
      </c>
      <c r="E1071" t="str">
        <f t="shared" si="36"/>
        <v>cold rain &amp; snow</v>
      </c>
      <c r="F1071" t="s">
        <v>5347</v>
      </c>
      <c r="G1071" t="str">
        <f>_xlfn.IFNA(VLOOKUP(F1071,songs!$B$1:$C$1539, 2, FALSE),"")</f>
        <v>Cold Rain And Snow</v>
      </c>
      <c r="H1071" t="s">
        <v>7867</v>
      </c>
    </row>
    <row r="1072" spans="1:8" x14ac:dyDescent="0.25">
      <c r="A1072">
        <v>1098</v>
      </c>
      <c r="B1072" t="s">
        <v>1444</v>
      </c>
      <c r="C1072" t="s">
        <v>32</v>
      </c>
      <c r="D1072" t="str">
        <f t="shared" si="37"/>
        <v/>
      </c>
      <c r="E1072" t="str">
        <f t="shared" si="36"/>
        <v>st. stephen</v>
      </c>
      <c r="F1072" t="s">
        <v>6910</v>
      </c>
      <c r="G1072" t="str">
        <f>_xlfn.IFNA(VLOOKUP(F1072,songs!$B$1:$C$1539, 2, FALSE),"")</f>
        <v>Saint Stephen</v>
      </c>
      <c r="H1072" t="s">
        <v>7867</v>
      </c>
    </row>
    <row r="1073" spans="1:8" x14ac:dyDescent="0.25">
      <c r="A1073">
        <v>1105</v>
      </c>
      <c r="B1073" t="s">
        <v>1451</v>
      </c>
      <c r="C1073" t="s">
        <v>1452</v>
      </c>
      <c r="D1073" t="str">
        <f t="shared" si="37"/>
        <v/>
      </c>
      <c r="E1073" t="str">
        <f t="shared" si="36"/>
        <v>and we bid you goodnight</v>
      </c>
      <c r="F1073" t="s">
        <v>5082</v>
      </c>
      <c r="G1073" t="str">
        <f>_xlfn.IFNA(VLOOKUP(F1073,songs!$B$1:$C$1539, 2, FALSE),"")</f>
        <v>And We Bid You Good Night</v>
      </c>
      <c r="H1073" t="s">
        <v>7867</v>
      </c>
    </row>
    <row r="1074" spans="1:8" x14ac:dyDescent="0.25">
      <c r="A1074">
        <v>1073</v>
      </c>
      <c r="B1074" t="s">
        <v>1417</v>
      </c>
      <c r="C1074" t="s">
        <v>419</v>
      </c>
      <c r="D1074" t="str">
        <f t="shared" si="37"/>
        <v/>
      </c>
      <c r="E1074" t="str">
        <f t="shared" si="36"/>
        <v>playing in the band</v>
      </c>
      <c r="F1074" t="s">
        <v>6769</v>
      </c>
      <c r="G1074" t="str">
        <f>_xlfn.IFNA(VLOOKUP(F1074,songs!$B$1:$C$1539, 2, FALSE),"")</f>
        <v>Playing In The Band</v>
      </c>
      <c r="H1074" t="s">
        <v>419</v>
      </c>
    </row>
    <row r="1075" spans="1:8" x14ac:dyDescent="0.25">
      <c r="A1075">
        <v>1074</v>
      </c>
      <c r="B1075" t="s">
        <v>1418</v>
      </c>
      <c r="C1075" t="s">
        <v>24</v>
      </c>
      <c r="D1075" t="str">
        <f t="shared" si="37"/>
        <v/>
      </c>
      <c r="E1075" t="str">
        <f t="shared" si="36"/>
        <v>stella blue</v>
      </c>
      <c r="F1075" t="s">
        <v>7123</v>
      </c>
      <c r="G1075" t="str">
        <f>_xlfn.IFNA(VLOOKUP(F1075,songs!$B$1:$C$1539, 2, FALSE),"")</f>
        <v>Stella Blue</v>
      </c>
      <c r="H1075" t="s">
        <v>24</v>
      </c>
    </row>
    <row r="1076" spans="1:8" x14ac:dyDescent="0.25">
      <c r="A1076">
        <v>1075</v>
      </c>
      <c r="B1076" t="s">
        <v>1419</v>
      </c>
      <c r="C1076" t="s">
        <v>327</v>
      </c>
      <c r="D1076" t="str">
        <f t="shared" si="37"/>
        <v/>
      </c>
      <c r="E1076" t="str">
        <f t="shared" si="36"/>
        <v>el paso</v>
      </c>
      <c r="F1076" t="s">
        <v>5600</v>
      </c>
      <c r="G1076" t="str">
        <f>_xlfn.IFNA(VLOOKUP(F1076,songs!$B$1:$C$1539, 2, FALSE),"")</f>
        <v>El Paso</v>
      </c>
      <c r="H1076" t="s">
        <v>327</v>
      </c>
    </row>
    <row r="1077" spans="1:8" x14ac:dyDescent="0.25">
      <c r="A1077">
        <v>1108</v>
      </c>
      <c r="B1077" t="s">
        <v>1455</v>
      </c>
      <c r="C1077" t="s">
        <v>1456</v>
      </c>
      <c r="D1077" t="s">
        <v>7871</v>
      </c>
      <c r="E1077" t="str">
        <f t="shared" si="36"/>
        <v>me and my uncle »</v>
      </c>
      <c r="F1077" t="s">
        <v>6486</v>
      </c>
      <c r="G1077" t="str">
        <f>_xlfn.IFNA(VLOOKUP(F1077,songs!$B$1:$C$1539, 2, FALSE),"")</f>
        <v>Me And My Uncle</v>
      </c>
      <c r="H1077" t="s">
        <v>7867</v>
      </c>
    </row>
    <row r="1078" spans="1:8" x14ac:dyDescent="0.25">
      <c r="A1078">
        <v>1077</v>
      </c>
      <c r="B1078" t="s">
        <v>1422</v>
      </c>
      <c r="C1078" t="s">
        <v>30</v>
      </c>
      <c r="D1078" t="str">
        <f t="shared" ref="D1078:D1141" si="38">IF(RIGHT(TRIM(C1078),2)="-&gt;","&gt;",IF(RIGHT(TRIM(C1078),1)="&gt;","&gt;",""))</f>
        <v/>
      </c>
      <c r="E1078" t="str">
        <f t="shared" si="36"/>
        <v>sugar magnolia</v>
      </c>
      <c r="F1078" t="s">
        <v>7150</v>
      </c>
      <c r="G1078" t="str">
        <f>_xlfn.IFNA(VLOOKUP(F1078,songs!$B$1:$C$1539, 2, FALSE),"")</f>
        <v>Sugar Magnolia</v>
      </c>
      <c r="H1078" t="s">
        <v>30</v>
      </c>
    </row>
    <row r="1079" spans="1:8" x14ac:dyDescent="0.25">
      <c r="A1079">
        <v>1078</v>
      </c>
      <c r="B1079" t="s">
        <v>1423</v>
      </c>
      <c r="C1079" t="s">
        <v>81</v>
      </c>
      <c r="D1079" t="str">
        <f t="shared" si="38"/>
        <v/>
      </c>
      <c r="E1079" t="str">
        <f t="shared" si="36"/>
        <v>casey jones</v>
      </c>
      <c r="F1079" t="s">
        <v>5290</v>
      </c>
      <c r="G1079" t="str">
        <f>_xlfn.IFNA(VLOOKUP(F1079,songs!$B$1:$C$1539, 2, FALSE),"")</f>
        <v>Casey Jones</v>
      </c>
      <c r="H1079" t="s">
        <v>81</v>
      </c>
    </row>
    <row r="1080" spans="1:8" x14ac:dyDescent="0.25">
      <c r="A1080">
        <v>1079</v>
      </c>
      <c r="B1080" t="s">
        <v>1424</v>
      </c>
      <c r="C1080" t="s">
        <v>105</v>
      </c>
      <c r="D1080" t="str">
        <f t="shared" si="38"/>
        <v/>
      </c>
      <c r="E1080" t="str">
        <f t="shared" si="36"/>
        <v>mason's children</v>
      </c>
      <c r="F1080" t="s">
        <v>6469</v>
      </c>
      <c r="G1080" t="str">
        <f>_xlfn.IFNA(VLOOKUP(F1080,songs!$B$1:$C$1539, 2, FALSE),"")</f>
        <v>Mason's Children</v>
      </c>
      <c r="H1080" t="s">
        <v>105</v>
      </c>
    </row>
    <row r="1081" spans="1:8" x14ac:dyDescent="0.25">
      <c r="A1081">
        <v>1080</v>
      </c>
      <c r="B1081" t="s">
        <v>1425</v>
      </c>
      <c r="C1081" t="s">
        <v>84</v>
      </c>
      <c r="D1081" t="str">
        <f t="shared" si="38"/>
        <v/>
      </c>
      <c r="E1081" t="str">
        <f t="shared" si="36"/>
        <v>china cat sunflower</v>
      </c>
      <c r="F1081" t="s">
        <v>5319</v>
      </c>
      <c r="G1081" t="str">
        <f>_xlfn.IFNA(VLOOKUP(F1081,songs!$B$1:$C$1539, 2, FALSE),"")</f>
        <v>China Cat Sunflower</v>
      </c>
      <c r="H1081" t="s">
        <v>84</v>
      </c>
    </row>
    <row r="1082" spans="1:8" x14ac:dyDescent="0.25">
      <c r="A1082">
        <v>1081</v>
      </c>
      <c r="B1082" t="s">
        <v>1426</v>
      </c>
      <c r="C1082" t="s">
        <v>86</v>
      </c>
      <c r="D1082" t="str">
        <f t="shared" si="38"/>
        <v/>
      </c>
      <c r="E1082" t="str">
        <f t="shared" si="36"/>
        <v>i know you rider</v>
      </c>
      <c r="F1082" t="s">
        <v>6020</v>
      </c>
      <c r="G1082" t="str">
        <f>_xlfn.IFNA(VLOOKUP(F1082,songs!$B$1:$C$1539, 2, FALSE),"")</f>
        <v>I Know You Rider</v>
      </c>
      <c r="H1082" t="s">
        <v>86</v>
      </c>
    </row>
    <row r="1083" spans="1:8" x14ac:dyDescent="0.25">
      <c r="A1083">
        <v>1082</v>
      </c>
      <c r="B1083" t="s">
        <v>1427</v>
      </c>
      <c r="C1083" t="s">
        <v>88</v>
      </c>
      <c r="D1083" t="str">
        <f t="shared" si="38"/>
        <v/>
      </c>
      <c r="E1083" t="str">
        <f t="shared" si="36"/>
        <v>high time</v>
      </c>
      <c r="F1083" t="s">
        <v>5920</v>
      </c>
      <c r="G1083" t="str">
        <f>_xlfn.IFNA(VLOOKUP(F1083,songs!$B$1:$C$1539, 2, FALSE),"")</f>
        <v>High Time</v>
      </c>
      <c r="H1083" t="s">
        <v>88</v>
      </c>
    </row>
    <row r="1084" spans="1:8" x14ac:dyDescent="0.25">
      <c r="A1084">
        <v>1112</v>
      </c>
      <c r="B1084" t="s">
        <v>1460</v>
      </c>
      <c r="C1084" t="s">
        <v>615</v>
      </c>
      <c r="D1084" t="str">
        <f t="shared" si="38"/>
        <v/>
      </c>
      <c r="E1084" t="str">
        <f t="shared" si="36"/>
        <v>brown-eyed women</v>
      </c>
      <c r="F1084" t="s">
        <v>5255</v>
      </c>
      <c r="G1084" t="str">
        <f>_xlfn.IFNA(VLOOKUP(F1084,songs!$B$1:$C$1539, 2, FALSE),"")</f>
        <v>Brown Eyed Women</v>
      </c>
      <c r="H1084" t="s">
        <v>7867</v>
      </c>
    </row>
    <row r="1085" spans="1:8" x14ac:dyDescent="0.25">
      <c r="A1085">
        <v>1084</v>
      </c>
      <c r="B1085" t="s">
        <v>1429</v>
      </c>
      <c r="C1085" t="s">
        <v>1199</v>
      </c>
      <c r="D1085" t="str">
        <f t="shared" si="38"/>
        <v/>
      </c>
      <c r="E1085" t="str">
        <f t="shared" si="36"/>
        <v>hard to handle</v>
      </c>
      <c r="F1085" t="s">
        <v>5861</v>
      </c>
      <c r="G1085" t="str">
        <f>_xlfn.IFNA(VLOOKUP(F1085,songs!$B$1:$C$1539, 2, FALSE),"")</f>
        <v>Hard To Handle</v>
      </c>
      <c r="H1085" t="s">
        <v>1199</v>
      </c>
    </row>
    <row r="1086" spans="1:8" x14ac:dyDescent="0.25">
      <c r="A1086">
        <v>1085</v>
      </c>
      <c r="B1086" t="s">
        <v>1430</v>
      </c>
      <c r="C1086" t="s">
        <v>225</v>
      </c>
      <c r="D1086" t="str">
        <f t="shared" si="38"/>
        <v/>
      </c>
      <c r="E1086" t="str">
        <f t="shared" si="36"/>
        <v>cumberland blues</v>
      </c>
      <c r="F1086" t="s">
        <v>5411</v>
      </c>
      <c r="G1086" t="str">
        <f>_xlfn.IFNA(VLOOKUP(F1086,songs!$B$1:$C$1539, 2, FALSE),"")</f>
        <v>Cumberland Blues</v>
      </c>
      <c r="H1086" t="s">
        <v>225</v>
      </c>
    </row>
    <row r="1087" spans="1:8" x14ac:dyDescent="0.25">
      <c r="A1087">
        <v>1086</v>
      </c>
      <c r="B1087" t="s">
        <v>1431</v>
      </c>
      <c r="C1087" t="s">
        <v>92</v>
      </c>
      <c r="D1087" t="str">
        <f t="shared" si="38"/>
        <v/>
      </c>
      <c r="E1087" t="str">
        <f t="shared" si="36"/>
        <v>dark star</v>
      </c>
      <c r="F1087" t="s">
        <v>5428</v>
      </c>
      <c r="G1087" t="str">
        <f>_xlfn.IFNA(VLOOKUP(F1087,songs!$B$1:$C$1539, 2, FALSE),"")</f>
        <v>Dark Star</v>
      </c>
      <c r="H1087" t="s">
        <v>92</v>
      </c>
    </row>
    <row r="1088" spans="1:8" x14ac:dyDescent="0.25">
      <c r="A1088">
        <v>1120</v>
      </c>
      <c r="B1088" t="s">
        <v>1469</v>
      </c>
      <c r="C1088" t="s">
        <v>1177</v>
      </c>
      <c r="D1088" t="str">
        <f t="shared" si="38"/>
        <v/>
      </c>
      <c r="E1088" t="str">
        <f t="shared" si="36"/>
        <v>rhythm devils</v>
      </c>
      <c r="F1088" t="s">
        <v>7833</v>
      </c>
      <c r="G1088" t="s">
        <v>1177</v>
      </c>
      <c r="H1088" t="s">
        <v>7867</v>
      </c>
    </row>
    <row r="1089" spans="1:8" x14ac:dyDescent="0.25">
      <c r="A1089">
        <v>1088</v>
      </c>
      <c r="B1089" t="s">
        <v>1433</v>
      </c>
      <c r="C1089" t="s">
        <v>498</v>
      </c>
      <c r="D1089" t="str">
        <f t="shared" si="38"/>
        <v/>
      </c>
      <c r="E1089" t="str">
        <f t="shared" si="36"/>
        <v>the eleven</v>
      </c>
      <c r="F1089" t="s">
        <v>7280</v>
      </c>
      <c r="G1089" t="str">
        <f>_xlfn.IFNA(VLOOKUP(F1089,songs!$B$1:$C$1539, 2, FALSE),"")</f>
        <v>The Eleven</v>
      </c>
      <c r="H1089" t="s">
        <v>498</v>
      </c>
    </row>
    <row r="1090" spans="1:8" x14ac:dyDescent="0.25">
      <c r="A1090">
        <v>1089</v>
      </c>
      <c r="B1090" t="s">
        <v>1434</v>
      </c>
      <c r="C1090" t="s">
        <v>1435</v>
      </c>
      <c r="D1090" t="str">
        <f t="shared" si="38"/>
        <v/>
      </c>
      <c r="E1090" t="str">
        <f t="shared" si="36"/>
        <v>new speedway boogie</v>
      </c>
      <c r="F1090" t="s">
        <v>6624</v>
      </c>
      <c r="G1090" t="str">
        <f>_xlfn.IFNA(VLOOKUP(F1090,songs!$B$1:$C$1539, 2, FALSE),"")</f>
        <v>New Speedway Boogie</v>
      </c>
      <c r="H1090" t="s">
        <v>1435</v>
      </c>
    </row>
    <row r="1091" spans="1:8" x14ac:dyDescent="0.25">
      <c r="A1091">
        <v>1090</v>
      </c>
      <c r="B1091" t="s">
        <v>1436</v>
      </c>
      <c r="C1091" t="s">
        <v>507</v>
      </c>
      <c r="D1091" t="str">
        <f t="shared" si="38"/>
        <v/>
      </c>
      <c r="E1091" t="str">
        <f t="shared" si="36"/>
        <v>turn on your lovelight</v>
      </c>
      <c r="F1091" t="s">
        <v>7447</v>
      </c>
      <c r="G1091" t="str">
        <f>_xlfn.IFNA(VLOOKUP(F1091,songs!$B$1:$C$1539, 2, FALSE),"")</f>
        <v>Turn On Your Lovelight</v>
      </c>
      <c r="H1091" t="s">
        <v>507</v>
      </c>
    </row>
    <row r="1092" spans="1:8" x14ac:dyDescent="0.25">
      <c r="A1092">
        <v>1091</v>
      </c>
      <c r="B1092" t="s">
        <v>1437</v>
      </c>
      <c r="C1092" t="s">
        <v>81</v>
      </c>
      <c r="D1092" t="str">
        <f t="shared" si="38"/>
        <v/>
      </c>
      <c r="E1092" t="str">
        <f t="shared" ref="E1092:E1155" si="39">LOWER(TRIM(SUBSTITUTE(IF(RIGHT(TRIM(C1092),2)="-&gt;",LEFT(TRIM(C1092),LEN(TRIM(C1092))-2),IF(RIGHT(TRIM(C1092),1)="&gt;",LEFT(TRIM(C1092),LEN(TRIM(C1092))-1),C1092)),"//","")))</f>
        <v>casey jones</v>
      </c>
      <c r="F1092" t="s">
        <v>5290</v>
      </c>
      <c r="G1092" t="str">
        <f>_xlfn.IFNA(VLOOKUP(F1092,songs!$B$1:$C$1539, 2, FALSE),"")</f>
        <v>Casey Jones</v>
      </c>
      <c r="H1092" t="s">
        <v>81</v>
      </c>
    </row>
    <row r="1093" spans="1:8" x14ac:dyDescent="0.25">
      <c r="A1093">
        <v>1092</v>
      </c>
      <c r="B1093" t="s">
        <v>1438</v>
      </c>
      <c r="C1093" t="s">
        <v>158</v>
      </c>
      <c r="D1093" t="str">
        <f t="shared" si="38"/>
        <v/>
      </c>
      <c r="E1093" t="str">
        <f t="shared" si="39"/>
        <v>mama tried</v>
      </c>
      <c r="F1093" t="s">
        <v>6454</v>
      </c>
      <c r="G1093" t="str">
        <f>_xlfn.IFNA(VLOOKUP(F1093,songs!$B$1:$C$1539, 2, FALSE),"")</f>
        <v>Mama Tried</v>
      </c>
      <c r="H1093" t="s">
        <v>158</v>
      </c>
    </row>
    <row r="1094" spans="1:8" x14ac:dyDescent="0.25">
      <c r="A1094">
        <v>1093</v>
      </c>
      <c r="B1094" t="s">
        <v>1439</v>
      </c>
      <c r="C1094" t="s">
        <v>1199</v>
      </c>
      <c r="D1094" t="str">
        <f t="shared" si="38"/>
        <v/>
      </c>
      <c r="E1094" t="str">
        <f t="shared" si="39"/>
        <v>hard to handle</v>
      </c>
      <c r="F1094" t="s">
        <v>5861</v>
      </c>
      <c r="G1094" t="str">
        <f>_xlfn.IFNA(VLOOKUP(F1094,songs!$B$1:$C$1539, 2, FALSE),"")</f>
        <v>Hard To Handle</v>
      </c>
      <c r="H1094" t="s">
        <v>1199</v>
      </c>
    </row>
    <row r="1095" spans="1:8" x14ac:dyDescent="0.25">
      <c r="A1095">
        <v>1173</v>
      </c>
      <c r="B1095" t="s">
        <v>1527</v>
      </c>
      <c r="C1095" t="s">
        <v>1452</v>
      </c>
      <c r="D1095" t="str">
        <f t="shared" si="38"/>
        <v/>
      </c>
      <c r="E1095" t="str">
        <f t="shared" si="39"/>
        <v>and we bid you goodnight</v>
      </c>
      <c r="F1095" t="s">
        <v>5082</v>
      </c>
      <c r="G1095" t="str">
        <f>_xlfn.IFNA(VLOOKUP(F1095,songs!$B$1:$C$1539, 2, FALSE),"")</f>
        <v>And We Bid You Good Night</v>
      </c>
      <c r="H1095" t="s">
        <v>7867</v>
      </c>
    </row>
    <row r="1096" spans="1:8" x14ac:dyDescent="0.25">
      <c r="A1096">
        <v>1095</v>
      </c>
      <c r="B1096" t="s">
        <v>1441</v>
      </c>
      <c r="C1096" t="s">
        <v>221</v>
      </c>
      <c r="D1096" t="str">
        <f t="shared" si="38"/>
        <v/>
      </c>
      <c r="E1096" t="str">
        <f t="shared" si="39"/>
        <v>black peter</v>
      </c>
      <c r="F1096" t="s">
        <v>5190</v>
      </c>
      <c r="G1096" t="str">
        <f>_xlfn.IFNA(VLOOKUP(F1096,songs!$B$1:$C$1539, 2, FALSE),"")</f>
        <v>Black Peter</v>
      </c>
      <c r="H1096" t="s">
        <v>221</v>
      </c>
    </row>
    <row r="1097" spans="1:8" x14ac:dyDescent="0.25">
      <c r="A1097">
        <v>1096</v>
      </c>
      <c r="B1097" t="s">
        <v>1442</v>
      </c>
      <c r="C1097" t="s">
        <v>225</v>
      </c>
      <c r="D1097" t="str">
        <f t="shared" si="38"/>
        <v/>
      </c>
      <c r="E1097" t="str">
        <f t="shared" si="39"/>
        <v>cumberland blues</v>
      </c>
      <c r="F1097" t="s">
        <v>5411</v>
      </c>
      <c r="G1097" t="str">
        <f>_xlfn.IFNA(VLOOKUP(F1097,songs!$B$1:$C$1539, 2, FALSE),"")</f>
        <v>Cumberland Blues</v>
      </c>
      <c r="H1097" t="s">
        <v>225</v>
      </c>
    </row>
    <row r="1098" spans="1:8" x14ac:dyDescent="0.25">
      <c r="A1098">
        <v>1097</v>
      </c>
      <c r="B1098" t="s">
        <v>1443</v>
      </c>
      <c r="C1098" t="s">
        <v>92</v>
      </c>
      <c r="D1098" t="str">
        <f t="shared" si="38"/>
        <v/>
      </c>
      <c r="E1098" t="str">
        <f t="shared" si="39"/>
        <v>dark star</v>
      </c>
      <c r="F1098" t="s">
        <v>5428</v>
      </c>
      <c r="G1098" t="str">
        <f>_xlfn.IFNA(VLOOKUP(F1098,songs!$B$1:$C$1539, 2, FALSE),"")</f>
        <v>Dark Star</v>
      </c>
      <c r="H1098" t="s">
        <v>92</v>
      </c>
    </row>
    <row r="1099" spans="1:8" x14ac:dyDescent="0.25">
      <c r="A1099">
        <v>1177</v>
      </c>
      <c r="B1099" t="s">
        <v>1531</v>
      </c>
      <c r="C1099" t="s">
        <v>44</v>
      </c>
      <c r="D1099" t="str">
        <f t="shared" si="38"/>
        <v/>
      </c>
      <c r="E1099" t="str">
        <f t="shared" si="39"/>
        <v>goin' down the road feeling bad</v>
      </c>
      <c r="F1099" t="s">
        <v>5783</v>
      </c>
      <c r="G1099" t="str">
        <f>_xlfn.IFNA(VLOOKUP(F1099,songs!$B$1:$C$1539, 2, FALSE),"")</f>
        <v>Goin' Down The Road Feelin' Bad</v>
      </c>
      <c r="H1099" t="s">
        <v>7867</v>
      </c>
    </row>
    <row r="1100" spans="1:8" x14ac:dyDescent="0.25">
      <c r="A1100">
        <v>1099</v>
      </c>
      <c r="B1100" t="s">
        <v>1445</v>
      </c>
      <c r="C1100" t="s">
        <v>105</v>
      </c>
      <c r="D1100" t="str">
        <f t="shared" si="38"/>
        <v/>
      </c>
      <c r="E1100" t="str">
        <f t="shared" si="39"/>
        <v>mason's children</v>
      </c>
      <c r="F1100" t="s">
        <v>6469</v>
      </c>
      <c r="G1100" t="str">
        <f>_xlfn.IFNA(VLOOKUP(F1100,songs!$B$1:$C$1539, 2, FALSE),"")</f>
        <v>Mason's Children</v>
      </c>
      <c r="H1100" t="s">
        <v>105</v>
      </c>
    </row>
    <row r="1101" spans="1:8" x14ac:dyDescent="0.25">
      <c r="A1101">
        <v>1100</v>
      </c>
      <c r="B1101" t="s">
        <v>1446</v>
      </c>
      <c r="C1101" t="s">
        <v>242</v>
      </c>
      <c r="D1101" t="str">
        <f t="shared" si="38"/>
        <v/>
      </c>
      <c r="E1101" t="str">
        <f t="shared" si="39"/>
        <v>good lovin'</v>
      </c>
      <c r="F1101" t="s">
        <v>5810</v>
      </c>
      <c r="G1101" t="str">
        <f>_xlfn.IFNA(VLOOKUP(F1101,songs!$B$1:$C$1539, 2, FALSE),"")</f>
        <v>Good Lovin'</v>
      </c>
      <c r="H1101" t="s">
        <v>242</v>
      </c>
    </row>
    <row r="1102" spans="1:8" x14ac:dyDescent="0.25">
      <c r="A1102">
        <v>1101</v>
      </c>
      <c r="B1102" t="s">
        <v>1447</v>
      </c>
      <c r="C1102" t="s">
        <v>133</v>
      </c>
      <c r="D1102" t="str">
        <f t="shared" si="38"/>
        <v/>
      </c>
      <c r="E1102" t="str">
        <f t="shared" si="39"/>
        <v>uncle john's band</v>
      </c>
      <c r="F1102" t="s">
        <v>7466</v>
      </c>
      <c r="G1102" t="str">
        <f>_xlfn.IFNA(VLOOKUP(F1102,songs!$B$1:$C$1539, 2, FALSE),"")</f>
        <v>Uncle John's Band</v>
      </c>
      <c r="H1102" t="s">
        <v>133</v>
      </c>
    </row>
    <row r="1103" spans="1:8" x14ac:dyDescent="0.25">
      <c r="A1103">
        <v>1102</v>
      </c>
      <c r="B1103" t="s">
        <v>1448</v>
      </c>
      <c r="C1103" t="s">
        <v>507</v>
      </c>
      <c r="D1103" t="str">
        <f t="shared" si="38"/>
        <v/>
      </c>
      <c r="E1103" t="str">
        <f t="shared" si="39"/>
        <v>turn on your lovelight</v>
      </c>
      <c r="F1103" t="s">
        <v>7447</v>
      </c>
      <c r="G1103" t="str">
        <f>_xlfn.IFNA(VLOOKUP(F1103,songs!$B$1:$C$1539, 2, FALSE),"")</f>
        <v>Turn On Your Lovelight</v>
      </c>
      <c r="H1103" t="s">
        <v>507</v>
      </c>
    </row>
    <row r="1104" spans="1:8" x14ac:dyDescent="0.25">
      <c r="A1104">
        <v>1103</v>
      </c>
      <c r="B1104" t="s">
        <v>1449</v>
      </c>
      <c r="C1104" t="s">
        <v>34</v>
      </c>
      <c r="D1104" t="str">
        <f t="shared" si="38"/>
        <v/>
      </c>
      <c r="E1104" t="str">
        <f t="shared" si="39"/>
        <v>not fade away</v>
      </c>
      <c r="F1104" t="s">
        <v>6651</v>
      </c>
      <c r="G1104" t="str">
        <f>_xlfn.IFNA(VLOOKUP(F1104,songs!$B$1:$C$1539, 2, FALSE),"")</f>
        <v>Not Fade Away</v>
      </c>
      <c r="H1104" t="s">
        <v>34</v>
      </c>
    </row>
    <row r="1105" spans="1:8" x14ac:dyDescent="0.25">
      <c r="A1105">
        <v>1104</v>
      </c>
      <c r="B1105" t="s">
        <v>1450</v>
      </c>
      <c r="C1105" t="s">
        <v>507</v>
      </c>
      <c r="D1105" t="str">
        <f t="shared" si="38"/>
        <v/>
      </c>
      <c r="E1105" t="str">
        <f t="shared" si="39"/>
        <v>turn on your lovelight</v>
      </c>
      <c r="F1105" t="s">
        <v>7447</v>
      </c>
      <c r="G1105" t="str">
        <f>_xlfn.IFNA(VLOOKUP(F1105,songs!$B$1:$C$1539, 2, FALSE),"")</f>
        <v>Turn On Your Lovelight</v>
      </c>
      <c r="H1105" t="s">
        <v>507</v>
      </c>
    </row>
    <row r="1106" spans="1:8" x14ac:dyDescent="0.25">
      <c r="A1106">
        <v>1183</v>
      </c>
      <c r="B1106" t="s">
        <v>1537</v>
      </c>
      <c r="C1106" t="s">
        <v>190</v>
      </c>
      <c r="D1106" t="str">
        <f t="shared" si="38"/>
        <v/>
      </c>
      <c r="E1106" t="str">
        <f t="shared" si="39"/>
        <v>black-throated wind</v>
      </c>
      <c r="F1106" t="s">
        <v>5193</v>
      </c>
      <c r="G1106" t="str">
        <f>_xlfn.IFNA(VLOOKUP(F1106,songs!$B$1:$C$1539, 2, FALSE),"")</f>
        <v>Black Throated Wind</v>
      </c>
      <c r="H1106" t="s">
        <v>7867</v>
      </c>
    </row>
    <row r="1107" spans="1:8" x14ac:dyDescent="0.25">
      <c r="A1107">
        <v>1106</v>
      </c>
      <c r="B1107" t="s">
        <v>1453</v>
      </c>
      <c r="C1107" t="s">
        <v>130</v>
      </c>
      <c r="D1107" t="str">
        <f t="shared" si="38"/>
        <v/>
      </c>
      <c r="E1107" t="str">
        <f t="shared" si="39"/>
        <v>promised land</v>
      </c>
      <c r="F1107" t="s">
        <v>6797</v>
      </c>
      <c r="G1107" t="str">
        <f>_xlfn.IFNA(VLOOKUP(F1107,songs!$B$1:$C$1539, 2, FALSE),"")</f>
        <v>Promised Land</v>
      </c>
      <c r="H1107" t="s">
        <v>130</v>
      </c>
    </row>
    <row r="1108" spans="1:8" x14ac:dyDescent="0.25">
      <c r="A1108">
        <v>1107</v>
      </c>
      <c r="B1108" t="s">
        <v>1454</v>
      </c>
      <c r="C1108" t="s">
        <v>336</v>
      </c>
      <c r="D1108" t="str">
        <f t="shared" si="38"/>
        <v/>
      </c>
      <c r="E1108" t="str">
        <f t="shared" si="39"/>
        <v>ramble on rose</v>
      </c>
      <c r="F1108" t="s">
        <v>6827</v>
      </c>
      <c r="G1108" t="str">
        <f>_xlfn.IFNA(VLOOKUP(F1108,songs!$B$1:$C$1539, 2, FALSE),"")</f>
        <v>Ramble On Rose</v>
      </c>
      <c r="H1108" t="s">
        <v>436</v>
      </c>
    </row>
    <row r="1109" spans="1:8" x14ac:dyDescent="0.25">
      <c r="A1109">
        <v>1189</v>
      </c>
      <c r="B1109" t="s">
        <v>1543</v>
      </c>
      <c r="C1109" t="s">
        <v>615</v>
      </c>
      <c r="D1109" t="str">
        <f t="shared" si="38"/>
        <v/>
      </c>
      <c r="E1109" t="str">
        <f t="shared" si="39"/>
        <v>brown-eyed women</v>
      </c>
      <c r="F1109" t="s">
        <v>5255</v>
      </c>
      <c r="G1109" t="str">
        <f>_xlfn.IFNA(VLOOKUP(F1109,songs!$B$1:$C$1539, 2, FALSE),"")</f>
        <v>Brown Eyed Women</v>
      </c>
      <c r="H1109" t="s">
        <v>7867</v>
      </c>
    </row>
    <row r="1110" spans="1:8" x14ac:dyDescent="0.25">
      <c r="A1110">
        <v>1109</v>
      </c>
      <c r="B1110" t="s">
        <v>1457</v>
      </c>
      <c r="C1110" t="s">
        <v>3</v>
      </c>
      <c r="D1110" t="str">
        <f t="shared" si="38"/>
        <v/>
      </c>
      <c r="E1110" t="str">
        <f t="shared" si="39"/>
        <v>big river</v>
      </c>
      <c r="F1110" t="s">
        <v>5175</v>
      </c>
      <c r="G1110" t="str">
        <f>_xlfn.IFNA(VLOOKUP(F1110,songs!$B$1:$C$1539, 2, FALSE),"")</f>
        <v>Big River</v>
      </c>
      <c r="H1110" t="s">
        <v>3</v>
      </c>
    </row>
    <row r="1111" spans="1:8" x14ac:dyDescent="0.25">
      <c r="A1111">
        <v>1110</v>
      </c>
      <c r="B1111" t="s">
        <v>1458</v>
      </c>
      <c r="C1111" t="s">
        <v>124</v>
      </c>
      <c r="D1111" t="str">
        <f t="shared" si="38"/>
        <v/>
      </c>
      <c r="E1111" t="str">
        <f t="shared" si="39"/>
        <v>friend of the devil</v>
      </c>
      <c r="F1111" t="s">
        <v>5721</v>
      </c>
      <c r="G1111" t="str">
        <f>_xlfn.IFNA(VLOOKUP(F1111,songs!$B$1:$C$1539, 2, FALSE),"")</f>
        <v>Friend Of The Devil</v>
      </c>
      <c r="H1111" t="s">
        <v>464</v>
      </c>
    </row>
    <row r="1112" spans="1:8" x14ac:dyDescent="0.25">
      <c r="A1112">
        <v>1111</v>
      </c>
      <c r="B1112" t="s">
        <v>1459</v>
      </c>
      <c r="C1112" t="s">
        <v>262</v>
      </c>
      <c r="D1112" t="str">
        <f t="shared" si="38"/>
        <v/>
      </c>
      <c r="E1112" t="str">
        <f t="shared" si="39"/>
        <v>cassidy</v>
      </c>
      <c r="F1112" t="s">
        <v>5291</v>
      </c>
      <c r="G1112" t="str">
        <f>_xlfn.IFNA(VLOOKUP(F1112,songs!$B$1:$C$1539, 2, FALSE),"")</f>
        <v>Cassidy</v>
      </c>
      <c r="H1112" t="s">
        <v>262</v>
      </c>
    </row>
    <row r="1113" spans="1:8" x14ac:dyDescent="0.25">
      <c r="A1113">
        <v>1216</v>
      </c>
      <c r="B1113" t="s">
        <v>1570</v>
      </c>
      <c r="C1113" t="s">
        <v>615</v>
      </c>
      <c r="D1113" t="str">
        <f t="shared" si="38"/>
        <v/>
      </c>
      <c r="E1113" t="str">
        <f t="shared" si="39"/>
        <v>brown-eyed women</v>
      </c>
      <c r="F1113" t="s">
        <v>5255</v>
      </c>
      <c r="G1113" t="str">
        <f>_xlfn.IFNA(VLOOKUP(F1113,songs!$B$1:$C$1539, 2, FALSE),"")</f>
        <v>Brown Eyed Women</v>
      </c>
      <c r="H1113" t="s">
        <v>7867</v>
      </c>
    </row>
    <row r="1114" spans="1:8" x14ac:dyDescent="0.25">
      <c r="A1114">
        <v>1113</v>
      </c>
      <c r="B1114" t="s">
        <v>1461</v>
      </c>
      <c r="C1114" t="s">
        <v>560</v>
      </c>
      <c r="D1114" t="str">
        <f t="shared" si="38"/>
        <v/>
      </c>
      <c r="E1114" t="str">
        <f t="shared" si="39"/>
        <v>passenger</v>
      </c>
      <c r="F1114" t="s">
        <v>6738</v>
      </c>
      <c r="G1114" t="str">
        <f>_xlfn.IFNA(VLOOKUP(F1114,songs!$B$1:$C$1539, 2, FALSE),"")</f>
        <v>Passenger</v>
      </c>
      <c r="H1114" t="s">
        <v>560</v>
      </c>
    </row>
    <row r="1115" spans="1:8" x14ac:dyDescent="0.25">
      <c r="A1115">
        <v>1114</v>
      </c>
      <c r="B1115" t="s">
        <v>1462</v>
      </c>
      <c r="C1115" t="s">
        <v>1463</v>
      </c>
      <c r="D1115" t="str">
        <f t="shared" si="38"/>
        <v/>
      </c>
      <c r="E1115" t="str">
        <f t="shared" si="39"/>
        <v>it must have been the roses</v>
      </c>
      <c r="F1115" t="s">
        <v>6128</v>
      </c>
      <c r="G1115" t="str">
        <f>_xlfn.IFNA(VLOOKUP(F1115,songs!$B$1:$C$1539, 2, FALSE),"")</f>
        <v>It Must Have Been The Roses</v>
      </c>
      <c r="H1115" t="s">
        <v>1057</v>
      </c>
    </row>
    <row r="1116" spans="1:8" x14ac:dyDescent="0.25">
      <c r="A1116">
        <v>1115</v>
      </c>
      <c r="B1116" t="s">
        <v>1464</v>
      </c>
      <c r="C1116" t="s">
        <v>49</v>
      </c>
      <c r="D1116" t="str">
        <f t="shared" si="38"/>
        <v/>
      </c>
      <c r="E1116" t="str">
        <f t="shared" si="39"/>
        <v>the music never stopped</v>
      </c>
      <c r="F1116" t="s">
        <v>7316</v>
      </c>
      <c r="G1116" t="str">
        <f>_xlfn.IFNA(VLOOKUP(F1116,songs!$B$1:$C$1539, 2, FALSE),"")</f>
        <v>The Music Never Stopped</v>
      </c>
      <c r="H1116" t="s">
        <v>49</v>
      </c>
    </row>
    <row r="1117" spans="1:8" x14ac:dyDescent="0.25">
      <c r="A1117">
        <v>1116</v>
      </c>
      <c r="B1117" t="s">
        <v>1465</v>
      </c>
      <c r="C1117" t="s">
        <v>170</v>
      </c>
      <c r="D1117" t="str">
        <f t="shared" si="38"/>
        <v/>
      </c>
      <c r="E1117" t="str">
        <f t="shared" si="39"/>
        <v>scarlet begonias</v>
      </c>
      <c r="F1117" t="s">
        <v>6944</v>
      </c>
      <c r="G1117" t="str">
        <f>_xlfn.IFNA(VLOOKUP(F1117,songs!$B$1:$C$1539, 2, FALSE),"")</f>
        <v>Scarlet Begonias</v>
      </c>
      <c r="H1117" t="s">
        <v>170</v>
      </c>
    </row>
    <row r="1118" spans="1:8" x14ac:dyDescent="0.25">
      <c r="A1118">
        <v>1117</v>
      </c>
      <c r="B1118" t="s">
        <v>1466</v>
      </c>
      <c r="C1118" t="s">
        <v>573</v>
      </c>
      <c r="D1118" t="str">
        <f t="shared" si="38"/>
        <v/>
      </c>
      <c r="E1118" t="str">
        <f t="shared" si="39"/>
        <v>fire on the mountain</v>
      </c>
      <c r="F1118" t="s">
        <v>5675</v>
      </c>
      <c r="G1118" t="str">
        <f>_xlfn.IFNA(VLOOKUP(F1118,songs!$B$1:$C$1539, 2, FALSE),"")</f>
        <v>Fire On The Mountain</v>
      </c>
      <c r="H1118" t="s">
        <v>573</v>
      </c>
    </row>
    <row r="1119" spans="1:8" x14ac:dyDescent="0.25">
      <c r="A1119">
        <v>1118</v>
      </c>
      <c r="B1119" t="s">
        <v>1467</v>
      </c>
      <c r="C1119" t="s">
        <v>242</v>
      </c>
      <c r="D1119" t="str">
        <f t="shared" si="38"/>
        <v/>
      </c>
      <c r="E1119" t="str">
        <f t="shared" si="39"/>
        <v>good lovin'</v>
      </c>
      <c r="F1119" t="s">
        <v>5810</v>
      </c>
      <c r="G1119" t="str">
        <f>_xlfn.IFNA(VLOOKUP(F1119,songs!$B$1:$C$1539, 2, FALSE),"")</f>
        <v>Good Lovin'</v>
      </c>
      <c r="H1119" t="s">
        <v>242</v>
      </c>
    </row>
    <row r="1120" spans="1:8" x14ac:dyDescent="0.25">
      <c r="A1120">
        <v>1119</v>
      </c>
      <c r="B1120" t="s">
        <v>1468</v>
      </c>
      <c r="C1120" t="s">
        <v>75</v>
      </c>
      <c r="D1120" t="str">
        <f t="shared" si="38"/>
        <v/>
      </c>
      <c r="E1120" t="str">
        <f t="shared" si="39"/>
        <v>terrapin station</v>
      </c>
      <c r="F1120" t="s">
        <v>7237</v>
      </c>
      <c r="G1120" t="str">
        <f>_xlfn.IFNA(VLOOKUP(F1120,songs!$B$1:$C$1539, 2, FALSE),"")</f>
        <v>Terrapin Station</v>
      </c>
      <c r="H1120" t="s">
        <v>75</v>
      </c>
    </row>
    <row r="1121" spans="1:8" x14ac:dyDescent="0.25">
      <c r="A1121">
        <v>1220</v>
      </c>
      <c r="B1121" t="s">
        <v>1574</v>
      </c>
      <c r="C1121" t="s">
        <v>122</v>
      </c>
      <c r="D1121" t="str">
        <f t="shared" si="38"/>
        <v/>
      </c>
      <c r="E1121" t="str">
        <f t="shared" si="39"/>
        <v>new minglewood blues</v>
      </c>
      <c r="F1121" t="s">
        <v>7869</v>
      </c>
      <c r="G1121" t="str">
        <f>_xlfn.IFNA(VLOOKUP(F1121,songs!$B$1:$C$1539, 2, FALSE),"")</f>
        <v>Minglewood Blues</v>
      </c>
      <c r="H1121" t="s">
        <v>7867</v>
      </c>
    </row>
    <row r="1122" spans="1:8" x14ac:dyDescent="0.25">
      <c r="A1122">
        <v>1121</v>
      </c>
      <c r="B1122" t="s">
        <v>1470</v>
      </c>
      <c r="C1122" t="s">
        <v>277</v>
      </c>
      <c r="D1122" t="str">
        <f t="shared" si="38"/>
        <v/>
      </c>
      <c r="E1122" t="str">
        <f t="shared" si="39"/>
        <v>space</v>
      </c>
      <c r="F1122" t="s">
        <v>7091</v>
      </c>
      <c r="G1122" t="str">
        <f>_xlfn.IFNA(VLOOKUP(F1122,songs!$B$1:$C$1539, 2, FALSE),"")</f>
        <v>Space</v>
      </c>
      <c r="H1122" t="s">
        <v>277</v>
      </c>
    </row>
    <row r="1123" spans="1:8" x14ac:dyDescent="0.25">
      <c r="A1123">
        <v>1122</v>
      </c>
      <c r="B1123" t="s">
        <v>1471</v>
      </c>
      <c r="C1123" t="s">
        <v>34</v>
      </c>
      <c r="D1123" t="str">
        <f t="shared" si="38"/>
        <v/>
      </c>
      <c r="E1123" t="str">
        <f t="shared" si="39"/>
        <v>not fade away</v>
      </c>
      <c r="F1123" t="s">
        <v>6651</v>
      </c>
      <c r="G1123" t="str">
        <f>_xlfn.IFNA(VLOOKUP(F1123,songs!$B$1:$C$1539, 2, FALSE),"")</f>
        <v>Not Fade Away</v>
      </c>
      <c r="H1123" t="s">
        <v>34</v>
      </c>
    </row>
    <row r="1124" spans="1:8" x14ac:dyDescent="0.25">
      <c r="A1124">
        <v>1123</v>
      </c>
      <c r="B1124" t="s">
        <v>1472</v>
      </c>
      <c r="C1124" t="s">
        <v>221</v>
      </c>
      <c r="D1124" t="str">
        <f t="shared" si="38"/>
        <v/>
      </c>
      <c r="E1124" t="str">
        <f t="shared" si="39"/>
        <v>black peter</v>
      </c>
      <c r="F1124" t="s">
        <v>5190</v>
      </c>
      <c r="G1124" t="str">
        <f>_xlfn.IFNA(VLOOKUP(F1124,songs!$B$1:$C$1539, 2, FALSE),"")</f>
        <v>Black Peter</v>
      </c>
      <c r="H1124" t="s">
        <v>221</v>
      </c>
    </row>
    <row r="1125" spans="1:8" x14ac:dyDescent="0.25">
      <c r="A1125">
        <v>1124</v>
      </c>
      <c r="B1125" t="s">
        <v>1473</v>
      </c>
      <c r="C1125" t="s">
        <v>579</v>
      </c>
      <c r="D1125" t="str">
        <f t="shared" si="38"/>
        <v/>
      </c>
      <c r="E1125" t="str">
        <f t="shared" si="39"/>
        <v>around and around</v>
      </c>
      <c r="F1125" t="s">
        <v>5103</v>
      </c>
      <c r="G1125" t="str">
        <f>_xlfn.IFNA(VLOOKUP(F1125,songs!$B$1:$C$1539, 2, FALSE),"")</f>
        <v>Around And Around</v>
      </c>
      <c r="H1125" t="s">
        <v>579</v>
      </c>
    </row>
    <row r="1126" spans="1:8" x14ac:dyDescent="0.25">
      <c r="A1126">
        <v>1125</v>
      </c>
      <c r="B1126" t="s">
        <v>1474</v>
      </c>
      <c r="C1126" t="s">
        <v>819</v>
      </c>
      <c r="D1126" t="str">
        <f t="shared" si="38"/>
        <v/>
      </c>
      <c r="E1126" t="str">
        <f t="shared" si="39"/>
        <v>werewolves of london</v>
      </c>
      <c r="F1126" t="s">
        <v>7662</v>
      </c>
      <c r="G1126" t="str">
        <f>_xlfn.IFNA(VLOOKUP(F1126,songs!$B$1:$C$1539, 2, FALSE),"")</f>
        <v>Werewolves Of London</v>
      </c>
      <c r="H1126" t="s">
        <v>819</v>
      </c>
    </row>
    <row r="1127" spans="1:8" x14ac:dyDescent="0.25">
      <c r="A1127">
        <v>1126</v>
      </c>
      <c r="B1127" t="s">
        <v>1475</v>
      </c>
      <c r="C1127" t="s">
        <v>853</v>
      </c>
      <c r="D1127" t="str">
        <f t="shared" si="38"/>
        <v/>
      </c>
      <c r="E1127" t="str">
        <f t="shared" si="39"/>
        <v>feel like a stranger</v>
      </c>
      <c r="F1127" t="s">
        <v>5658</v>
      </c>
      <c r="G1127" t="str">
        <f>_xlfn.IFNA(VLOOKUP(F1127,songs!$B$1:$C$1539, 2, FALSE),"")</f>
        <v>Feel Like A Stranger</v>
      </c>
      <c r="H1127" t="s">
        <v>853</v>
      </c>
    </row>
    <row r="1128" spans="1:8" x14ac:dyDescent="0.25">
      <c r="A1128">
        <v>1127</v>
      </c>
      <c r="B1128" t="s">
        <v>1476</v>
      </c>
      <c r="C1128" t="s">
        <v>291</v>
      </c>
      <c r="D1128" t="str">
        <f t="shared" si="38"/>
        <v/>
      </c>
      <c r="E1128" t="str">
        <f t="shared" si="39"/>
        <v>loser</v>
      </c>
      <c r="F1128" t="s">
        <v>6400</v>
      </c>
      <c r="G1128" t="str">
        <f>_xlfn.IFNA(VLOOKUP(F1128,songs!$B$1:$C$1539, 2, FALSE),"")</f>
        <v>Loser</v>
      </c>
      <c r="H1128" t="s">
        <v>291</v>
      </c>
    </row>
    <row r="1129" spans="1:8" x14ac:dyDescent="0.25">
      <c r="A1129">
        <v>1128</v>
      </c>
      <c r="B1129" t="s">
        <v>1477</v>
      </c>
      <c r="C1129" t="s">
        <v>262</v>
      </c>
      <c r="D1129" t="str">
        <f t="shared" si="38"/>
        <v/>
      </c>
      <c r="E1129" t="str">
        <f t="shared" si="39"/>
        <v>cassidy</v>
      </c>
      <c r="F1129" t="s">
        <v>5291</v>
      </c>
      <c r="G1129" t="str">
        <f>_xlfn.IFNA(VLOOKUP(F1129,songs!$B$1:$C$1539, 2, FALSE),"")</f>
        <v>Cassidy</v>
      </c>
      <c r="H1129" t="s">
        <v>262</v>
      </c>
    </row>
    <row r="1130" spans="1:8" x14ac:dyDescent="0.25">
      <c r="A1130">
        <v>1129</v>
      </c>
      <c r="B1130" t="s">
        <v>1478</v>
      </c>
      <c r="C1130" t="s">
        <v>436</v>
      </c>
      <c r="D1130" t="str">
        <f t="shared" si="38"/>
        <v/>
      </c>
      <c r="E1130" t="str">
        <f t="shared" si="39"/>
        <v>ramble on rose</v>
      </c>
      <c r="F1130" t="s">
        <v>6827</v>
      </c>
      <c r="G1130" t="str">
        <f>_xlfn.IFNA(VLOOKUP(F1130,songs!$B$1:$C$1539, 2, FALSE),"")</f>
        <v>Ramble On Rose</v>
      </c>
      <c r="H1130" t="s">
        <v>436</v>
      </c>
    </row>
    <row r="1131" spans="1:8" x14ac:dyDescent="0.25">
      <c r="A1131">
        <v>1130</v>
      </c>
      <c r="B1131" t="s">
        <v>1479</v>
      </c>
      <c r="C1131" t="s">
        <v>255</v>
      </c>
      <c r="D1131" t="str">
        <f t="shared" si="38"/>
        <v/>
      </c>
      <c r="E1131" t="str">
        <f t="shared" si="39"/>
        <v>little red rooster</v>
      </c>
      <c r="F1131" t="s">
        <v>6360</v>
      </c>
      <c r="G1131" t="str">
        <f>_xlfn.IFNA(VLOOKUP(F1131,songs!$B$1:$C$1539, 2, FALSE),"")</f>
        <v>Little Red Rooster</v>
      </c>
      <c r="H1131" t="s">
        <v>255</v>
      </c>
    </row>
    <row r="1132" spans="1:8" x14ac:dyDescent="0.25">
      <c r="A1132">
        <v>1131</v>
      </c>
      <c r="B1132" t="s">
        <v>1480</v>
      </c>
      <c r="C1132" t="s">
        <v>323</v>
      </c>
      <c r="D1132" t="str">
        <f t="shared" si="38"/>
        <v/>
      </c>
      <c r="E1132" t="str">
        <f t="shared" si="39"/>
        <v>bird song</v>
      </c>
      <c r="F1132" t="s">
        <v>5184</v>
      </c>
      <c r="G1132" t="str">
        <f>_xlfn.IFNA(VLOOKUP(F1132,songs!$B$1:$C$1539, 2, FALSE),"")</f>
        <v>Bird Song</v>
      </c>
      <c r="H1132" t="s">
        <v>323</v>
      </c>
    </row>
    <row r="1133" spans="1:8" x14ac:dyDescent="0.25">
      <c r="A1133">
        <v>1132</v>
      </c>
      <c r="B1133" t="s">
        <v>1481</v>
      </c>
      <c r="C1133" t="s">
        <v>903</v>
      </c>
      <c r="D1133" t="str">
        <f t="shared" si="38"/>
        <v/>
      </c>
      <c r="E1133" t="str">
        <f t="shared" si="39"/>
        <v>me and my uncle</v>
      </c>
      <c r="F1133" t="s">
        <v>6486</v>
      </c>
      <c r="G1133" t="str">
        <f>_xlfn.IFNA(VLOOKUP(F1133,songs!$B$1:$C$1539, 2, FALSE),"")</f>
        <v>Me And My Uncle</v>
      </c>
      <c r="H1133" t="s">
        <v>903</v>
      </c>
    </row>
    <row r="1134" spans="1:8" x14ac:dyDescent="0.25">
      <c r="A1134">
        <v>1133</v>
      </c>
      <c r="B1134" t="s">
        <v>1482</v>
      </c>
      <c r="C1134" t="s">
        <v>3</v>
      </c>
      <c r="D1134" t="str">
        <f t="shared" si="38"/>
        <v/>
      </c>
      <c r="E1134" t="str">
        <f t="shared" si="39"/>
        <v>big river</v>
      </c>
      <c r="F1134" t="s">
        <v>5175</v>
      </c>
      <c r="G1134" t="str">
        <f>_xlfn.IFNA(VLOOKUP(F1134,songs!$B$1:$C$1539, 2, FALSE),"")</f>
        <v>Big River</v>
      </c>
      <c r="H1134" t="s">
        <v>3</v>
      </c>
    </row>
    <row r="1135" spans="1:8" x14ac:dyDescent="0.25">
      <c r="A1135">
        <v>1134</v>
      </c>
      <c r="B1135" t="s">
        <v>1483</v>
      </c>
      <c r="C1135" t="s">
        <v>1057</v>
      </c>
      <c r="D1135" t="str">
        <f t="shared" si="38"/>
        <v/>
      </c>
      <c r="E1135" t="str">
        <f t="shared" si="39"/>
        <v>it must have been the roses</v>
      </c>
      <c r="F1135" t="s">
        <v>6128</v>
      </c>
      <c r="G1135" t="str">
        <f>_xlfn.IFNA(VLOOKUP(F1135,songs!$B$1:$C$1539, 2, FALSE),"")</f>
        <v>It Must Have Been The Roses</v>
      </c>
      <c r="H1135" t="s">
        <v>1057</v>
      </c>
    </row>
    <row r="1136" spans="1:8" x14ac:dyDescent="0.25">
      <c r="A1136">
        <v>1135</v>
      </c>
      <c r="B1136" t="s">
        <v>1484</v>
      </c>
      <c r="C1136" t="s">
        <v>394</v>
      </c>
      <c r="D1136" t="str">
        <f t="shared" si="38"/>
        <v/>
      </c>
      <c r="E1136" t="str">
        <f t="shared" si="39"/>
        <v>lost sailor</v>
      </c>
      <c r="F1136" t="s">
        <v>6403</v>
      </c>
      <c r="G1136" t="str">
        <f>_xlfn.IFNA(VLOOKUP(F1136,songs!$B$1:$C$1539, 2, FALSE),"")</f>
        <v>Lost Sailor</v>
      </c>
      <c r="H1136" t="s">
        <v>394</v>
      </c>
    </row>
    <row r="1137" spans="1:8" x14ac:dyDescent="0.25">
      <c r="A1137">
        <v>1136</v>
      </c>
      <c r="B1137" t="s">
        <v>1485</v>
      </c>
      <c r="C1137" t="s">
        <v>1486</v>
      </c>
      <c r="D1137" t="str">
        <f t="shared" si="38"/>
        <v/>
      </c>
      <c r="E1137" t="str">
        <f t="shared" si="39"/>
        <v>saint of circumstance</v>
      </c>
      <c r="F1137" t="s">
        <v>6909</v>
      </c>
      <c r="G1137" t="str">
        <f>_xlfn.IFNA(VLOOKUP(F1137,songs!$B$1:$C$1539, 2, FALSE),"")</f>
        <v>Saint Of Circumstance</v>
      </c>
      <c r="H1137" t="s">
        <v>1486</v>
      </c>
    </row>
    <row r="1138" spans="1:8" x14ac:dyDescent="0.25">
      <c r="A1138">
        <v>1137</v>
      </c>
      <c r="B1138" t="s">
        <v>1487</v>
      </c>
      <c r="C1138" t="s">
        <v>264</v>
      </c>
      <c r="D1138" t="str">
        <f t="shared" si="38"/>
        <v/>
      </c>
      <c r="E1138" t="str">
        <f t="shared" si="39"/>
        <v>deal</v>
      </c>
      <c r="F1138" t="s">
        <v>5461</v>
      </c>
      <c r="G1138" t="str">
        <f>_xlfn.IFNA(VLOOKUP(F1138,songs!$B$1:$C$1539, 2, FALSE),"")</f>
        <v>Deal</v>
      </c>
      <c r="H1138" t="s">
        <v>264</v>
      </c>
    </row>
    <row r="1139" spans="1:8" x14ac:dyDescent="0.25">
      <c r="A1139">
        <v>1138</v>
      </c>
      <c r="B1139" t="s">
        <v>1488</v>
      </c>
      <c r="C1139" t="s">
        <v>170</v>
      </c>
      <c r="D1139" t="str">
        <f t="shared" si="38"/>
        <v/>
      </c>
      <c r="E1139" t="str">
        <f t="shared" si="39"/>
        <v>scarlet begonias</v>
      </c>
      <c r="F1139" t="s">
        <v>6944</v>
      </c>
      <c r="G1139" t="str">
        <f>_xlfn.IFNA(VLOOKUP(F1139,songs!$B$1:$C$1539, 2, FALSE),"")</f>
        <v>Scarlet Begonias</v>
      </c>
      <c r="H1139" t="s">
        <v>170</v>
      </c>
    </row>
    <row r="1140" spans="1:8" x14ac:dyDescent="0.25">
      <c r="A1140">
        <v>1139</v>
      </c>
      <c r="B1140" t="s">
        <v>1489</v>
      </c>
      <c r="C1140" t="s">
        <v>573</v>
      </c>
      <c r="D1140" t="str">
        <f t="shared" si="38"/>
        <v/>
      </c>
      <c r="E1140" t="str">
        <f t="shared" si="39"/>
        <v>fire on the mountain</v>
      </c>
      <c r="F1140" t="s">
        <v>5675</v>
      </c>
      <c r="G1140" t="str">
        <f>_xlfn.IFNA(VLOOKUP(F1140,songs!$B$1:$C$1539, 2, FALSE),"")</f>
        <v>Fire On The Mountain</v>
      </c>
      <c r="H1140" t="s">
        <v>573</v>
      </c>
    </row>
    <row r="1141" spans="1:8" x14ac:dyDescent="0.25">
      <c r="A1141">
        <v>1140</v>
      </c>
      <c r="B1141" t="s">
        <v>1490</v>
      </c>
      <c r="C1141" t="s">
        <v>266</v>
      </c>
      <c r="D1141" t="str">
        <f t="shared" si="38"/>
        <v/>
      </c>
      <c r="E1141" t="str">
        <f t="shared" si="39"/>
        <v>samson and delilah</v>
      </c>
      <c r="F1141" t="s">
        <v>6925</v>
      </c>
      <c r="G1141" t="str">
        <f>_xlfn.IFNA(VLOOKUP(F1141,songs!$B$1:$C$1539, 2, FALSE),"")</f>
        <v>Samson And Delilah</v>
      </c>
      <c r="H1141" t="s">
        <v>266</v>
      </c>
    </row>
    <row r="1142" spans="1:8" x14ac:dyDescent="0.25">
      <c r="A1142">
        <v>1141</v>
      </c>
      <c r="B1142" t="s">
        <v>1491</v>
      </c>
      <c r="C1142" t="s">
        <v>866</v>
      </c>
      <c r="D1142" t="str">
        <f t="shared" ref="D1142:D1205" si="40">IF(RIGHT(TRIM(C1142),2)="-&gt;","&gt;",IF(RIGHT(TRIM(C1142),1)="&gt;","&gt;",""))</f>
        <v/>
      </c>
      <c r="E1142" t="str">
        <f t="shared" si="39"/>
        <v>ship of fools</v>
      </c>
      <c r="F1142" t="s">
        <v>6999</v>
      </c>
      <c r="G1142" t="str">
        <f>_xlfn.IFNA(VLOOKUP(F1142,songs!$B$1:$C$1539, 2, FALSE),"")</f>
        <v>Ship Of Fools</v>
      </c>
      <c r="H1142" t="s">
        <v>866</v>
      </c>
    </row>
    <row r="1143" spans="1:8" x14ac:dyDescent="0.25">
      <c r="A1143">
        <v>1142</v>
      </c>
      <c r="B1143" t="s">
        <v>1492</v>
      </c>
      <c r="C1143" t="s">
        <v>419</v>
      </c>
      <c r="D1143" t="str">
        <f t="shared" si="40"/>
        <v/>
      </c>
      <c r="E1143" t="str">
        <f t="shared" si="39"/>
        <v>playing in the band</v>
      </c>
      <c r="F1143" t="s">
        <v>6769</v>
      </c>
      <c r="G1143" t="str">
        <f>_xlfn.IFNA(VLOOKUP(F1143,songs!$B$1:$C$1539, 2, FALSE),"")</f>
        <v>Playing In The Band</v>
      </c>
      <c r="H1143" t="s">
        <v>419</v>
      </c>
    </row>
    <row r="1144" spans="1:8" x14ac:dyDescent="0.25">
      <c r="A1144">
        <v>1143</v>
      </c>
      <c r="B1144" t="s">
        <v>1493</v>
      </c>
      <c r="C1144" t="s">
        <v>100</v>
      </c>
      <c r="D1144" t="str">
        <f t="shared" si="40"/>
        <v/>
      </c>
      <c r="E1144" t="str">
        <f t="shared" si="39"/>
        <v>drums</v>
      </c>
      <c r="F1144" t="s">
        <v>5568</v>
      </c>
      <c r="G1144" t="str">
        <f>_xlfn.IFNA(VLOOKUP(F1144,songs!$B$1:$C$1539, 2, FALSE),"")</f>
        <v>Drums</v>
      </c>
      <c r="H1144" t="s">
        <v>100</v>
      </c>
    </row>
    <row r="1145" spans="1:8" x14ac:dyDescent="0.25">
      <c r="A1145">
        <v>1144</v>
      </c>
      <c r="B1145" t="s">
        <v>1494</v>
      </c>
      <c r="C1145" t="s">
        <v>277</v>
      </c>
      <c r="D1145" t="str">
        <f t="shared" si="40"/>
        <v/>
      </c>
      <c r="E1145" t="str">
        <f t="shared" si="39"/>
        <v>space</v>
      </c>
      <c r="F1145" t="s">
        <v>7091</v>
      </c>
      <c r="G1145" t="str">
        <f>_xlfn.IFNA(VLOOKUP(F1145,songs!$B$1:$C$1539, 2, FALSE),"")</f>
        <v>Space</v>
      </c>
      <c r="H1145" t="s">
        <v>277</v>
      </c>
    </row>
    <row r="1146" spans="1:8" x14ac:dyDescent="0.25">
      <c r="A1146">
        <v>1145</v>
      </c>
      <c r="B1146" t="s">
        <v>1495</v>
      </c>
      <c r="C1146" t="s">
        <v>567</v>
      </c>
      <c r="D1146" t="str">
        <f t="shared" si="40"/>
        <v/>
      </c>
      <c r="E1146" t="str">
        <f t="shared" si="39"/>
        <v>the wheel</v>
      </c>
      <c r="F1146" t="s">
        <v>7343</v>
      </c>
      <c r="G1146" t="str">
        <f>_xlfn.IFNA(VLOOKUP(F1146,songs!$B$1:$C$1539, 2, FALSE),"")</f>
        <v>The Wheel</v>
      </c>
      <c r="H1146" t="s">
        <v>567</v>
      </c>
    </row>
    <row r="1147" spans="1:8" x14ac:dyDescent="0.25">
      <c r="A1147">
        <v>1146</v>
      </c>
      <c r="B1147" t="s">
        <v>1496</v>
      </c>
      <c r="C1147" t="s">
        <v>304</v>
      </c>
      <c r="D1147" t="str">
        <f t="shared" si="40"/>
        <v/>
      </c>
      <c r="E1147" t="str">
        <f t="shared" si="39"/>
        <v>china doll</v>
      </c>
      <c r="F1147" t="s">
        <v>5320</v>
      </c>
      <c r="G1147" t="str">
        <f>_xlfn.IFNA(VLOOKUP(F1147,songs!$B$1:$C$1539, 2, FALSE),"")</f>
        <v>China Doll</v>
      </c>
      <c r="H1147" t="s">
        <v>304</v>
      </c>
    </row>
    <row r="1148" spans="1:8" x14ac:dyDescent="0.25">
      <c r="A1148">
        <v>1147</v>
      </c>
      <c r="B1148" t="s">
        <v>1497</v>
      </c>
      <c r="C1148" t="s">
        <v>579</v>
      </c>
      <c r="D1148" t="str">
        <f t="shared" si="40"/>
        <v/>
      </c>
      <c r="E1148" t="str">
        <f t="shared" si="39"/>
        <v>around and around</v>
      </c>
      <c r="F1148" t="s">
        <v>5103</v>
      </c>
      <c r="G1148" t="str">
        <f>_xlfn.IFNA(VLOOKUP(F1148,songs!$B$1:$C$1539, 2, FALSE),"")</f>
        <v>Around And Around</v>
      </c>
      <c r="H1148" t="s">
        <v>579</v>
      </c>
    </row>
    <row r="1149" spans="1:8" x14ac:dyDescent="0.25">
      <c r="A1149">
        <v>1148</v>
      </c>
      <c r="B1149" t="s">
        <v>1498</v>
      </c>
      <c r="C1149" t="s">
        <v>148</v>
      </c>
      <c r="D1149" t="str">
        <f t="shared" si="40"/>
        <v/>
      </c>
      <c r="E1149" t="str">
        <f t="shared" si="39"/>
        <v>johnny b. goode</v>
      </c>
      <c r="F1149" t="s">
        <v>6192</v>
      </c>
      <c r="G1149" t="str">
        <f>_xlfn.IFNA(VLOOKUP(F1149,songs!$B$1:$C$1539, 2, FALSE),"")</f>
        <v>Johnny B. Goode</v>
      </c>
      <c r="H1149" t="s">
        <v>148</v>
      </c>
    </row>
    <row r="1150" spans="1:8" x14ac:dyDescent="0.25">
      <c r="A1150">
        <v>1149</v>
      </c>
      <c r="B1150" t="s">
        <v>1499</v>
      </c>
      <c r="C1150" t="s">
        <v>133</v>
      </c>
      <c r="D1150" t="str">
        <f t="shared" si="40"/>
        <v/>
      </c>
      <c r="E1150" t="str">
        <f t="shared" si="39"/>
        <v>uncle john's band</v>
      </c>
      <c r="F1150" t="s">
        <v>7466</v>
      </c>
      <c r="G1150" t="str">
        <f>_xlfn.IFNA(VLOOKUP(F1150,songs!$B$1:$C$1539, 2, FALSE),"")</f>
        <v>Uncle John's Band</v>
      </c>
      <c r="H1150" t="s">
        <v>133</v>
      </c>
    </row>
    <row r="1151" spans="1:8" x14ac:dyDescent="0.25">
      <c r="A1151">
        <v>1150</v>
      </c>
      <c r="B1151" t="s">
        <v>1500</v>
      </c>
      <c r="C1151" t="s">
        <v>113</v>
      </c>
      <c r="D1151" t="str">
        <f t="shared" si="40"/>
        <v/>
      </c>
      <c r="E1151" t="str">
        <f t="shared" si="39"/>
        <v>cold rain and snow</v>
      </c>
      <c r="F1151" t="s">
        <v>5347</v>
      </c>
      <c r="G1151" t="str">
        <f>_xlfn.IFNA(VLOOKUP(F1151,songs!$B$1:$C$1539, 2, FALSE),"")</f>
        <v>Cold Rain And Snow</v>
      </c>
      <c r="H1151" t="s">
        <v>429</v>
      </c>
    </row>
    <row r="1152" spans="1:8" x14ac:dyDescent="0.25">
      <c r="A1152">
        <v>1151</v>
      </c>
      <c r="B1152" t="s">
        <v>1501</v>
      </c>
      <c r="C1152" t="s">
        <v>595</v>
      </c>
      <c r="D1152" t="str">
        <f t="shared" si="40"/>
        <v/>
      </c>
      <c r="E1152" t="str">
        <f t="shared" si="39"/>
        <v>me and my uncle</v>
      </c>
      <c r="F1152" t="s">
        <v>6486</v>
      </c>
      <c r="G1152" t="str">
        <f>_xlfn.IFNA(VLOOKUP(F1152,songs!$B$1:$C$1539, 2, FALSE),"")</f>
        <v>Me And My Uncle</v>
      </c>
      <c r="H1152" t="s">
        <v>903</v>
      </c>
    </row>
    <row r="1153" spans="1:8" x14ac:dyDescent="0.25">
      <c r="A1153">
        <v>1152</v>
      </c>
      <c r="B1153" t="s">
        <v>1502</v>
      </c>
      <c r="C1153" t="s">
        <v>483</v>
      </c>
      <c r="D1153" t="str">
        <f t="shared" si="40"/>
        <v/>
      </c>
      <c r="E1153" t="str">
        <f t="shared" si="39"/>
        <v>easy wind</v>
      </c>
      <c r="F1153" t="s">
        <v>5587</v>
      </c>
      <c r="G1153" t="str">
        <f>_xlfn.IFNA(VLOOKUP(F1153,songs!$B$1:$C$1539, 2, FALSE),"")</f>
        <v>Easy Wind</v>
      </c>
      <c r="H1153" t="s">
        <v>483</v>
      </c>
    </row>
    <row r="1154" spans="1:8" x14ac:dyDescent="0.25">
      <c r="A1154">
        <v>1153</v>
      </c>
      <c r="B1154" t="s">
        <v>1503</v>
      </c>
      <c r="C1154" t="s">
        <v>225</v>
      </c>
      <c r="D1154" t="str">
        <f t="shared" si="40"/>
        <v/>
      </c>
      <c r="E1154" t="str">
        <f t="shared" si="39"/>
        <v>cumberland blues</v>
      </c>
      <c r="F1154" t="s">
        <v>5411</v>
      </c>
      <c r="G1154" t="str">
        <f>_xlfn.IFNA(VLOOKUP(F1154,songs!$B$1:$C$1539, 2, FALSE),"")</f>
        <v>Cumberland Blues</v>
      </c>
      <c r="H1154" t="s">
        <v>225</v>
      </c>
    </row>
    <row r="1155" spans="1:8" x14ac:dyDescent="0.25">
      <c r="A1155">
        <v>1154</v>
      </c>
      <c r="B1155" t="s">
        <v>1504</v>
      </c>
      <c r="C1155" t="s">
        <v>221</v>
      </c>
      <c r="D1155" t="str">
        <f t="shared" si="40"/>
        <v/>
      </c>
      <c r="E1155" t="str">
        <f t="shared" si="39"/>
        <v>black peter</v>
      </c>
      <c r="F1155" t="s">
        <v>5190</v>
      </c>
      <c r="G1155" t="str">
        <f>_xlfn.IFNA(VLOOKUP(F1155,songs!$B$1:$C$1539, 2, FALSE),"")</f>
        <v>Black Peter</v>
      </c>
      <c r="H1155" t="s">
        <v>221</v>
      </c>
    </row>
    <row r="1156" spans="1:8" x14ac:dyDescent="0.25">
      <c r="A1156">
        <v>1155</v>
      </c>
      <c r="B1156" t="s">
        <v>1505</v>
      </c>
      <c r="C1156" t="s">
        <v>1017</v>
      </c>
      <c r="D1156" t="str">
        <f t="shared" si="40"/>
        <v/>
      </c>
      <c r="E1156" t="str">
        <f t="shared" ref="E1156:E1219" si="41">LOWER(TRIM(SUBSTITUTE(IF(RIGHT(TRIM(C1156),2)="-&gt;",LEFT(TRIM(C1156),LEN(TRIM(C1156))-2),IF(RIGHT(TRIM(C1156),1)="&gt;",LEFT(TRIM(C1156),LEN(TRIM(C1156))-1),C1156)),"//","")))</f>
        <v>next time you see me</v>
      </c>
      <c r="F1156" t="s">
        <v>6629</v>
      </c>
      <c r="G1156" t="str">
        <f>_xlfn.IFNA(VLOOKUP(F1156,songs!$B$1:$C$1539, 2, FALSE),"")</f>
        <v>Next Time You See Me</v>
      </c>
      <c r="H1156" t="s">
        <v>1017</v>
      </c>
    </row>
    <row r="1157" spans="1:8" x14ac:dyDescent="0.25">
      <c r="A1157">
        <v>1156</v>
      </c>
      <c r="B1157" t="s">
        <v>1506</v>
      </c>
      <c r="C1157" t="s">
        <v>84</v>
      </c>
      <c r="D1157" t="str">
        <f t="shared" si="40"/>
        <v/>
      </c>
      <c r="E1157" t="str">
        <f t="shared" si="41"/>
        <v>china cat sunflower</v>
      </c>
      <c r="F1157" t="s">
        <v>5319</v>
      </c>
      <c r="G1157" t="str">
        <f>_xlfn.IFNA(VLOOKUP(F1157,songs!$B$1:$C$1539, 2, FALSE),"")</f>
        <v>China Cat Sunflower</v>
      </c>
      <c r="H1157" t="s">
        <v>84</v>
      </c>
    </row>
    <row r="1158" spans="1:8" x14ac:dyDescent="0.25">
      <c r="A1158">
        <v>1157</v>
      </c>
      <c r="B1158" t="s">
        <v>1507</v>
      </c>
      <c r="C1158" t="s">
        <v>86</v>
      </c>
      <c r="D1158" t="str">
        <f t="shared" si="40"/>
        <v/>
      </c>
      <c r="E1158" t="str">
        <f t="shared" si="41"/>
        <v>i know you rider</v>
      </c>
      <c r="F1158" t="s">
        <v>6020</v>
      </c>
      <c r="G1158" t="str">
        <f>_xlfn.IFNA(VLOOKUP(F1158,songs!$B$1:$C$1539, 2, FALSE),"")</f>
        <v>I Know You Rider</v>
      </c>
      <c r="H1158" t="s">
        <v>86</v>
      </c>
    </row>
    <row r="1159" spans="1:8" x14ac:dyDescent="0.25">
      <c r="A1159">
        <v>1158</v>
      </c>
      <c r="B1159" t="s">
        <v>1508</v>
      </c>
      <c r="C1159" t="s">
        <v>1509</v>
      </c>
      <c r="D1159" t="str">
        <f t="shared" si="40"/>
        <v/>
      </c>
      <c r="E1159" t="str">
        <f t="shared" si="41"/>
        <v>turn on your lovelight</v>
      </c>
      <c r="F1159" t="s">
        <v>7447</v>
      </c>
      <c r="G1159" t="str">
        <f>_xlfn.IFNA(VLOOKUP(F1159,songs!$B$1:$C$1539, 2, FALSE),"")</f>
        <v>Turn On Your Lovelight</v>
      </c>
      <c r="H1159" t="s">
        <v>507</v>
      </c>
    </row>
    <row r="1160" spans="1:8" x14ac:dyDescent="0.25">
      <c r="A1160">
        <v>1159</v>
      </c>
      <c r="B1160" t="s">
        <v>1510</v>
      </c>
      <c r="C1160" t="s">
        <v>1511</v>
      </c>
      <c r="D1160" t="str">
        <f t="shared" si="40"/>
        <v/>
      </c>
      <c r="E1160" t="str">
        <f t="shared" si="41"/>
        <v>hard to handle</v>
      </c>
      <c r="F1160" t="s">
        <v>5861</v>
      </c>
      <c r="G1160" t="str">
        <f>_xlfn.IFNA(VLOOKUP(F1160,songs!$B$1:$C$1539, 2, FALSE),"")</f>
        <v>Hard To Handle</v>
      </c>
      <c r="H1160" t="s">
        <v>1199</v>
      </c>
    </row>
    <row r="1161" spans="1:8" x14ac:dyDescent="0.25">
      <c r="A1161">
        <v>1160</v>
      </c>
      <c r="B1161" t="s">
        <v>1512</v>
      </c>
      <c r="C1161" t="s">
        <v>81</v>
      </c>
      <c r="D1161" t="str">
        <f t="shared" si="40"/>
        <v/>
      </c>
      <c r="E1161" t="str">
        <f t="shared" si="41"/>
        <v>casey jones</v>
      </c>
      <c r="F1161" t="s">
        <v>5290</v>
      </c>
      <c r="G1161" t="str">
        <f>_xlfn.IFNA(VLOOKUP(F1161,songs!$B$1:$C$1539, 2, FALSE),"")</f>
        <v>Casey Jones</v>
      </c>
      <c r="H1161" t="s">
        <v>81</v>
      </c>
    </row>
    <row r="1162" spans="1:8" x14ac:dyDescent="0.25">
      <c r="A1162">
        <v>1161</v>
      </c>
      <c r="B1162" t="s">
        <v>1513</v>
      </c>
      <c r="C1162" t="s">
        <v>158</v>
      </c>
      <c r="D1162" t="str">
        <f t="shared" si="40"/>
        <v/>
      </c>
      <c r="E1162" t="str">
        <f t="shared" si="41"/>
        <v>mama tried</v>
      </c>
      <c r="F1162" t="s">
        <v>6454</v>
      </c>
      <c r="G1162" t="str">
        <f>_xlfn.IFNA(VLOOKUP(F1162,songs!$B$1:$C$1539, 2, FALSE),"")</f>
        <v>Mama Tried</v>
      </c>
      <c r="H1162" t="s">
        <v>158</v>
      </c>
    </row>
    <row r="1163" spans="1:8" x14ac:dyDescent="0.25">
      <c r="A1163">
        <v>1162</v>
      </c>
      <c r="B1163" t="s">
        <v>1514</v>
      </c>
      <c r="C1163" t="s">
        <v>88</v>
      </c>
      <c r="D1163" t="str">
        <f t="shared" si="40"/>
        <v/>
      </c>
      <c r="E1163" t="str">
        <f t="shared" si="41"/>
        <v>high time</v>
      </c>
      <c r="F1163" t="s">
        <v>5920</v>
      </c>
      <c r="G1163" t="str">
        <f>_xlfn.IFNA(VLOOKUP(F1163,songs!$B$1:$C$1539, 2, FALSE),"")</f>
        <v>High Time</v>
      </c>
      <c r="H1163" t="s">
        <v>88</v>
      </c>
    </row>
    <row r="1164" spans="1:8" x14ac:dyDescent="0.25">
      <c r="A1164">
        <v>1163</v>
      </c>
      <c r="B1164" t="s">
        <v>1515</v>
      </c>
      <c r="C1164" t="s">
        <v>90</v>
      </c>
      <c r="D1164" t="str">
        <f t="shared" si="40"/>
        <v/>
      </c>
      <c r="E1164" t="str">
        <f t="shared" si="41"/>
        <v>dire wolf</v>
      </c>
      <c r="F1164" t="s">
        <v>5497</v>
      </c>
      <c r="G1164" t="str">
        <f>_xlfn.IFNA(VLOOKUP(F1164,songs!$B$1:$C$1539, 2, FALSE),"")</f>
        <v>Dire Wolf</v>
      </c>
      <c r="H1164" t="s">
        <v>90</v>
      </c>
    </row>
    <row r="1165" spans="1:8" x14ac:dyDescent="0.25">
      <c r="A1165">
        <v>1164</v>
      </c>
      <c r="B1165" t="s">
        <v>1516</v>
      </c>
      <c r="C1165" t="s">
        <v>242</v>
      </c>
      <c r="D1165" t="str">
        <f t="shared" si="40"/>
        <v/>
      </c>
      <c r="E1165" t="str">
        <f t="shared" si="41"/>
        <v>good lovin'</v>
      </c>
      <c r="F1165" t="s">
        <v>5810</v>
      </c>
      <c r="G1165" t="str">
        <f>_xlfn.IFNA(VLOOKUP(F1165,songs!$B$1:$C$1539, 2, FALSE),"")</f>
        <v>Good Lovin'</v>
      </c>
      <c r="H1165" t="s">
        <v>242</v>
      </c>
    </row>
    <row r="1166" spans="1:8" x14ac:dyDescent="0.25">
      <c r="A1166">
        <v>1165</v>
      </c>
      <c r="B1166" t="s">
        <v>1517</v>
      </c>
      <c r="C1166" t="s">
        <v>1518</v>
      </c>
      <c r="D1166" t="str">
        <f t="shared" si="40"/>
        <v/>
      </c>
      <c r="E1166" t="str">
        <f t="shared" si="41"/>
        <v>i'm a king bee</v>
      </c>
      <c r="F1166" t="s">
        <v>6080</v>
      </c>
      <c r="G1166" t="str">
        <f>_xlfn.IFNA(VLOOKUP(F1166,songs!$B$1:$C$1539, 2, FALSE),"")</f>
        <v>I'm A King Bee</v>
      </c>
      <c r="H1166" t="s">
        <v>1768</v>
      </c>
    </row>
    <row r="1167" spans="1:8" x14ac:dyDescent="0.25">
      <c r="A1167">
        <v>1166</v>
      </c>
      <c r="B1167" t="s">
        <v>1519</v>
      </c>
      <c r="C1167" t="s">
        <v>133</v>
      </c>
      <c r="D1167" t="str">
        <f t="shared" si="40"/>
        <v/>
      </c>
      <c r="E1167" t="str">
        <f t="shared" si="41"/>
        <v>uncle john's band</v>
      </c>
      <c r="F1167" t="s">
        <v>7466</v>
      </c>
      <c r="G1167" t="str">
        <f>_xlfn.IFNA(VLOOKUP(F1167,songs!$B$1:$C$1539, 2, FALSE),"")</f>
        <v>Uncle John's Band</v>
      </c>
      <c r="H1167" t="s">
        <v>133</v>
      </c>
    </row>
    <row r="1168" spans="1:8" x14ac:dyDescent="0.25">
      <c r="A1168">
        <v>1167</v>
      </c>
      <c r="B1168" t="s">
        <v>1520</v>
      </c>
      <c r="C1168" t="s">
        <v>1521</v>
      </c>
      <c r="D1168" t="str">
        <f t="shared" si="40"/>
        <v/>
      </c>
      <c r="E1168" t="str">
        <f t="shared" si="41"/>
        <v>he was a friend of mine</v>
      </c>
      <c r="F1168" t="s">
        <v>5868</v>
      </c>
      <c r="G1168" t="str">
        <f>_xlfn.IFNA(VLOOKUP(F1168,songs!$B$1:$C$1539, 2, FALSE),"")</f>
        <v>He Was A Friend Of Mine</v>
      </c>
      <c r="H1168" t="s">
        <v>5869</v>
      </c>
    </row>
    <row r="1169" spans="1:8" x14ac:dyDescent="0.25">
      <c r="A1169">
        <v>1168</v>
      </c>
      <c r="B1169" t="s">
        <v>1522</v>
      </c>
      <c r="C1169" t="s">
        <v>98</v>
      </c>
      <c r="D1169" t="str">
        <f t="shared" si="40"/>
        <v/>
      </c>
      <c r="E1169" t="str">
        <f t="shared" si="41"/>
        <v>alligator</v>
      </c>
      <c r="F1169" t="s">
        <v>5072</v>
      </c>
      <c r="G1169" t="str">
        <f>_xlfn.IFNA(VLOOKUP(F1169,songs!$B$1:$C$1539, 2, FALSE),"")</f>
        <v>Alligator</v>
      </c>
      <c r="H1169" t="s">
        <v>98</v>
      </c>
    </row>
    <row r="1170" spans="1:8" x14ac:dyDescent="0.25">
      <c r="A1170">
        <v>1169</v>
      </c>
      <c r="B1170" t="s">
        <v>1523</v>
      </c>
      <c r="C1170" t="s">
        <v>100</v>
      </c>
      <c r="D1170" t="str">
        <f t="shared" si="40"/>
        <v/>
      </c>
      <c r="E1170" t="str">
        <f t="shared" si="41"/>
        <v>drums</v>
      </c>
      <c r="F1170" t="s">
        <v>5568</v>
      </c>
      <c r="G1170" t="str">
        <f>_xlfn.IFNA(VLOOKUP(F1170,songs!$B$1:$C$1539, 2, FALSE),"")</f>
        <v>Drums</v>
      </c>
      <c r="H1170" t="s">
        <v>100</v>
      </c>
    </row>
    <row r="1171" spans="1:8" x14ac:dyDescent="0.25">
      <c r="A1171">
        <v>1170</v>
      </c>
      <c r="B1171" t="s">
        <v>1524</v>
      </c>
      <c r="C1171" t="s">
        <v>98</v>
      </c>
      <c r="D1171" t="str">
        <f t="shared" si="40"/>
        <v/>
      </c>
      <c r="E1171" t="str">
        <f t="shared" si="41"/>
        <v>alligator</v>
      </c>
      <c r="F1171" t="s">
        <v>5072</v>
      </c>
      <c r="G1171" t="str">
        <f>_xlfn.IFNA(VLOOKUP(F1171,songs!$B$1:$C$1539, 2, FALSE),"")</f>
        <v>Alligator</v>
      </c>
      <c r="H1171" t="s">
        <v>98</v>
      </c>
    </row>
    <row r="1172" spans="1:8" x14ac:dyDescent="0.25">
      <c r="A1172">
        <v>1171</v>
      </c>
      <c r="B1172" t="s">
        <v>1525</v>
      </c>
      <c r="C1172" t="s">
        <v>107</v>
      </c>
      <c r="D1172" t="str">
        <f t="shared" si="40"/>
        <v/>
      </c>
      <c r="E1172" t="str">
        <f t="shared" si="41"/>
        <v>caution (do not stop on tracks)</v>
      </c>
      <c r="F1172" t="s">
        <v>5300</v>
      </c>
      <c r="G1172" t="str">
        <f>_xlfn.IFNA(VLOOKUP(F1172,songs!$B$1:$C$1539, 2, FALSE),"")</f>
        <v>Caution (Do Not Stop On Tracks)</v>
      </c>
      <c r="H1172" t="s">
        <v>3962</v>
      </c>
    </row>
    <row r="1173" spans="1:8" x14ac:dyDescent="0.25">
      <c r="A1173">
        <v>1172</v>
      </c>
      <c r="B1173" t="s">
        <v>1526</v>
      </c>
      <c r="C1173" t="s">
        <v>109</v>
      </c>
      <c r="D1173" t="str">
        <f t="shared" si="40"/>
        <v/>
      </c>
      <c r="E1173" t="str">
        <f t="shared" si="41"/>
        <v>feedback</v>
      </c>
      <c r="F1173" t="s">
        <v>5657</v>
      </c>
      <c r="G1173" t="str">
        <f>_xlfn.IFNA(VLOOKUP(F1173,songs!$B$1:$C$1539, 2, FALSE),"")</f>
        <v>Feedback</v>
      </c>
      <c r="H1173" t="s">
        <v>109</v>
      </c>
    </row>
    <row r="1174" spans="1:8" x14ac:dyDescent="0.25">
      <c r="A1174">
        <v>1237</v>
      </c>
      <c r="B1174" t="s">
        <v>1592</v>
      </c>
      <c r="C1174" t="s">
        <v>615</v>
      </c>
      <c r="D1174" t="str">
        <f t="shared" si="40"/>
        <v/>
      </c>
      <c r="E1174" t="str">
        <f t="shared" si="41"/>
        <v>brown-eyed women</v>
      </c>
      <c r="F1174" t="s">
        <v>5255</v>
      </c>
      <c r="G1174" t="str">
        <f>_xlfn.IFNA(VLOOKUP(F1174,songs!$B$1:$C$1539, 2, FALSE),"")</f>
        <v>Brown Eyed Women</v>
      </c>
      <c r="H1174" t="s">
        <v>7867</v>
      </c>
    </row>
    <row r="1175" spans="1:8" x14ac:dyDescent="0.25">
      <c r="A1175">
        <v>1174</v>
      </c>
      <c r="B1175" t="s">
        <v>1528</v>
      </c>
      <c r="C1175" t="s">
        <v>419</v>
      </c>
      <c r="D1175" t="str">
        <f t="shared" si="40"/>
        <v/>
      </c>
      <c r="E1175" t="str">
        <f t="shared" si="41"/>
        <v>playing in the band</v>
      </c>
      <c r="F1175" t="s">
        <v>6769</v>
      </c>
      <c r="G1175" t="str">
        <f>_xlfn.IFNA(VLOOKUP(F1175,songs!$B$1:$C$1539, 2, FALSE),"")</f>
        <v>Playing In The Band</v>
      </c>
      <c r="H1175" t="s">
        <v>419</v>
      </c>
    </row>
    <row r="1176" spans="1:8" x14ac:dyDescent="0.25">
      <c r="A1176">
        <v>1175</v>
      </c>
      <c r="B1176" t="s">
        <v>1529</v>
      </c>
      <c r="C1176" t="s">
        <v>73</v>
      </c>
      <c r="D1176" t="str">
        <f t="shared" si="40"/>
        <v/>
      </c>
      <c r="E1176" t="str">
        <f t="shared" si="41"/>
        <v>wharf rat</v>
      </c>
      <c r="F1176" t="s">
        <v>7664</v>
      </c>
      <c r="G1176" t="str">
        <f>_xlfn.IFNA(VLOOKUP(F1176,songs!$B$1:$C$1539, 2, FALSE),"")</f>
        <v>Wharf Rat</v>
      </c>
      <c r="H1176" t="s">
        <v>73</v>
      </c>
    </row>
    <row r="1177" spans="1:8" x14ac:dyDescent="0.25">
      <c r="A1177">
        <v>1176</v>
      </c>
      <c r="B1177" t="s">
        <v>1530</v>
      </c>
      <c r="C1177" t="s">
        <v>34</v>
      </c>
      <c r="D1177" t="str">
        <f t="shared" si="40"/>
        <v/>
      </c>
      <c r="E1177" t="str">
        <f t="shared" si="41"/>
        <v>not fade away</v>
      </c>
      <c r="F1177" t="s">
        <v>6651</v>
      </c>
      <c r="G1177" t="str">
        <f>_xlfn.IFNA(VLOOKUP(F1177,songs!$B$1:$C$1539, 2, FALSE),"")</f>
        <v>Not Fade Away</v>
      </c>
      <c r="H1177" t="s">
        <v>34</v>
      </c>
    </row>
    <row r="1178" spans="1:8" x14ac:dyDescent="0.25">
      <c r="A1178">
        <v>1250</v>
      </c>
      <c r="B1178" t="s">
        <v>1606</v>
      </c>
      <c r="C1178" t="s">
        <v>7</v>
      </c>
      <c r="D1178" t="str">
        <f t="shared" si="40"/>
        <v/>
      </c>
      <c r="E1178" t="str">
        <f t="shared" si="41"/>
        <v>weather report suite</v>
      </c>
      <c r="F1178" t="s">
        <v>7658</v>
      </c>
      <c r="G1178" t="str">
        <f>_xlfn.IFNA(VLOOKUP(F1178,songs!$B$1:$C$1539, 2, FALSE),"")</f>
        <v>Weather Report Suite Prelude &gt; Weather Report Suite Part 1</v>
      </c>
      <c r="H1178" t="s">
        <v>7867</v>
      </c>
    </row>
    <row r="1179" spans="1:8" x14ac:dyDescent="0.25">
      <c r="A1179">
        <v>1178</v>
      </c>
      <c r="B1179" t="s">
        <v>1532</v>
      </c>
      <c r="C1179" t="s">
        <v>34</v>
      </c>
      <c r="D1179" t="str">
        <f t="shared" si="40"/>
        <v/>
      </c>
      <c r="E1179" t="str">
        <f t="shared" si="41"/>
        <v>not fade away</v>
      </c>
      <c r="F1179" t="s">
        <v>6651</v>
      </c>
      <c r="G1179" t="str">
        <f>_xlfn.IFNA(VLOOKUP(F1179,songs!$B$1:$C$1539, 2, FALSE),"")</f>
        <v>Not Fade Away</v>
      </c>
      <c r="H1179" t="s">
        <v>34</v>
      </c>
    </row>
    <row r="1180" spans="1:8" x14ac:dyDescent="0.25">
      <c r="A1180">
        <v>1179</v>
      </c>
      <c r="B1180" t="s">
        <v>1533</v>
      </c>
      <c r="C1180" t="s">
        <v>130</v>
      </c>
      <c r="D1180" t="str">
        <f t="shared" si="40"/>
        <v/>
      </c>
      <c r="E1180" t="str">
        <f t="shared" si="41"/>
        <v>promised land</v>
      </c>
      <c r="F1180" t="s">
        <v>6797</v>
      </c>
      <c r="G1180" t="str">
        <f>_xlfn.IFNA(VLOOKUP(F1180,songs!$B$1:$C$1539, 2, FALSE),"")</f>
        <v>Promised Land</v>
      </c>
      <c r="H1180" t="s">
        <v>130</v>
      </c>
    </row>
    <row r="1181" spans="1:8" x14ac:dyDescent="0.25">
      <c r="A1181">
        <v>1180</v>
      </c>
      <c r="B1181" t="s">
        <v>1534</v>
      </c>
      <c r="C1181" t="s">
        <v>51</v>
      </c>
      <c r="D1181" t="str">
        <f t="shared" si="40"/>
        <v/>
      </c>
      <c r="E1181" t="str">
        <f t="shared" si="41"/>
        <v>sugaree</v>
      </c>
      <c r="F1181" t="s">
        <v>7151</v>
      </c>
      <c r="G1181" t="str">
        <f>_xlfn.IFNA(VLOOKUP(F1181,songs!$B$1:$C$1539, 2, FALSE),"")</f>
        <v>Sugaree</v>
      </c>
      <c r="H1181" t="s">
        <v>51</v>
      </c>
    </row>
    <row r="1182" spans="1:8" x14ac:dyDescent="0.25">
      <c r="A1182">
        <v>1181</v>
      </c>
      <c r="B1182" t="s">
        <v>1535</v>
      </c>
      <c r="C1182" t="s">
        <v>903</v>
      </c>
      <c r="D1182" t="str">
        <f t="shared" si="40"/>
        <v/>
      </c>
      <c r="E1182" t="str">
        <f t="shared" si="41"/>
        <v>me and my uncle</v>
      </c>
      <c r="F1182" t="s">
        <v>6486</v>
      </c>
      <c r="G1182" t="str">
        <f>_xlfn.IFNA(VLOOKUP(F1182,songs!$B$1:$C$1539, 2, FALSE),"")</f>
        <v>Me And My Uncle</v>
      </c>
      <c r="H1182" t="s">
        <v>903</v>
      </c>
    </row>
    <row r="1183" spans="1:8" x14ac:dyDescent="0.25">
      <c r="A1183">
        <v>1182</v>
      </c>
      <c r="B1183" t="s">
        <v>1536</v>
      </c>
      <c r="C1183" t="s">
        <v>164</v>
      </c>
      <c r="D1183" t="str">
        <f t="shared" si="40"/>
        <v/>
      </c>
      <c r="E1183" t="str">
        <f t="shared" si="41"/>
        <v>tennessee jed</v>
      </c>
      <c r="F1183" t="s">
        <v>7234</v>
      </c>
      <c r="G1183" t="str">
        <f>_xlfn.IFNA(VLOOKUP(F1183,songs!$B$1:$C$1539, 2, FALSE),"")</f>
        <v>Tennessee Jed</v>
      </c>
      <c r="H1183" t="s">
        <v>164</v>
      </c>
    </row>
    <row r="1184" spans="1:8" x14ac:dyDescent="0.25">
      <c r="A1184">
        <v>1258</v>
      </c>
      <c r="B1184" t="s">
        <v>1614</v>
      </c>
      <c r="C1184" t="s">
        <v>36</v>
      </c>
      <c r="D1184" t="str">
        <f t="shared" si="40"/>
        <v/>
      </c>
      <c r="E1184" t="str">
        <f t="shared" si="41"/>
        <v>goin' down the road feeling bad</v>
      </c>
      <c r="F1184" t="s">
        <v>5783</v>
      </c>
      <c r="G1184" t="str">
        <f>_xlfn.IFNA(VLOOKUP(F1184,songs!$B$1:$C$1539, 2, FALSE),"")</f>
        <v>Goin' Down The Road Feelin' Bad</v>
      </c>
      <c r="H1184" t="s">
        <v>7867</v>
      </c>
    </row>
    <row r="1185" spans="1:8" x14ac:dyDescent="0.25">
      <c r="A1185">
        <v>1184</v>
      </c>
      <c r="B1185" t="s">
        <v>1538</v>
      </c>
      <c r="C1185" t="s">
        <v>323</v>
      </c>
      <c r="D1185" t="str">
        <f t="shared" si="40"/>
        <v/>
      </c>
      <c r="E1185" t="str">
        <f t="shared" si="41"/>
        <v>bird song</v>
      </c>
      <c r="F1185" t="s">
        <v>5184</v>
      </c>
      <c r="G1185" t="str">
        <f>_xlfn.IFNA(VLOOKUP(F1185,songs!$B$1:$C$1539, 2, FALSE),"")</f>
        <v>Bird Song</v>
      </c>
      <c r="H1185" t="s">
        <v>323</v>
      </c>
    </row>
    <row r="1186" spans="1:8" x14ac:dyDescent="0.25">
      <c r="A1186">
        <v>1185</v>
      </c>
      <c r="B1186" t="s">
        <v>1539</v>
      </c>
      <c r="C1186" t="s">
        <v>199</v>
      </c>
      <c r="D1186" t="str">
        <f t="shared" si="40"/>
        <v/>
      </c>
      <c r="E1186" t="str">
        <f t="shared" si="41"/>
        <v>jack straw</v>
      </c>
      <c r="F1186" t="s">
        <v>6161</v>
      </c>
      <c r="G1186" t="str">
        <f>_xlfn.IFNA(VLOOKUP(F1186,songs!$B$1:$C$1539, 2, FALSE),"")</f>
        <v>Jack Straw</v>
      </c>
      <c r="H1186" t="s">
        <v>199</v>
      </c>
    </row>
    <row r="1187" spans="1:8" x14ac:dyDescent="0.25">
      <c r="A1187">
        <v>1186</v>
      </c>
      <c r="B1187" t="s">
        <v>1540</v>
      </c>
      <c r="C1187" t="s">
        <v>915</v>
      </c>
      <c r="D1187" t="str">
        <f t="shared" si="40"/>
        <v/>
      </c>
      <c r="E1187" t="str">
        <f t="shared" si="41"/>
        <v>box of rain</v>
      </c>
      <c r="F1187" t="s">
        <v>5237</v>
      </c>
      <c r="G1187" t="str">
        <f>_xlfn.IFNA(VLOOKUP(F1187,songs!$B$1:$C$1539, 2, FALSE),"")</f>
        <v>Box Of Rain</v>
      </c>
      <c r="H1187" t="s">
        <v>915</v>
      </c>
    </row>
    <row r="1188" spans="1:8" x14ac:dyDescent="0.25">
      <c r="A1188">
        <v>1187</v>
      </c>
      <c r="B1188" t="s">
        <v>1541</v>
      </c>
      <c r="C1188" t="s">
        <v>215</v>
      </c>
      <c r="D1188" t="str">
        <f t="shared" si="40"/>
        <v/>
      </c>
      <c r="E1188" t="str">
        <f t="shared" si="41"/>
        <v>don't ease me in</v>
      </c>
      <c r="F1188" t="s">
        <v>5513</v>
      </c>
      <c r="G1188" t="str">
        <f>_xlfn.IFNA(VLOOKUP(F1188,songs!$B$1:$C$1539, 2, FALSE),"")</f>
        <v>Don't Ease Me In</v>
      </c>
      <c r="H1188" t="s">
        <v>215</v>
      </c>
    </row>
    <row r="1189" spans="1:8" x14ac:dyDescent="0.25">
      <c r="A1189">
        <v>1188</v>
      </c>
      <c r="B1189" t="s">
        <v>1542</v>
      </c>
      <c r="C1189" t="s">
        <v>431</v>
      </c>
      <c r="D1189" t="str">
        <f t="shared" si="40"/>
        <v/>
      </c>
      <c r="E1189" t="str">
        <f t="shared" si="41"/>
        <v>beat it on down the line</v>
      </c>
      <c r="F1189" t="s">
        <v>5149</v>
      </c>
      <c r="G1189" t="str">
        <f>_xlfn.IFNA(VLOOKUP(F1189,songs!$B$1:$C$1539, 2, FALSE),"")</f>
        <v>Beat It On Down The Line</v>
      </c>
      <c r="H1189" t="s">
        <v>431</v>
      </c>
    </row>
    <row r="1190" spans="1:8" x14ac:dyDescent="0.25">
      <c r="A1190">
        <v>1264</v>
      </c>
      <c r="B1190" t="s">
        <v>1621</v>
      </c>
      <c r="C1190" t="s">
        <v>190</v>
      </c>
      <c r="D1190" t="str">
        <f t="shared" si="40"/>
        <v/>
      </c>
      <c r="E1190" t="str">
        <f t="shared" si="41"/>
        <v>black-throated wind</v>
      </c>
      <c r="F1190" t="s">
        <v>5193</v>
      </c>
      <c r="G1190" t="str">
        <f>_xlfn.IFNA(VLOOKUP(F1190,songs!$B$1:$C$1539, 2, FALSE),"")</f>
        <v>Black Throated Wind</v>
      </c>
      <c r="H1190" t="s">
        <v>7867</v>
      </c>
    </row>
    <row r="1191" spans="1:8" x14ac:dyDescent="0.25">
      <c r="A1191">
        <v>1190</v>
      </c>
      <c r="B1191" t="s">
        <v>1544</v>
      </c>
      <c r="C1191" t="s">
        <v>3</v>
      </c>
      <c r="D1191" t="str">
        <f t="shared" si="40"/>
        <v/>
      </c>
      <c r="E1191" t="str">
        <f t="shared" si="41"/>
        <v>big river</v>
      </c>
      <c r="F1191" t="s">
        <v>5175</v>
      </c>
      <c r="G1191" t="str">
        <f>_xlfn.IFNA(VLOOKUP(F1191,songs!$B$1:$C$1539, 2, FALSE),"")</f>
        <v>Big River</v>
      </c>
      <c r="H1191" t="s">
        <v>3</v>
      </c>
    </row>
    <row r="1192" spans="1:8" x14ac:dyDescent="0.25">
      <c r="A1192">
        <v>1191</v>
      </c>
      <c r="B1192" t="s">
        <v>1545</v>
      </c>
      <c r="C1192" t="s">
        <v>84</v>
      </c>
      <c r="D1192" t="str">
        <f t="shared" si="40"/>
        <v/>
      </c>
      <c r="E1192" t="str">
        <f t="shared" si="41"/>
        <v>china cat sunflower</v>
      </c>
      <c r="F1192" t="s">
        <v>5319</v>
      </c>
      <c r="G1192" t="str">
        <f>_xlfn.IFNA(VLOOKUP(F1192,songs!$B$1:$C$1539, 2, FALSE),"")</f>
        <v>China Cat Sunflower</v>
      </c>
      <c r="H1192" t="s">
        <v>84</v>
      </c>
    </row>
    <row r="1193" spans="1:8" x14ac:dyDescent="0.25">
      <c r="A1193">
        <v>1192</v>
      </c>
      <c r="B1193" t="s">
        <v>1546</v>
      </c>
      <c r="C1193" t="s">
        <v>86</v>
      </c>
      <c r="D1193" t="str">
        <f t="shared" si="40"/>
        <v/>
      </c>
      <c r="E1193" t="str">
        <f t="shared" si="41"/>
        <v>i know you rider</v>
      </c>
      <c r="F1193" t="s">
        <v>6020</v>
      </c>
      <c r="G1193" t="str">
        <f>_xlfn.IFNA(VLOOKUP(F1193,songs!$B$1:$C$1539, 2, FALSE),"")</f>
        <v>I Know You Rider</v>
      </c>
      <c r="H1193" t="s">
        <v>86</v>
      </c>
    </row>
    <row r="1194" spans="1:8" x14ac:dyDescent="0.25">
      <c r="A1194">
        <v>1193</v>
      </c>
      <c r="B1194" t="s">
        <v>1547</v>
      </c>
      <c r="C1194" t="s">
        <v>579</v>
      </c>
      <c r="D1194" t="str">
        <f t="shared" si="40"/>
        <v/>
      </c>
      <c r="E1194" t="str">
        <f t="shared" si="41"/>
        <v>around and around</v>
      </c>
      <c r="F1194" t="s">
        <v>5103</v>
      </c>
      <c r="G1194" t="str">
        <f>_xlfn.IFNA(VLOOKUP(F1194,songs!$B$1:$C$1539, 2, FALSE),"")</f>
        <v>Around And Around</v>
      </c>
      <c r="H1194" t="s">
        <v>579</v>
      </c>
    </row>
    <row r="1195" spans="1:8" x14ac:dyDescent="0.25">
      <c r="A1195">
        <v>1194</v>
      </c>
      <c r="B1195" t="s">
        <v>1548</v>
      </c>
      <c r="C1195" t="s">
        <v>81</v>
      </c>
      <c r="D1195" t="str">
        <f t="shared" si="40"/>
        <v/>
      </c>
      <c r="E1195" t="str">
        <f t="shared" si="41"/>
        <v>casey jones</v>
      </c>
      <c r="F1195" t="s">
        <v>5290</v>
      </c>
      <c r="G1195" t="str">
        <f>_xlfn.IFNA(VLOOKUP(F1195,songs!$B$1:$C$1539, 2, FALSE),"")</f>
        <v>Casey Jones</v>
      </c>
      <c r="H1195" t="s">
        <v>81</v>
      </c>
    </row>
    <row r="1196" spans="1:8" x14ac:dyDescent="0.25">
      <c r="A1196">
        <v>1195</v>
      </c>
      <c r="B1196" t="s">
        <v>1549</v>
      </c>
      <c r="C1196" t="s">
        <v>225</v>
      </c>
      <c r="D1196" t="str">
        <f t="shared" si="40"/>
        <v/>
      </c>
      <c r="E1196" t="str">
        <f t="shared" si="41"/>
        <v>cumberland blues</v>
      </c>
      <c r="F1196" t="s">
        <v>5411</v>
      </c>
      <c r="G1196" t="str">
        <f>_xlfn.IFNA(VLOOKUP(F1196,songs!$B$1:$C$1539, 2, FALSE),"")</f>
        <v>Cumberland Blues</v>
      </c>
      <c r="H1196" t="s">
        <v>225</v>
      </c>
    </row>
    <row r="1197" spans="1:8" x14ac:dyDescent="0.25">
      <c r="A1197">
        <v>1196</v>
      </c>
      <c r="B1197" t="s">
        <v>1550</v>
      </c>
      <c r="C1197" t="s">
        <v>327</v>
      </c>
      <c r="D1197" t="str">
        <f t="shared" si="40"/>
        <v/>
      </c>
      <c r="E1197" t="str">
        <f t="shared" si="41"/>
        <v>el paso</v>
      </c>
      <c r="F1197" t="s">
        <v>5600</v>
      </c>
      <c r="G1197" t="str">
        <f>_xlfn.IFNA(VLOOKUP(F1197,songs!$B$1:$C$1539, 2, FALSE),"")</f>
        <v>El Paso</v>
      </c>
      <c r="H1197" t="s">
        <v>327</v>
      </c>
    </row>
    <row r="1198" spans="1:8" x14ac:dyDescent="0.25">
      <c r="A1198">
        <v>1197</v>
      </c>
      <c r="B1198" t="s">
        <v>1551</v>
      </c>
      <c r="C1198" t="s">
        <v>13</v>
      </c>
      <c r="D1198" t="str">
        <f t="shared" si="40"/>
        <v/>
      </c>
      <c r="E1198" t="str">
        <f t="shared" si="41"/>
        <v>he's gone</v>
      </c>
      <c r="F1198" t="s">
        <v>5903</v>
      </c>
      <c r="G1198" t="str">
        <f>_xlfn.IFNA(VLOOKUP(F1198,songs!$B$1:$C$1539, 2, FALSE),"")</f>
        <v>He's Gone</v>
      </c>
      <c r="H1198" t="s">
        <v>13</v>
      </c>
    </row>
    <row r="1199" spans="1:8" x14ac:dyDescent="0.25">
      <c r="A1199">
        <v>1198</v>
      </c>
      <c r="B1199" t="s">
        <v>1552</v>
      </c>
      <c r="C1199" t="s">
        <v>15</v>
      </c>
      <c r="D1199" t="str">
        <f t="shared" si="40"/>
        <v/>
      </c>
      <c r="E1199" t="str">
        <f t="shared" si="41"/>
        <v>truckin'</v>
      </c>
      <c r="F1199" t="s">
        <v>7436</v>
      </c>
      <c r="G1199" t="str">
        <f>_xlfn.IFNA(VLOOKUP(F1199,songs!$B$1:$C$1539, 2, FALSE),"")</f>
        <v>Truckin'</v>
      </c>
      <c r="H1199" t="s">
        <v>15</v>
      </c>
    </row>
    <row r="1200" spans="1:8" x14ac:dyDescent="0.25">
      <c r="A1200">
        <v>1199</v>
      </c>
      <c r="B1200" t="s">
        <v>1553</v>
      </c>
      <c r="C1200" t="s">
        <v>139</v>
      </c>
      <c r="D1200" t="str">
        <f t="shared" si="40"/>
        <v/>
      </c>
      <c r="E1200" t="str">
        <f t="shared" si="41"/>
        <v>the other one</v>
      </c>
      <c r="F1200" t="s">
        <v>7325</v>
      </c>
      <c r="G1200" t="str">
        <f>_xlfn.IFNA(VLOOKUP(F1200,songs!$B$1:$C$1539, 2, FALSE),"")</f>
        <v>The Other One</v>
      </c>
      <c r="H1200" t="s">
        <v>139</v>
      </c>
    </row>
    <row r="1201" spans="1:8" x14ac:dyDescent="0.25">
      <c r="A1201">
        <v>1200</v>
      </c>
      <c r="B1201" t="s">
        <v>1554</v>
      </c>
      <c r="C1201" t="s">
        <v>145</v>
      </c>
      <c r="D1201" t="str">
        <f t="shared" si="40"/>
        <v/>
      </c>
      <c r="E1201" t="str">
        <f t="shared" si="41"/>
        <v>brokedown palace</v>
      </c>
      <c r="F1201" t="s">
        <v>5250</v>
      </c>
      <c r="G1201" t="str">
        <f>_xlfn.IFNA(VLOOKUP(F1201,songs!$B$1:$C$1539, 2, FALSE),"")</f>
        <v>Brokedown Palace</v>
      </c>
      <c r="H1201" t="s">
        <v>145</v>
      </c>
    </row>
    <row r="1202" spans="1:8" x14ac:dyDescent="0.25">
      <c r="A1202">
        <v>1201</v>
      </c>
      <c r="B1202" t="s">
        <v>1555</v>
      </c>
      <c r="C1202" t="s">
        <v>30</v>
      </c>
      <c r="D1202" t="str">
        <f t="shared" si="40"/>
        <v/>
      </c>
      <c r="E1202" t="str">
        <f t="shared" si="41"/>
        <v>sugar magnolia</v>
      </c>
      <c r="F1202" t="s">
        <v>7150</v>
      </c>
      <c r="G1202" t="str">
        <f>_xlfn.IFNA(VLOOKUP(F1202,songs!$B$1:$C$1539, 2, FALSE),"")</f>
        <v>Sugar Magnolia</v>
      </c>
      <c r="H1202" t="s">
        <v>30</v>
      </c>
    </row>
    <row r="1203" spans="1:8" x14ac:dyDescent="0.25">
      <c r="A1203">
        <v>1202</v>
      </c>
      <c r="B1203" t="s">
        <v>1556</v>
      </c>
      <c r="C1203" t="s">
        <v>133</v>
      </c>
      <c r="D1203" t="str">
        <f t="shared" si="40"/>
        <v/>
      </c>
      <c r="E1203" t="str">
        <f t="shared" si="41"/>
        <v>uncle john's band</v>
      </c>
      <c r="F1203" t="s">
        <v>7466</v>
      </c>
      <c r="G1203" t="str">
        <f>_xlfn.IFNA(VLOOKUP(F1203,songs!$B$1:$C$1539, 2, FALSE),"")</f>
        <v>Uncle John's Band</v>
      </c>
      <c r="H1203" t="s">
        <v>133</v>
      </c>
    </row>
    <row r="1204" spans="1:8" x14ac:dyDescent="0.25">
      <c r="A1204">
        <v>1203</v>
      </c>
      <c r="B1204" t="s">
        <v>1557</v>
      </c>
      <c r="C1204" t="s">
        <v>148</v>
      </c>
      <c r="D1204" t="str">
        <f t="shared" si="40"/>
        <v/>
      </c>
      <c r="E1204" t="str">
        <f t="shared" si="41"/>
        <v>johnny b. goode</v>
      </c>
      <c r="F1204" t="s">
        <v>6192</v>
      </c>
      <c r="G1204" t="str">
        <f>_xlfn.IFNA(VLOOKUP(F1204,songs!$B$1:$C$1539, 2, FALSE),"")</f>
        <v>Johnny B. Goode</v>
      </c>
      <c r="H1204" t="s">
        <v>148</v>
      </c>
    </row>
    <row r="1205" spans="1:8" x14ac:dyDescent="0.25">
      <c r="A1205">
        <v>1204</v>
      </c>
      <c r="B1205" t="s">
        <v>1558</v>
      </c>
      <c r="C1205" t="s">
        <v>130</v>
      </c>
      <c r="D1205" t="str">
        <f t="shared" si="40"/>
        <v/>
      </c>
      <c r="E1205" t="str">
        <f t="shared" si="41"/>
        <v>promised land</v>
      </c>
      <c r="F1205" t="s">
        <v>6797</v>
      </c>
      <c r="G1205" t="str">
        <f>_xlfn.IFNA(VLOOKUP(F1205,songs!$B$1:$C$1539, 2, FALSE),"")</f>
        <v>Promised Land</v>
      </c>
      <c r="H1205" t="s">
        <v>130</v>
      </c>
    </row>
    <row r="1206" spans="1:8" x14ac:dyDescent="0.25">
      <c r="A1206">
        <v>1205</v>
      </c>
      <c r="B1206" t="s">
        <v>1559</v>
      </c>
      <c r="C1206" t="s">
        <v>156</v>
      </c>
      <c r="D1206" t="str">
        <f t="shared" ref="D1206:D1269" si="42">IF(RIGHT(TRIM(C1206),2)="-&gt;","&gt;",IF(RIGHT(TRIM(C1206),1)="&gt;","&gt;",""))</f>
        <v/>
      </c>
      <c r="E1206" t="str">
        <f t="shared" si="41"/>
        <v>they love each other</v>
      </c>
      <c r="F1206" t="s">
        <v>7358</v>
      </c>
      <c r="G1206" t="str">
        <f>_xlfn.IFNA(VLOOKUP(F1206,songs!$B$1:$C$1539, 2, FALSE),"")</f>
        <v>They Love Each Other</v>
      </c>
      <c r="H1206" t="s">
        <v>156</v>
      </c>
    </row>
    <row r="1207" spans="1:8" x14ac:dyDescent="0.25">
      <c r="A1207">
        <v>1206</v>
      </c>
      <c r="B1207" t="s">
        <v>1560</v>
      </c>
      <c r="C1207" t="s">
        <v>903</v>
      </c>
      <c r="D1207" t="str">
        <f t="shared" si="42"/>
        <v/>
      </c>
      <c r="E1207" t="str">
        <f t="shared" si="41"/>
        <v>me and my uncle</v>
      </c>
      <c r="F1207" t="s">
        <v>6486</v>
      </c>
      <c r="G1207" t="str">
        <f>_xlfn.IFNA(VLOOKUP(F1207,songs!$B$1:$C$1539, 2, FALSE),"")</f>
        <v>Me And My Uncle</v>
      </c>
      <c r="H1207" t="s">
        <v>903</v>
      </c>
    </row>
    <row r="1208" spans="1:8" x14ac:dyDescent="0.25">
      <c r="A1208">
        <v>1207</v>
      </c>
      <c r="B1208" t="s">
        <v>1561</v>
      </c>
      <c r="C1208" t="s">
        <v>3</v>
      </c>
      <c r="D1208" t="str">
        <f t="shared" si="42"/>
        <v/>
      </c>
      <c r="E1208" t="str">
        <f t="shared" si="41"/>
        <v>big river</v>
      </c>
      <c r="F1208" t="s">
        <v>5175</v>
      </c>
      <c r="G1208" t="str">
        <f>_xlfn.IFNA(VLOOKUP(F1208,songs!$B$1:$C$1539, 2, FALSE),"")</f>
        <v>Big River</v>
      </c>
      <c r="H1208" t="s">
        <v>3</v>
      </c>
    </row>
    <row r="1209" spans="1:8" x14ac:dyDescent="0.25">
      <c r="A1209">
        <v>1208</v>
      </c>
      <c r="B1209" t="s">
        <v>1562</v>
      </c>
      <c r="C1209" t="s">
        <v>641</v>
      </c>
      <c r="D1209" t="str">
        <f t="shared" si="42"/>
        <v/>
      </c>
      <c r="E1209" t="str">
        <f t="shared" si="41"/>
        <v>candyman</v>
      </c>
      <c r="F1209" t="s">
        <v>5278</v>
      </c>
      <c r="G1209" t="str">
        <f>_xlfn.IFNA(VLOOKUP(F1209,songs!$B$1:$C$1539, 2, FALSE),"")</f>
        <v>Candyman</v>
      </c>
      <c r="H1209" t="s">
        <v>641</v>
      </c>
    </row>
    <row r="1210" spans="1:8" x14ac:dyDescent="0.25">
      <c r="A1210">
        <v>1209</v>
      </c>
      <c r="B1210" t="s">
        <v>1563</v>
      </c>
      <c r="C1210" t="s">
        <v>126</v>
      </c>
      <c r="D1210" t="str">
        <f t="shared" si="42"/>
        <v/>
      </c>
      <c r="E1210" t="str">
        <f t="shared" si="41"/>
        <v>looks like rain</v>
      </c>
      <c r="F1210" t="s">
        <v>6398</v>
      </c>
      <c r="G1210" t="str">
        <f>_xlfn.IFNA(VLOOKUP(F1210,songs!$B$1:$C$1539, 2, FALSE),"")</f>
        <v>Looks Like Rain</v>
      </c>
      <c r="H1210" t="s">
        <v>126</v>
      </c>
    </row>
    <row r="1211" spans="1:8" x14ac:dyDescent="0.25">
      <c r="A1211">
        <v>1210</v>
      </c>
      <c r="B1211" t="s">
        <v>1564</v>
      </c>
      <c r="C1211" t="s">
        <v>436</v>
      </c>
      <c r="D1211" t="str">
        <f t="shared" si="42"/>
        <v/>
      </c>
      <c r="E1211" t="str">
        <f t="shared" si="41"/>
        <v>ramble on rose</v>
      </c>
      <c r="F1211" t="s">
        <v>6827</v>
      </c>
      <c r="G1211" t="str">
        <f>_xlfn.IFNA(VLOOKUP(F1211,songs!$B$1:$C$1539, 2, FALSE),"")</f>
        <v>Ramble On Rose</v>
      </c>
      <c r="H1211" t="s">
        <v>436</v>
      </c>
    </row>
    <row r="1212" spans="1:8" x14ac:dyDescent="0.25">
      <c r="A1212">
        <v>1211</v>
      </c>
      <c r="B1212" t="s">
        <v>1565</v>
      </c>
      <c r="C1212" t="s">
        <v>170</v>
      </c>
      <c r="D1212" t="str">
        <f t="shared" si="42"/>
        <v/>
      </c>
      <c r="E1212" t="str">
        <f t="shared" si="41"/>
        <v>scarlet begonias</v>
      </c>
      <c r="F1212" t="s">
        <v>6944</v>
      </c>
      <c r="G1212" t="str">
        <f>_xlfn.IFNA(VLOOKUP(F1212,songs!$B$1:$C$1539, 2, FALSE),"")</f>
        <v>Scarlet Begonias</v>
      </c>
      <c r="H1212" t="s">
        <v>170</v>
      </c>
    </row>
    <row r="1213" spans="1:8" x14ac:dyDescent="0.25">
      <c r="A1213">
        <v>1212</v>
      </c>
      <c r="B1213" t="s">
        <v>1566</v>
      </c>
      <c r="C1213" t="s">
        <v>573</v>
      </c>
      <c r="D1213" t="str">
        <f t="shared" si="42"/>
        <v/>
      </c>
      <c r="E1213" t="str">
        <f t="shared" si="41"/>
        <v>fire on the mountain</v>
      </c>
      <c r="F1213" t="s">
        <v>5675</v>
      </c>
      <c r="G1213" t="str">
        <f>_xlfn.IFNA(VLOOKUP(F1213,songs!$B$1:$C$1539, 2, FALSE),"")</f>
        <v>Fire On The Mountain</v>
      </c>
      <c r="H1213" t="s">
        <v>573</v>
      </c>
    </row>
    <row r="1214" spans="1:8" x14ac:dyDescent="0.25">
      <c r="A1214">
        <v>1213</v>
      </c>
      <c r="B1214" t="s">
        <v>1567</v>
      </c>
      <c r="C1214" t="s">
        <v>75</v>
      </c>
      <c r="D1214" t="str">
        <f t="shared" si="42"/>
        <v/>
      </c>
      <c r="E1214" t="str">
        <f t="shared" si="41"/>
        <v>terrapin station</v>
      </c>
      <c r="F1214" t="s">
        <v>7237</v>
      </c>
      <c r="G1214" t="str">
        <f>_xlfn.IFNA(VLOOKUP(F1214,songs!$B$1:$C$1539, 2, FALSE),"")</f>
        <v>Terrapin Station</v>
      </c>
      <c r="H1214" t="s">
        <v>75</v>
      </c>
    </row>
    <row r="1215" spans="1:8" x14ac:dyDescent="0.25">
      <c r="A1215">
        <v>1214</v>
      </c>
      <c r="B1215" t="s">
        <v>1568</v>
      </c>
      <c r="C1215" t="s">
        <v>298</v>
      </c>
      <c r="D1215" t="str">
        <f t="shared" si="42"/>
        <v/>
      </c>
      <c r="E1215" t="str">
        <f t="shared" si="41"/>
        <v>bertha</v>
      </c>
      <c r="F1215" t="s">
        <v>5158</v>
      </c>
      <c r="G1215" t="str">
        <f>_xlfn.IFNA(VLOOKUP(F1215,songs!$B$1:$C$1539, 2, FALSE),"")</f>
        <v>Bertha</v>
      </c>
      <c r="H1215" t="s">
        <v>298</v>
      </c>
    </row>
    <row r="1216" spans="1:8" x14ac:dyDescent="0.25">
      <c r="A1216">
        <v>1215</v>
      </c>
      <c r="B1216" t="s">
        <v>1569</v>
      </c>
      <c r="C1216" t="s">
        <v>242</v>
      </c>
      <c r="D1216" t="str">
        <f t="shared" si="42"/>
        <v/>
      </c>
      <c r="E1216" t="str">
        <f t="shared" si="41"/>
        <v>good lovin'</v>
      </c>
      <c r="F1216" t="s">
        <v>5810</v>
      </c>
      <c r="G1216" t="str">
        <f>_xlfn.IFNA(VLOOKUP(F1216,songs!$B$1:$C$1539, 2, FALSE),"")</f>
        <v>Good Lovin'</v>
      </c>
      <c r="H1216" t="s">
        <v>242</v>
      </c>
    </row>
    <row r="1217" spans="1:8" x14ac:dyDescent="0.25">
      <c r="A1217">
        <v>1278</v>
      </c>
      <c r="B1217" t="s">
        <v>1635</v>
      </c>
      <c r="C1217" t="s">
        <v>102</v>
      </c>
      <c r="D1217" t="str">
        <f t="shared" si="42"/>
        <v/>
      </c>
      <c r="E1217" t="str">
        <f t="shared" si="41"/>
        <v>me &amp; my uncle</v>
      </c>
      <c r="F1217" t="s">
        <v>6486</v>
      </c>
      <c r="G1217" t="str">
        <f>_xlfn.IFNA(VLOOKUP(F1217,songs!$B$1:$C$1539, 2, FALSE),"")</f>
        <v>Me And My Uncle</v>
      </c>
      <c r="H1217" t="s">
        <v>7867</v>
      </c>
    </row>
    <row r="1218" spans="1:8" x14ac:dyDescent="0.25">
      <c r="A1218">
        <v>1217</v>
      </c>
      <c r="B1218" t="s">
        <v>1571</v>
      </c>
      <c r="C1218" t="s">
        <v>262</v>
      </c>
      <c r="D1218" t="str">
        <f t="shared" si="42"/>
        <v/>
      </c>
      <c r="E1218" t="str">
        <f t="shared" si="41"/>
        <v>cassidy</v>
      </c>
      <c r="F1218" t="s">
        <v>5291</v>
      </c>
      <c r="G1218" t="str">
        <f>_xlfn.IFNA(VLOOKUP(F1218,songs!$B$1:$C$1539, 2, FALSE),"")</f>
        <v>Cassidy</v>
      </c>
      <c r="H1218" t="s">
        <v>262</v>
      </c>
    </row>
    <row r="1219" spans="1:8" x14ac:dyDescent="0.25">
      <c r="A1219">
        <v>1218</v>
      </c>
      <c r="B1219" t="s">
        <v>1572</v>
      </c>
      <c r="C1219" t="s">
        <v>1057</v>
      </c>
      <c r="D1219" t="str">
        <f t="shared" si="42"/>
        <v/>
      </c>
      <c r="E1219" t="str">
        <f t="shared" si="41"/>
        <v>it must have been the roses</v>
      </c>
      <c r="F1219" t="s">
        <v>6128</v>
      </c>
      <c r="G1219" t="str">
        <f>_xlfn.IFNA(VLOOKUP(F1219,songs!$B$1:$C$1539, 2, FALSE),"")</f>
        <v>It Must Have Been The Roses</v>
      </c>
      <c r="H1219" t="s">
        <v>1057</v>
      </c>
    </row>
    <row r="1220" spans="1:8" x14ac:dyDescent="0.25">
      <c r="A1220">
        <v>1219</v>
      </c>
      <c r="B1220" t="s">
        <v>1573</v>
      </c>
      <c r="C1220" t="s">
        <v>67</v>
      </c>
      <c r="D1220" t="str">
        <f t="shared" si="42"/>
        <v/>
      </c>
      <c r="E1220" t="str">
        <f t="shared" ref="E1220:E1283" si="43">LOWER(TRIM(SUBSTITUTE(IF(RIGHT(TRIM(C1220),2)="-&gt;",LEFT(TRIM(C1220),LEN(TRIM(C1220))-2),IF(RIGHT(TRIM(C1220),1)="&gt;",LEFT(TRIM(C1220),LEN(TRIM(C1220))-1),C1220)),"//","")))</f>
        <v>sunrise</v>
      </c>
      <c r="F1220" t="s">
        <v>7156</v>
      </c>
      <c r="G1220" t="str">
        <f>_xlfn.IFNA(VLOOKUP(F1220,songs!$B$1:$C$1539, 2, FALSE),"")</f>
        <v>Sunrise</v>
      </c>
      <c r="H1220" t="s">
        <v>67</v>
      </c>
    </row>
    <row r="1221" spans="1:8" x14ac:dyDescent="0.25">
      <c r="A1221">
        <v>1282</v>
      </c>
      <c r="B1221" t="s">
        <v>1639</v>
      </c>
      <c r="C1221" t="s">
        <v>1028</v>
      </c>
      <c r="D1221" t="str">
        <f t="shared" si="42"/>
        <v/>
      </c>
      <c r="E1221" t="str">
        <f t="shared" si="43"/>
        <v>the stranger (two souls in communion)</v>
      </c>
      <c r="F1221" t="s">
        <v>7460</v>
      </c>
      <c r="G1221" t="str">
        <f>_xlfn.IFNA(VLOOKUP(F1221,songs!$B$1:$C$1539, 2, FALSE),"")</f>
        <v>Two Souls In Communion</v>
      </c>
      <c r="H1221" t="s">
        <v>7867</v>
      </c>
    </row>
    <row r="1222" spans="1:8" x14ac:dyDescent="0.25">
      <c r="A1222">
        <v>1221</v>
      </c>
      <c r="B1222" t="s">
        <v>1575</v>
      </c>
      <c r="C1222" t="s">
        <v>556</v>
      </c>
      <c r="D1222" t="str">
        <f t="shared" si="42"/>
        <v/>
      </c>
      <c r="E1222" t="str">
        <f t="shared" si="43"/>
        <v>dupree's diamond blues</v>
      </c>
      <c r="F1222" t="s">
        <v>5573</v>
      </c>
      <c r="G1222" t="str">
        <f>_xlfn.IFNA(VLOOKUP(F1222,songs!$B$1:$C$1539, 2, FALSE),"")</f>
        <v>Dupree's Diamond Blues</v>
      </c>
      <c r="H1222" t="s">
        <v>556</v>
      </c>
    </row>
    <row r="1223" spans="1:8" x14ac:dyDescent="0.25">
      <c r="A1223">
        <v>1222</v>
      </c>
      <c r="B1223" t="s">
        <v>1576</v>
      </c>
      <c r="C1223" t="s">
        <v>389</v>
      </c>
      <c r="D1223" t="str">
        <f t="shared" si="42"/>
        <v/>
      </c>
      <c r="E1223" t="str">
        <f t="shared" si="43"/>
        <v>let it grow</v>
      </c>
      <c r="F1223" t="s">
        <v>6308</v>
      </c>
      <c r="G1223" t="str">
        <f>_xlfn.IFNA(VLOOKUP(F1223,songs!$B$1:$C$1539, 2, FALSE),"")</f>
        <v>Let It Grow</v>
      </c>
      <c r="H1223" t="s">
        <v>389</v>
      </c>
    </row>
    <row r="1224" spans="1:8" x14ac:dyDescent="0.25">
      <c r="A1224">
        <v>1284</v>
      </c>
      <c r="B1224" t="s">
        <v>1641</v>
      </c>
      <c r="C1224" t="s">
        <v>44</v>
      </c>
      <c r="D1224" t="str">
        <f t="shared" si="42"/>
        <v/>
      </c>
      <c r="E1224" t="str">
        <f t="shared" si="43"/>
        <v>goin' down the road feeling bad</v>
      </c>
      <c r="F1224" t="s">
        <v>5783</v>
      </c>
      <c r="G1224" t="str">
        <f>_xlfn.IFNA(VLOOKUP(F1224,songs!$B$1:$C$1539, 2, FALSE),"")</f>
        <v>Goin' Down The Road Feelin' Bad</v>
      </c>
      <c r="H1224" t="s">
        <v>7867</v>
      </c>
    </row>
    <row r="1225" spans="1:8" x14ac:dyDescent="0.25">
      <c r="A1225">
        <v>1224</v>
      </c>
      <c r="B1225" t="s">
        <v>1579</v>
      </c>
      <c r="C1225" t="s">
        <v>266</v>
      </c>
      <c r="D1225" t="str">
        <f t="shared" si="42"/>
        <v/>
      </c>
      <c r="E1225" t="str">
        <f t="shared" si="43"/>
        <v>samson and delilah</v>
      </c>
      <c r="F1225" t="s">
        <v>6925</v>
      </c>
      <c r="G1225" t="str">
        <f>_xlfn.IFNA(VLOOKUP(F1225,songs!$B$1:$C$1539, 2, FALSE),"")</f>
        <v>Samson And Delilah</v>
      </c>
      <c r="H1225" t="s">
        <v>266</v>
      </c>
    </row>
    <row r="1226" spans="1:8" x14ac:dyDescent="0.25">
      <c r="A1226">
        <v>1225</v>
      </c>
      <c r="B1226" t="s">
        <v>1580</v>
      </c>
      <c r="C1226" t="s">
        <v>429</v>
      </c>
      <c r="D1226" t="str">
        <f t="shared" si="42"/>
        <v/>
      </c>
      <c r="E1226" t="str">
        <f t="shared" si="43"/>
        <v>cold rain and snow</v>
      </c>
      <c r="F1226" t="s">
        <v>5347</v>
      </c>
      <c r="G1226" t="str">
        <f>_xlfn.IFNA(VLOOKUP(F1226,songs!$B$1:$C$1539, 2, FALSE),"")</f>
        <v>Cold Rain And Snow</v>
      </c>
      <c r="H1226" t="s">
        <v>429</v>
      </c>
    </row>
    <row r="1227" spans="1:8" x14ac:dyDescent="0.25">
      <c r="A1227">
        <v>1226</v>
      </c>
      <c r="B1227" t="s">
        <v>1581</v>
      </c>
      <c r="C1227" t="s">
        <v>419</v>
      </c>
      <c r="D1227" t="str">
        <f t="shared" si="42"/>
        <v/>
      </c>
      <c r="E1227" t="str">
        <f t="shared" si="43"/>
        <v>playing in the band</v>
      </c>
      <c r="F1227" t="s">
        <v>6769</v>
      </c>
      <c r="G1227" t="str">
        <f>_xlfn.IFNA(VLOOKUP(F1227,songs!$B$1:$C$1539, 2, FALSE),"")</f>
        <v>Playing In The Band</v>
      </c>
      <c r="H1227" t="s">
        <v>419</v>
      </c>
    </row>
    <row r="1228" spans="1:8" x14ac:dyDescent="0.25">
      <c r="A1228">
        <v>1227</v>
      </c>
      <c r="B1228" t="s">
        <v>1582</v>
      </c>
      <c r="C1228" t="s">
        <v>471</v>
      </c>
      <c r="D1228" t="str">
        <f t="shared" si="42"/>
        <v/>
      </c>
      <c r="E1228" t="str">
        <f t="shared" si="43"/>
        <v>eyes of the world</v>
      </c>
      <c r="F1228" t="s">
        <v>5633</v>
      </c>
      <c r="G1228" t="str">
        <f>_xlfn.IFNA(VLOOKUP(F1228,songs!$B$1:$C$1539, 2, FALSE),"")</f>
        <v>Eyes Of The World</v>
      </c>
      <c r="H1228" t="s">
        <v>471</v>
      </c>
    </row>
    <row r="1229" spans="1:8" x14ac:dyDescent="0.25">
      <c r="A1229">
        <v>1228</v>
      </c>
      <c r="B1229" t="s">
        <v>1583</v>
      </c>
      <c r="C1229" t="s">
        <v>69</v>
      </c>
      <c r="D1229" t="str">
        <f t="shared" si="42"/>
        <v/>
      </c>
      <c r="E1229" t="str">
        <f t="shared" si="43"/>
        <v>estimated prophet</v>
      </c>
      <c r="F1229" t="s">
        <v>5612</v>
      </c>
      <c r="G1229" t="str">
        <f>_xlfn.IFNA(VLOOKUP(F1229,songs!$B$1:$C$1539, 2, FALSE),"")</f>
        <v>Estimated Prophet</v>
      </c>
      <c r="H1229" t="s">
        <v>69</v>
      </c>
    </row>
    <row r="1230" spans="1:8" x14ac:dyDescent="0.25">
      <c r="A1230">
        <v>1229</v>
      </c>
      <c r="B1230" t="s">
        <v>1584</v>
      </c>
      <c r="C1230" t="s">
        <v>139</v>
      </c>
      <c r="D1230" t="str">
        <f t="shared" si="42"/>
        <v/>
      </c>
      <c r="E1230" t="str">
        <f t="shared" si="43"/>
        <v>the other one</v>
      </c>
      <c r="F1230" t="s">
        <v>7325</v>
      </c>
      <c r="G1230" t="str">
        <f>_xlfn.IFNA(VLOOKUP(F1230,songs!$B$1:$C$1539, 2, FALSE),"")</f>
        <v>The Other One</v>
      </c>
      <c r="H1230" t="s">
        <v>139</v>
      </c>
    </row>
    <row r="1231" spans="1:8" x14ac:dyDescent="0.25">
      <c r="A1231">
        <v>1230</v>
      </c>
      <c r="B1231" t="s">
        <v>1585</v>
      </c>
      <c r="C1231" t="s">
        <v>100</v>
      </c>
      <c r="D1231" t="str">
        <f t="shared" si="42"/>
        <v/>
      </c>
      <c r="E1231" t="str">
        <f t="shared" si="43"/>
        <v>drums</v>
      </c>
      <c r="F1231" t="s">
        <v>5568</v>
      </c>
      <c r="G1231" t="str">
        <f>_xlfn.IFNA(VLOOKUP(F1231,songs!$B$1:$C$1539, 2, FALSE),"")</f>
        <v>Drums</v>
      </c>
      <c r="H1231" t="s">
        <v>100</v>
      </c>
    </row>
    <row r="1232" spans="1:8" x14ac:dyDescent="0.25">
      <c r="A1232">
        <v>1231</v>
      </c>
      <c r="B1232" t="s">
        <v>1586</v>
      </c>
      <c r="C1232" t="s">
        <v>268</v>
      </c>
      <c r="D1232" t="str">
        <f t="shared" si="42"/>
        <v/>
      </c>
      <c r="E1232" t="str">
        <f t="shared" si="43"/>
        <v>iko iko</v>
      </c>
      <c r="F1232" t="s">
        <v>6063</v>
      </c>
      <c r="G1232" t="str">
        <f>_xlfn.IFNA(VLOOKUP(F1232,songs!$B$1:$C$1539, 2, FALSE),"")</f>
        <v>Iko Iko</v>
      </c>
      <c r="H1232" t="s">
        <v>268</v>
      </c>
    </row>
    <row r="1233" spans="1:8" x14ac:dyDescent="0.25">
      <c r="A1233">
        <v>1232</v>
      </c>
      <c r="B1233" t="s">
        <v>1587</v>
      </c>
      <c r="C1233" t="s">
        <v>24</v>
      </c>
      <c r="D1233" t="str">
        <f t="shared" si="42"/>
        <v/>
      </c>
      <c r="E1233" t="str">
        <f t="shared" si="43"/>
        <v>stella blue</v>
      </c>
      <c r="F1233" t="s">
        <v>7123</v>
      </c>
      <c r="G1233" t="str">
        <f>_xlfn.IFNA(VLOOKUP(F1233,songs!$B$1:$C$1539, 2, FALSE),"")</f>
        <v>Stella Blue</v>
      </c>
      <c r="H1233" t="s">
        <v>24</v>
      </c>
    </row>
    <row r="1234" spans="1:8" x14ac:dyDescent="0.25">
      <c r="A1234">
        <v>1233</v>
      </c>
      <c r="B1234" t="s">
        <v>1588</v>
      </c>
      <c r="C1234" t="s">
        <v>419</v>
      </c>
      <c r="D1234" t="str">
        <f t="shared" si="42"/>
        <v/>
      </c>
      <c r="E1234" t="str">
        <f t="shared" si="43"/>
        <v>playing in the band</v>
      </c>
      <c r="F1234" t="s">
        <v>6769</v>
      </c>
      <c r="G1234" t="str">
        <f>_xlfn.IFNA(VLOOKUP(F1234,songs!$B$1:$C$1539, 2, FALSE),"")</f>
        <v>Playing In The Band</v>
      </c>
      <c r="H1234" t="s">
        <v>419</v>
      </c>
    </row>
    <row r="1235" spans="1:8" x14ac:dyDescent="0.25">
      <c r="A1235">
        <v>1234</v>
      </c>
      <c r="B1235" t="s">
        <v>1589</v>
      </c>
      <c r="C1235" t="s">
        <v>148</v>
      </c>
      <c r="D1235" t="str">
        <f t="shared" si="42"/>
        <v/>
      </c>
      <c r="E1235" t="str">
        <f t="shared" si="43"/>
        <v>johnny b. goode</v>
      </c>
      <c r="F1235" t="s">
        <v>6192</v>
      </c>
      <c r="G1235" t="str">
        <f>_xlfn.IFNA(VLOOKUP(F1235,songs!$B$1:$C$1539, 2, FALSE),"")</f>
        <v>Johnny B. Goode</v>
      </c>
      <c r="H1235" t="s">
        <v>148</v>
      </c>
    </row>
    <row r="1236" spans="1:8" x14ac:dyDescent="0.25">
      <c r="A1236">
        <v>1235</v>
      </c>
      <c r="B1236" t="s">
        <v>1590</v>
      </c>
      <c r="C1236" t="s">
        <v>183</v>
      </c>
      <c r="D1236" t="str">
        <f t="shared" si="42"/>
        <v/>
      </c>
      <c r="E1236" t="str">
        <f t="shared" si="43"/>
        <v>u.s. blues</v>
      </c>
      <c r="F1236" t="s">
        <v>7464</v>
      </c>
      <c r="G1236" t="str">
        <f>_xlfn.IFNA(VLOOKUP(F1236,songs!$B$1:$C$1539, 2, FALSE),"")</f>
        <v>U.S. Blues</v>
      </c>
      <c r="H1236" t="s">
        <v>183</v>
      </c>
    </row>
    <row r="1237" spans="1:8" x14ac:dyDescent="0.25">
      <c r="A1237">
        <v>1236</v>
      </c>
      <c r="B1237" t="s">
        <v>1591</v>
      </c>
      <c r="C1237" t="s">
        <v>186</v>
      </c>
      <c r="D1237" t="str">
        <f t="shared" si="42"/>
        <v/>
      </c>
      <c r="E1237" t="str">
        <f t="shared" si="43"/>
        <v>mexicali blues</v>
      </c>
      <c r="F1237" t="s">
        <v>6499</v>
      </c>
      <c r="G1237" t="str">
        <f>_xlfn.IFNA(VLOOKUP(F1237,songs!$B$1:$C$1539, 2, FALSE),"")</f>
        <v>Mexicali Blues</v>
      </c>
      <c r="H1237" t="s">
        <v>186</v>
      </c>
    </row>
    <row r="1238" spans="1:8" x14ac:dyDescent="0.25">
      <c r="A1238">
        <v>1293</v>
      </c>
      <c r="B1238" t="s">
        <v>1650</v>
      </c>
      <c r="C1238" t="s">
        <v>122</v>
      </c>
      <c r="D1238" t="str">
        <f t="shared" si="42"/>
        <v/>
      </c>
      <c r="E1238" t="str">
        <f t="shared" si="43"/>
        <v>new minglewood blues</v>
      </c>
      <c r="F1238" t="s">
        <v>7869</v>
      </c>
      <c r="G1238" t="str">
        <f>_xlfn.IFNA(VLOOKUP(F1238,songs!$B$1:$C$1539, 2, FALSE),"")</f>
        <v>Minglewood Blues</v>
      </c>
      <c r="H1238" t="s">
        <v>7867</v>
      </c>
    </row>
    <row r="1239" spans="1:8" x14ac:dyDescent="0.25">
      <c r="A1239">
        <v>1238</v>
      </c>
      <c r="B1239" t="s">
        <v>1593</v>
      </c>
      <c r="C1239" t="s">
        <v>1594</v>
      </c>
      <c r="D1239" t="str">
        <f t="shared" si="42"/>
        <v/>
      </c>
      <c r="E1239" t="str">
        <f t="shared" si="43"/>
        <v>beat it on down the line</v>
      </c>
      <c r="F1239" t="s">
        <v>5149</v>
      </c>
      <c r="G1239" t="str">
        <f>_xlfn.IFNA(VLOOKUP(F1239,songs!$B$1:$C$1539, 2, FALSE),"")</f>
        <v>Beat It On Down The Line</v>
      </c>
      <c r="H1239" t="s">
        <v>431</v>
      </c>
    </row>
    <row r="1240" spans="1:8" x14ac:dyDescent="0.25">
      <c r="A1240">
        <v>1239</v>
      </c>
      <c r="B1240" t="s">
        <v>1595</v>
      </c>
      <c r="C1240" t="s">
        <v>641</v>
      </c>
      <c r="D1240" t="str">
        <f t="shared" si="42"/>
        <v/>
      </c>
      <c r="E1240" t="str">
        <f t="shared" si="43"/>
        <v>candyman</v>
      </c>
      <c r="F1240" t="s">
        <v>5278</v>
      </c>
      <c r="G1240" t="str">
        <f>_xlfn.IFNA(VLOOKUP(F1240,songs!$B$1:$C$1539, 2, FALSE),"")</f>
        <v>Candyman</v>
      </c>
      <c r="H1240" t="s">
        <v>641</v>
      </c>
    </row>
    <row r="1241" spans="1:8" x14ac:dyDescent="0.25">
      <c r="A1241">
        <v>1240</v>
      </c>
      <c r="B1241" t="s">
        <v>1596</v>
      </c>
      <c r="C1241" t="s">
        <v>199</v>
      </c>
      <c r="D1241" t="str">
        <f t="shared" si="42"/>
        <v/>
      </c>
      <c r="E1241" t="str">
        <f t="shared" si="43"/>
        <v>jack straw</v>
      </c>
      <c r="F1241" t="s">
        <v>6161</v>
      </c>
      <c r="G1241" t="str">
        <f>_xlfn.IFNA(VLOOKUP(F1241,songs!$B$1:$C$1539, 2, FALSE),"")</f>
        <v>Jack Straw</v>
      </c>
      <c r="H1241" t="s">
        <v>199</v>
      </c>
    </row>
    <row r="1242" spans="1:8" x14ac:dyDescent="0.25">
      <c r="A1242">
        <v>1241</v>
      </c>
      <c r="B1242" t="s">
        <v>1597</v>
      </c>
      <c r="C1242" t="s">
        <v>84</v>
      </c>
      <c r="D1242" t="str">
        <f t="shared" si="42"/>
        <v/>
      </c>
      <c r="E1242" t="str">
        <f t="shared" si="43"/>
        <v>china cat sunflower</v>
      </c>
      <c r="F1242" t="s">
        <v>5319</v>
      </c>
      <c r="G1242" t="str">
        <f>_xlfn.IFNA(VLOOKUP(F1242,songs!$B$1:$C$1539, 2, FALSE),"")</f>
        <v>China Cat Sunflower</v>
      </c>
      <c r="H1242" t="s">
        <v>84</v>
      </c>
    </row>
    <row r="1243" spans="1:8" x14ac:dyDescent="0.25">
      <c r="A1243">
        <v>1242</v>
      </c>
      <c r="B1243" t="s">
        <v>1598</v>
      </c>
      <c r="C1243" t="s">
        <v>86</v>
      </c>
      <c r="D1243" t="str">
        <f t="shared" si="42"/>
        <v/>
      </c>
      <c r="E1243" t="str">
        <f t="shared" si="43"/>
        <v>i know you rider</v>
      </c>
      <c r="F1243" t="s">
        <v>6020</v>
      </c>
      <c r="G1243" t="str">
        <f>_xlfn.IFNA(VLOOKUP(F1243,songs!$B$1:$C$1539, 2, FALSE),"")</f>
        <v>I Know You Rider</v>
      </c>
      <c r="H1243" t="s">
        <v>86</v>
      </c>
    </row>
    <row r="1244" spans="1:8" x14ac:dyDescent="0.25">
      <c r="A1244">
        <v>1243</v>
      </c>
      <c r="B1244" t="s">
        <v>1599</v>
      </c>
      <c r="C1244" t="s">
        <v>327</v>
      </c>
      <c r="D1244" t="str">
        <f t="shared" si="42"/>
        <v/>
      </c>
      <c r="E1244" t="str">
        <f t="shared" si="43"/>
        <v>el paso</v>
      </c>
      <c r="F1244" t="s">
        <v>5600</v>
      </c>
      <c r="G1244" t="str">
        <f>_xlfn.IFNA(VLOOKUP(F1244,songs!$B$1:$C$1539, 2, FALSE),"")</f>
        <v>El Paso</v>
      </c>
      <c r="H1244" t="s">
        <v>327</v>
      </c>
    </row>
    <row r="1245" spans="1:8" x14ac:dyDescent="0.25">
      <c r="A1245">
        <v>1244</v>
      </c>
      <c r="B1245" t="s">
        <v>1600</v>
      </c>
      <c r="C1245" t="s">
        <v>291</v>
      </c>
      <c r="D1245" t="str">
        <f t="shared" si="42"/>
        <v/>
      </c>
      <c r="E1245" t="str">
        <f t="shared" si="43"/>
        <v>loser</v>
      </c>
      <c r="F1245" t="s">
        <v>6400</v>
      </c>
      <c r="G1245" t="str">
        <f>_xlfn.IFNA(VLOOKUP(F1245,songs!$B$1:$C$1539, 2, FALSE),"")</f>
        <v>Loser</v>
      </c>
      <c r="H1245" t="s">
        <v>291</v>
      </c>
    </row>
    <row r="1246" spans="1:8" x14ac:dyDescent="0.25">
      <c r="A1246">
        <v>1245</v>
      </c>
      <c r="B1246" t="s">
        <v>1601</v>
      </c>
      <c r="C1246" t="s">
        <v>11</v>
      </c>
      <c r="D1246" t="str">
        <f t="shared" si="42"/>
        <v/>
      </c>
      <c r="E1246" t="str">
        <f t="shared" si="43"/>
        <v>playing in the band</v>
      </c>
      <c r="F1246" t="s">
        <v>6769</v>
      </c>
      <c r="G1246" t="str">
        <f>_xlfn.IFNA(VLOOKUP(F1246,songs!$B$1:$C$1539, 2, FALSE),"")</f>
        <v>Playing In The Band</v>
      </c>
      <c r="H1246" t="s">
        <v>419</v>
      </c>
    </row>
    <row r="1247" spans="1:8" x14ac:dyDescent="0.25">
      <c r="A1247">
        <v>1246</v>
      </c>
      <c r="B1247" t="s">
        <v>1602</v>
      </c>
      <c r="C1247" t="s">
        <v>225</v>
      </c>
      <c r="D1247" t="str">
        <f t="shared" si="42"/>
        <v/>
      </c>
      <c r="E1247" t="str">
        <f t="shared" si="43"/>
        <v>cumberland blues</v>
      </c>
      <c r="F1247" t="s">
        <v>5411</v>
      </c>
      <c r="G1247" t="str">
        <f>_xlfn.IFNA(VLOOKUP(F1247,songs!$B$1:$C$1539, 2, FALSE),"")</f>
        <v>Cumberland Blues</v>
      </c>
      <c r="H1247" t="s">
        <v>225</v>
      </c>
    </row>
    <row r="1248" spans="1:8" x14ac:dyDescent="0.25">
      <c r="A1248">
        <v>1247</v>
      </c>
      <c r="B1248" t="s">
        <v>1603</v>
      </c>
      <c r="C1248" t="s">
        <v>1463</v>
      </c>
      <c r="D1248" t="str">
        <f t="shared" si="42"/>
        <v/>
      </c>
      <c r="E1248" t="str">
        <f t="shared" si="43"/>
        <v>it must have been the roses</v>
      </c>
      <c r="F1248" t="s">
        <v>6128</v>
      </c>
      <c r="G1248" t="str">
        <f>_xlfn.IFNA(VLOOKUP(F1248,songs!$B$1:$C$1539, 2, FALSE),"")</f>
        <v>It Must Have Been The Roses</v>
      </c>
      <c r="H1248" t="s">
        <v>1057</v>
      </c>
    </row>
    <row r="1249" spans="1:8" x14ac:dyDescent="0.25">
      <c r="A1249">
        <v>1248</v>
      </c>
      <c r="B1249" t="s">
        <v>1604</v>
      </c>
      <c r="C1249" t="s">
        <v>3</v>
      </c>
      <c r="D1249" t="str">
        <f t="shared" si="42"/>
        <v/>
      </c>
      <c r="E1249" t="str">
        <f t="shared" si="43"/>
        <v>big river</v>
      </c>
      <c r="F1249" t="s">
        <v>5175</v>
      </c>
      <c r="G1249" t="str">
        <f>_xlfn.IFNA(VLOOKUP(F1249,songs!$B$1:$C$1539, 2, FALSE),"")</f>
        <v>Big River</v>
      </c>
      <c r="H1249" t="s">
        <v>3</v>
      </c>
    </row>
    <row r="1250" spans="1:8" x14ac:dyDescent="0.25">
      <c r="A1250">
        <v>1249</v>
      </c>
      <c r="B1250" t="s">
        <v>1605</v>
      </c>
      <c r="C1250" t="s">
        <v>298</v>
      </c>
      <c r="D1250" t="str">
        <f t="shared" si="42"/>
        <v/>
      </c>
      <c r="E1250" t="str">
        <f t="shared" si="43"/>
        <v>bertha</v>
      </c>
      <c r="F1250" t="s">
        <v>5158</v>
      </c>
      <c r="G1250" t="str">
        <f>_xlfn.IFNA(VLOOKUP(F1250,songs!$B$1:$C$1539, 2, FALSE),"")</f>
        <v>Bertha</v>
      </c>
      <c r="H1250" t="s">
        <v>298</v>
      </c>
    </row>
    <row r="1251" spans="1:8" x14ac:dyDescent="0.25">
      <c r="A1251">
        <v>1300</v>
      </c>
      <c r="B1251" t="s">
        <v>1657</v>
      </c>
      <c r="C1251" t="s">
        <v>1177</v>
      </c>
      <c r="D1251" t="str">
        <f t="shared" si="42"/>
        <v/>
      </c>
      <c r="E1251" t="str">
        <f t="shared" si="43"/>
        <v>rhythm devils</v>
      </c>
      <c r="F1251" t="s">
        <v>7833</v>
      </c>
      <c r="G1251" t="s">
        <v>1177</v>
      </c>
      <c r="H1251" t="s">
        <v>7867</v>
      </c>
    </row>
    <row r="1252" spans="1:8" x14ac:dyDescent="0.25">
      <c r="A1252">
        <v>1251</v>
      </c>
      <c r="B1252" t="s">
        <v>1607</v>
      </c>
      <c r="C1252" t="s">
        <v>188</v>
      </c>
      <c r="D1252" t="str">
        <f t="shared" si="42"/>
        <v/>
      </c>
      <c r="E1252" t="str">
        <f t="shared" si="43"/>
        <v>row jimmy</v>
      </c>
      <c r="F1252" t="s">
        <v>6893</v>
      </c>
      <c r="G1252" t="str">
        <f>_xlfn.IFNA(VLOOKUP(F1252,songs!$B$1:$C$1539, 2, FALSE),"")</f>
        <v>Row Jimmy</v>
      </c>
      <c r="H1252" t="s">
        <v>188</v>
      </c>
    </row>
    <row r="1253" spans="1:8" x14ac:dyDescent="0.25">
      <c r="A1253">
        <v>1252</v>
      </c>
      <c r="B1253" t="s">
        <v>1608</v>
      </c>
      <c r="C1253" t="s">
        <v>377</v>
      </c>
      <c r="D1253" t="str">
        <f t="shared" si="42"/>
        <v/>
      </c>
      <c r="E1253" t="str">
        <f t="shared" si="43"/>
        <v>ship of fools</v>
      </c>
      <c r="F1253" t="s">
        <v>6999</v>
      </c>
      <c r="G1253" t="str">
        <f>_xlfn.IFNA(VLOOKUP(F1253,songs!$B$1:$C$1539, 2, FALSE),"")</f>
        <v>Ship Of Fools</v>
      </c>
      <c r="H1253" t="s">
        <v>866</v>
      </c>
    </row>
    <row r="1254" spans="1:8" x14ac:dyDescent="0.25">
      <c r="A1254">
        <v>1253</v>
      </c>
      <c r="B1254" t="s">
        <v>1609</v>
      </c>
      <c r="C1254" t="s">
        <v>130</v>
      </c>
      <c r="D1254" t="str">
        <f t="shared" si="42"/>
        <v/>
      </c>
      <c r="E1254" t="str">
        <f t="shared" si="43"/>
        <v>promised land</v>
      </c>
      <c r="F1254" t="s">
        <v>6797</v>
      </c>
      <c r="G1254" t="str">
        <f>_xlfn.IFNA(VLOOKUP(F1254,songs!$B$1:$C$1539, 2, FALSE),"")</f>
        <v>Promised Land</v>
      </c>
      <c r="H1254" t="s">
        <v>130</v>
      </c>
    </row>
    <row r="1255" spans="1:8" x14ac:dyDescent="0.25">
      <c r="A1255">
        <v>1254</v>
      </c>
      <c r="B1255" t="s">
        <v>1610</v>
      </c>
      <c r="C1255" t="s">
        <v>92</v>
      </c>
      <c r="D1255" t="str">
        <f t="shared" si="42"/>
        <v/>
      </c>
      <c r="E1255" t="str">
        <f t="shared" si="43"/>
        <v>dark star</v>
      </c>
      <c r="F1255" t="s">
        <v>5428</v>
      </c>
      <c r="G1255" t="str">
        <f>_xlfn.IFNA(VLOOKUP(F1255,songs!$B$1:$C$1539, 2, FALSE),"")</f>
        <v>Dark Star</v>
      </c>
      <c r="H1255" t="s">
        <v>92</v>
      </c>
    </row>
    <row r="1256" spans="1:8" x14ac:dyDescent="0.25">
      <c r="A1256">
        <v>1255</v>
      </c>
      <c r="B1256" t="s">
        <v>1611</v>
      </c>
      <c r="C1256" t="s">
        <v>212</v>
      </c>
      <c r="D1256" t="str">
        <f t="shared" si="42"/>
        <v/>
      </c>
      <c r="E1256" t="str">
        <f t="shared" si="43"/>
        <v>morning dew</v>
      </c>
      <c r="F1256" t="s">
        <v>6555</v>
      </c>
      <c r="G1256" t="str">
        <f>_xlfn.IFNA(VLOOKUP(F1256,songs!$B$1:$C$1539, 2, FALSE),"")</f>
        <v>Morning Dew</v>
      </c>
      <c r="H1256" t="s">
        <v>212</v>
      </c>
    </row>
    <row r="1257" spans="1:8" x14ac:dyDescent="0.25">
      <c r="A1257">
        <v>1256</v>
      </c>
      <c r="B1257" t="s">
        <v>1612</v>
      </c>
      <c r="C1257" t="s">
        <v>30</v>
      </c>
      <c r="D1257" t="str">
        <f t="shared" si="42"/>
        <v/>
      </c>
      <c r="E1257" t="str">
        <f t="shared" si="43"/>
        <v>sugar magnolia</v>
      </c>
      <c r="F1257" t="s">
        <v>7150</v>
      </c>
      <c r="G1257" t="str">
        <f>_xlfn.IFNA(VLOOKUP(F1257,songs!$B$1:$C$1539, 2, FALSE),"")</f>
        <v>Sugar Magnolia</v>
      </c>
      <c r="H1257" t="s">
        <v>30</v>
      </c>
    </row>
    <row r="1258" spans="1:8" x14ac:dyDescent="0.25">
      <c r="A1258">
        <v>1257</v>
      </c>
      <c r="B1258" t="s">
        <v>1613</v>
      </c>
      <c r="C1258" t="s">
        <v>34</v>
      </c>
      <c r="D1258" t="str">
        <f t="shared" si="42"/>
        <v/>
      </c>
      <c r="E1258" t="str">
        <f t="shared" si="43"/>
        <v>not fade away</v>
      </c>
      <c r="F1258" t="s">
        <v>6651</v>
      </c>
      <c r="G1258" t="str">
        <f>_xlfn.IFNA(VLOOKUP(F1258,songs!$B$1:$C$1539, 2, FALSE),"")</f>
        <v>Not Fade Away</v>
      </c>
      <c r="H1258" t="s">
        <v>34</v>
      </c>
    </row>
    <row r="1259" spans="1:8" x14ac:dyDescent="0.25">
      <c r="A1259">
        <v>1317</v>
      </c>
      <c r="B1259" t="s">
        <v>1676</v>
      </c>
      <c r="C1259" t="s">
        <v>615</v>
      </c>
      <c r="D1259" t="str">
        <f t="shared" si="42"/>
        <v/>
      </c>
      <c r="E1259" t="str">
        <f t="shared" si="43"/>
        <v>brown-eyed women</v>
      </c>
      <c r="F1259" t="s">
        <v>5255</v>
      </c>
      <c r="G1259" t="str">
        <f>_xlfn.IFNA(VLOOKUP(F1259,songs!$B$1:$C$1539, 2, FALSE),"")</f>
        <v>Brown Eyed Women</v>
      </c>
      <c r="H1259" t="s">
        <v>7867</v>
      </c>
    </row>
    <row r="1260" spans="1:8" x14ac:dyDescent="0.25">
      <c r="A1260">
        <v>1259</v>
      </c>
      <c r="B1260" t="s">
        <v>1615</v>
      </c>
      <c r="C1260" t="s">
        <v>34</v>
      </c>
      <c r="D1260" t="str">
        <f t="shared" si="42"/>
        <v/>
      </c>
      <c r="E1260" t="str">
        <f t="shared" si="43"/>
        <v>not fade away</v>
      </c>
      <c r="F1260" t="s">
        <v>6651</v>
      </c>
      <c r="G1260" t="str">
        <f>_xlfn.IFNA(VLOOKUP(F1260,songs!$B$1:$C$1539, 2, FALSE),"")</f>
        <v>Not Fade Away</v>
      </c>
      <c r="H1260" t="s">
        <v>34</v>
      </c>
    </row>
    <row r="1261" spans="1:8" x14ac:dyDescent="0.25">
      <c r="A1261">
        <v>1260</v>
      </c>
      <c r="B1261" t="s">
        <v>1616</v>
      </c>
      <c r="C1261" t="s">
        <v>1617</v>
      </c>
      <c r="D1261" t="str">
        <f t="shared" si="42"/>
        <v/>
      </c>
      <c r="E1261" t="str">
        <f t="shared" si="43"/>
        <v>it's all over now, baby blue</v>
      </c>
      <c r="F1261" t="s">
        <v>6136</v>
      </c>
      <c r="G1261" t="str">
        <f>_xlfn.IFNA(VLOOKUP(F1261,songs!$B$1:$C$1539, 2, FALSE),"")</f>
        <v>It's All Over Now, Baby Blue</v>
      </c>
      <c r="H1261" t="s">
        <v>1617</v>
      </c>
    </row>
    <row r="1262" spans="1:8" x14ac:dyDescent="0.25">
      <c r="A1262">
        <v>1261</v>
      </c>
      <c r="B1262" t="s">
        <v>1618</v>
      </c>
      <c r="C1262" t="s">
        <v>154</v>
      </c>
      <c r="D1262" t="str">
        <f t="shared" si="42"/>
        <v/>
      </c>
      <c r="E1262" t="str">
        <f t="shared" si="43"/>
        <v>greatest story ever told</v>
      </c>
      <c r="F1262" t="s">
        <v>5826</v>
      </c>
      <c r="G1262" t="str">
        <f>_xlfn.IFNA(VLOOKUP(F1262,songs!$B$1:$C$1539, 2, FALSE),"")</f>
        <v>Greatest Story Ever Told</v>
      </c>
      <c r="H1262" t="s">
        <v>154</v>
      </c>
    </row>
    <row r="1263" spans="1:8" x14ac:dyDescent="0.25">
      <c r="A1263">
        <v>1262</v>
      </c>
      <c r="B1263" t="s">
        <v>1619</v>
      </c>
      <c r="C1263" t="s">
        <v>429</v>
      </c>
      <c r="D1263" t="str">
        <f t="shared" si="42"/>
        <v/>
      </c>
      <c r="E1263" t="str">
        <f t="shared" si="43"/>
        <v>cold rain and snow</v>
      </c>
      <c r="F1263" t="s">
        <v>5347</v>
      </c>
      <c r="G1263" t="str">
        <f>_xlfn.IFNA(VLOOKUP(F1263,songs!$B$1:$C$1539, 2, FALSE),"")</f>
        <v>Cold Rain And Snow</v>
      </c>
      <c r="H1263" t="s">
        <v>429</v>
      </c>
    </row>
    <row r="1264" spans="1:8" x14ac:dyDescent="0.25">
      <c r="A1264">
        <v>1263</v>
      </c>
      <c r="B1264" t="s">
        <v>1620</v>
      </c>
      <c r="C1264" t="s">
        <v>1008</v>
      </c>
      <c r="D1264" t="str">
        <f t="shared" si="42"/>
        <v/>
      </c>
      <c r="E1264" t="str">
        <f t="shared" si="43"/>
        <v>chinatown shuffle</v>
      </c>
      <c r="F1264" t="s">
        <v>5321</v>
      </c>
      <c r="G1264" t="str">
        <f>_xlfn.IFNA(VLOOKUP(F1264,songs!$B$1:$C$1539, 2, FALSE),"")</f>
        <v>Chinatown Shuffle</v>
      </c>
      <c r="H1264" t="s">
        <v>1008</v>
      </c>
    </row>
    <row r="1265" spans="1:8" x14ac:dyDescent="0.25">
      <c r="A1265">
        <v>1340</v>
      </c>
      <c r="B1265" t="s">
        <v>1703</v>
      </c>
      <c r="C1265" t="s">
        <v>1051</v>
      </c>
      <c r="D1265" t="str">
        <f t="shared" si="42"/>
        <v/>
      </c>
      <c r="E1265" t="str">
        <f t="shared" si="43"/>
        <v>me &amp; bobby mcgee</v>
      </c>
      <c r="F1265" t="s">
        <v>6483</v>
      </c>
      <c r="G1265" t="str">
        <f>_xlfn.IFNA(VLOOKUP(F1265,songs!$B$1:$C$1539, 2, FALSE),"")</f>
        <v>Me And Bobby McGee</v>
      </c>
      <c r="H1265" t="s">
        <v>7867</v>
      </c>
    </row>
    <row r="1266" spans="1:8" x14ac:dyDescent="0.25">
      <c r="A1266">
        <v>1265</v>
      </c>
      <c r="B1266" t="s">
        <v>1622</v>
      </c>
      <c r="C1266" t="s">
        <v>1011</v>
      </c>
      <c r="D1266" t="str">
        <f t="shared" si="42"/>
        <v/>
      </c>
      <c r="E1266" t="str">
        <f t="shared" si="43"/>
        <v>you win again</v>
      </c>
      <c r="F1266" t="s">
        <v>7793</v>
      </c>
      <c r="G1266" t="str">
        <f>_xlfn.IFNA(VLOOKUP(F1266,songs!$B$1:$C$1539, 2, FALSE),"")</f>
        <v>You Win Again</v>
      </c>
      <c r="H1266" t="s">
        <v>1011</v>
      </c>
    </row>
    <row r="1267" spans="1:8" x14ac:dyDescent="0.25">
      <c r="A1267">
        <v>1266</v>
      </c>
      <c r="B1267" t="s">
        <v>1623</v>
      </c>
      <c r="C1267" t="s">
        <v>1013</v>
      </c>
      <c r="D1267" t="str">
        <f t="shared" si="42"/>
        <v/>
      </c>
      <c r="E1267" t="str">
        <f t="shared" si="43"/>
        <v>mr. charlie</v>
      </c>
      <c r="F1267" t="s">
        <v>6571</v>
      </c>
      <c r="G1267" t="str">
        <f>_xlfn.IFNA(VLOOKUP(F1267,songs!$B$1:$C$1539, 2, FALSE),"")</f>
        <v>Mr. Charlie</v>
      </c>
      <c r="H1267" t="s">
        <v>1013</v>
      </c>
    </row>
    <row r="1268" spans="1:8" x14ac:dyDescent="0.25">
      <c r="A1268">
        <v>1267</v>
      </c>
      <c r="B1268" t="s">
        <v>1624</v>
      </c>
      <c r="C1268" t="s">
        <v>199</v>
      </c>
      <c r="D1268" t="str">
        <f t="shared" si="42"/>
        <v/>
      </c>
      <c r="E1268" t="str">
        <f t="shared" si="43"/>
        <v>jack straw</v>
      </c>
      <c r="F1268" t="s">
        <v>6161</v>
      </c>
      <c r="G1268" t="str">
        <f>_xlfn.IFNA(VLOOKUP(F1268,songs!$B$1:$C$1539, 2, FALSE),"")</f>
        <v>Jack Straw</v>
      </c>
      <c r="H1268" t="s">
        <v>199</v>
      </c>
    </row>
    <row r="1269" spans="1:8" x14ac:dyDescent="0.25">
      <c r="A1269">
        <v>1268</v>
      </c>
      <c r="B1269" t="s">
        <v>1625</v>
      </c>
      <c r="C1269" t="s">
        <v>291</v>
      </c>
      <c r="D1269" t="str">
        <f t="shared" si="42"/>
        <v/>
      </c>
      <c r="E1269" t="str">
        <f t="shared" si="43"/>
        <v>loser</v>
      </c>
      <c r="F1269" t="s">
        <v>6400</v>
      </c>
      <c r="G1269" t="str">
        <f>_xlfn.IFNA(VLOOKUP(F1269,songs!$B$1:$C$1539, 2, FALSE),"")</f>
        <v>Loser</v>
      </c>
      <c r="H1269" t="s">
        <v>291</v>
      </c>
    </row>
    <row r="1270" spans="1:8" x14ac:dyDescent="0.25">
      <c r="A1270">
        <v>1269</v>
      </c>
      <c r="B1270" t="s">
        <v>1626</v>
      </c>
      <c r="C1270" t="s">
        <v>126</v>
      </c>
      <c r="D1270" t="str">
        <f t="shared" ref="D1270:D1333" si="44">IF(RIGHT(TRIM(C1270),2)="-&gt;","&gt;",IF(RIGHT(TRIM(C1270),1)="&gt;","&gt;",""))</f>
        <v/>
      </c>
      <c r="E1270" t="str">
        <f t="shared" si="43"/>
        <v>looks like rain</v>
      </c>
      <c r="F1270" t="s">
        <v>6398</v>
      </c>
      <c r="G1270" t="str">
        <f>_xlfn.IFNA(VLOOKUP(F1270,songs!$B$1:$C$1539, 2, FALSE),"")</f>
        <v>Looks Like Rain</v>
      </c>
      <c r="H1270" t="s">
        <v>126</v>
      </c>
    </row>
    <row r="1271" spans="1:8" x14ac:dyDescent="0.25">
      <c r="A1271">
        <v>1270</v>
      </c>
      <c r="B1271" t="s">
        <v>1627</v>
      </c>
      <c r="C1271" t="s">
        <v>9</v>
      </c>
      <c r="D1271" t="str">
        <f t="shared" si="44"/>
        <v/>
      </c>
      <c r="E1271" t="str">
        <f t="shared" si="43"/>
        <v>big railroad blues</v>
      </c>
      <c r="F1271" t="s">
        <v>5174</v>
      </c>
      <c r="G1271" t="str">
        <f>_xlfn.IFNA(VLOOKUP(F1271,songs!$B$1:$C$1539, 2, FALSE),"")</f>
        <v>Big Railroad Blues</v>
      </c>
      <c r="H1271" t="s">
        <v>9</v>
      </c>
    </row>
    <row r="1272" spans="1:8" x14ac:dyDescent="0.25">
      <c r="A1272">
        <v>1271</v>
      </c>
      <c r="B1272" t="s">
        <v>1628</v>
      </c>
      <c r="C1272" t="s">
        <v>1196</v>
      </c>
      <c r="D1272" t="str">
        <f t="shared" si="44"/>
        <v/>
      </c>
      <c r="E1272" t="str">
        <f t="shared" si="43"/>
        <v>big boss man</v>
      </c>
      <c r="F1272" t="s">
        <v>5163</v>
      </c>
      <c r="G1272" t="str">
        <f>_xlfn.IFNA(VLOOKUP(F1272,songs!$B$1:$C$1539, 2, FALSE),"")</f>
        <v>Big Boss Man</v>
      </c>
      <c r="H1272" t="s">
        <v>1196</v>
      </c>
    </row>
    <row r="1273" spans="1:8" x14ac:dyDescent="0.25">
      <c r="A1273">
        <v>1272</v>
      </c>
      <c r="B1273" t="s">
        <v>1629</v>
      </c>
      <c r="C1273" t="s">
        <v>419</v>
      </c>
      <c r="D1273" t="str">
        <f t="shared" si="44"/>
        <v/>
      </c>
      <c r="E1273" t="str">
        <f t="shared" si="43"/>
        <v>playing in the band</v>
      </c>
      <c r="F1273" t="s">
        <v>6769</v>
      </c>
      <c r="G1273" t="str">
        <f>_xlfn.IFNA(VLOOKUP(F1273,songs!$B$1:$C$1539, 2, FALSE),"")</f>
        <v>Playing In The Band</v>
      </c>
      <c r="H1273" t="s">
        <v>419</v>
      </c>
    </row>
    <row r="1274" spans="1:8" x14ac:dyDescent="0.25">
      <c r="A1274">
        <v>1273</v>
      </c>
      <c r="B1274" t="s">
        <v>1630</v>
      </c>
      <c r="C1274" t="s">
        <v>327</v>
      </c>
      <c r="D1274" t="str">
        <f t="shared" si="44"/>
        <v/>
      </c>
      <c r="E1274" t="str">
        <f t="shared" si="43"/>
        <v>el paso</v>
      </c>
      <c r="F1274" t="s">
        <v>5600</v>
      </c>
      <c r="G1274" t="str">
        <f>_xlfn.IFNA(VLOOKUP(F1274,songs!$B$1:$C$1539, 2, FALSE),"")</f>
        <v>El Paso</v>
      </c>
      <c r="H1274" t="s">
        <v>327</v>
      </c>
    </row>
    <row r="1275" spans="1:8" x14ac:dyDescent="0.25">
      <c r="A1275">
        <v>1274</v>
      </c>
      <c r="B1275" t="s">
        <v>1631</v>
      </c>
      <c r="C1275" t="s">
        <v>242</v>
      </c>
      <c r="D1275" t="str">
        <f t="shared" si="44"/>
        <v/>
      </c>
      <c r="E1275" t="str">
        <f t="shared" si="43"/>
        <v>good lovin'</v>
      </c>
      <c r="F1275" t="s">
        <v>5810</v>
      </c>
      <c r="G1275" t="str">
        <f>_xlfn.IFNA(VLOOKUP(F1275,songs!$B$1:$C$1539, 2, FALSE),"")</f>
        <v>Good Lovin'</v>
      </c>
      <c r="H1275" t="s">
        <v>242</v>
      </c>
    </row>
    <row r="1276" spans="1:8" x14ac:dyDescent="0.25">
      <c r="A1276">
        <v>1275</v>
      </c>
      <c r="B1276" t="s">
        <v>1632</v>
      </c>
      <c r="C1276" t="s">
        <v>15</v>
      </c>
      <c r="D1276" t="str">
        <f t="shared" si="44"/>
        <v/>
      </c>
      <c r="E1276" t="str">
        <f t="shared" si="43"/>
        <v>truckin'</v>
      </c>
      <c r="F1276" t="s">
        <v>7436</v>
      </c>
      <c r="G1276" t="str">
        <f>_xlfn.IFNA(VLOOKUP(F1276,songs!$B$1:$C$1539, 2, FALSE),"")</f>
        <v>Truckin'</v>
      </c>
      <c r="H1276" t="s">
        <v>15</v>
      </c>
    </row>
    <row r="1277" spans="1:8" x14ac:dyDescent="0.25">
      <c r="A1277">
        <v>1276</v>
      </c>
      <c r="B1277" t="s">
        <v>1633</v>
      </c>
      <c r="C1277" t="s">
        <v>100</v>
      </c>
      <c r="D1277" t="str">
        <f t="shared" si="44"/>
        <v/>
      </c>
      <c r="E1277" t="str">
        <f t="shared" si="43"/>
        <v>drums</v>
      </c>
      <c r="F1277" t="s">
        <v>5568</v>
      </c>
      <c r="G1277" t="str">
        <f>_xlfn.IFNA(VLOOKUP(F1277,songs!$B$1:$C$1539, 2, FALSE),"")</f>
        <v>Drums</v>
      </c>
      <c r="H1277" t="s">
        <v>100</v>
      </c>
    </row>
    <row r="1278" spans="1:8" x14ac:dyDescent="0.25">
      <c r="A1278">
        <v>1277</v>
      </c>
      <c r="B1278" t="s">
        <v>1634</v>
      </c>
      <c r="C1278" t="s">
        <v>139</v>
      </c>
      <c r="D1278" t="str">
        <f t="shared" si="44"/>
        <v/>
      </c>
      <c r="E1278" t="str">
        <f t="shared" si="43"/>
        <v>the other one</v>
      </c>
      <c r="F1278" t="s">
        <v>7325</v>
      </c>
      <c r="G1278" t="str">
        <f>_xlfn.IFNA(VLOOKUP(F1278,songs!$B$1:$C$1539, 2, FALSE),"")</f>
        <v>The Other One</v>
      </c>
      <c r="H1278" t="s">
        <v>139</v>
      </c>
    </row>
    <row r="1279" spans="1:8" x14ac:dyDescent="0.25">
      <c r="A1279">
        <v>1346</v>
      </c>
      <c r="B1279" t="s">
        <v>1709</v>
      </c>
      <c r="C1279" t="s">
        <v>615</v>
      </c>
      <c r="D1279" t="str">
        <f t="shared" si="44"/>
        <v/>
      </c>
      <c r="E1279" t="str">
        <f t="shared" si="43"/>
        <v>brown-eyed women</v>
      </c>
      <c r="F1279" t="s">
        <v>5255</v>
      </c>
      <c r="G1279" t="str">
        <f>_xlfn.IFNA(VLOOKUP(F1279,songs!$B$1:$C$1539, 2, FALSE),"")</f>
        <v>Brown Eyed Women</v>
      </c>
      <c r="H1279" t="s">
        <v>7867</v>
      </c>
    </row>
    <row r="1280" spans="1:8" x14ac:dyDescent="0.25">
      <c r="A1280">
        <v>1279</v>
      </c>
      <c r="B1280" t="s">
        <v>1636</v>
      </c>
      <c r="C1280" t="s">
        <v>139</v>
      </c>
      <c r="D1280" t="str">
        <f t="shared" si="44"/>
        <v/>
      </c>
      <c r="E1280" t="str">
        <f t="shared" si="43"/>
        <v>the other one</v>
      </c>
      <c r="F1280" t="s">
        <v>7325</v>
      </c>
      <c r="G1280" t="str">
        <f>_xlfn.IFNA(VLOOKUP(F1280,songs!$B$1:$C$1539, 2, FALSE),"")</f>
        <v>The Other One</v>
      </c>
      <c r="H1280" t="s">
        <v>139</v>
      </c>
    </row>
    <row r="1281" spans="1:8" x14ac:dyDescent="0.25">
      <c r="A1281">
        <v>1280</v>
      </c>
      <c r="B1281" t="s">
        <v>1637</v>
      </c>
      <c r="C1281" t="s">
        <v>73</v>
      </c>
      <c r="D1281" t="str">
        <f t="shared" si="44"/>
        <v/>
      </c>
      <c r="E1281" t="str">
        <f t="shared" si="43"/>
        <v>wharf rat</v>
      </c>
      <c r="F1281" t="s">
        <v>7664</v>
      </c>
      <c r="G1281" t="str">
        <f>_xlfn.IFNA(VLOOKUP(F1281,songs!$B$1:$C$1539, 2, FALSE),"")</f>
        <v>Wharf Rat</v>
      </c>
      <c r="H1281" t="s">
        <v>73</v>
      </c>
    </row>
    <row r="1282" spans="1:8" x14ac:dyDescent="0.25">
      <c r="A1282">
        <v>1281</v>
      </c>
      <c r="B1282" t="s">
        <v>1638</v>
      </c>
      <c r="C1282" t="s">
        <v>30</v>
      </c>
      <c r="D1282" t="str">
        <f t="shared" si="44"/>
        <v/>
      </c>
      <c r="E1282" t="str">
        <f t="shared" si="43"/>
        <v>sugar magnolia</v>
      </c>
      <c r="F1282" t="s">
        <v>7150</v>
      </c>
      <c r="G1282" t="str">
        <f>_xlfn.IFNA(VLOOKUP(F1282,songs!$B$1:$C$1539, 2, FALSE),"")</f>
        <v>Sugar Magnolia</v>
      </c>
      <c r="H1282" t="s">
        <v>30</v>
      </c>
    </row>
    <row r="1283" spans="1:8" x14ac:dyDescent="0.25">
      <c r="A1283">
        <v>1347</v>
      </c>
      <c r="B1283" t="s">
        <v>1710</v>
      </c>
      <c r="C1283" t="s">
        <v>102</v>
      </c>
      <c r="D1283" t="str">
        <f t="shared" si="44"/>
        <v/>
      </c>
      <c r="E1283" t="str">
        <f t="shared" si="43"/>
        <v>me &amp; my uncle</v>
      </c>
      <c r="F1283" t="s">
        <v>6486</v>
      </c>
      <c r="G1283" t="str">
        <f>_xlfn.IFNA(VLOOKUP(F1283,songs!$B$1:$C$1539, 2, FALSE),"")</f>
        <v>Me And My Uncle</v>
      </c>
      <c r="H1283" t="s">
        <v>7867</v>
      </c>
    </row>
    <row r="1284" spans="1:8" x14ac:dyDescent="0.25">
      <c r="A1284">
        <v>1283</v>
      </c>
      <c r="B1284" t="s">
        <v>1640</v>
      </c>
      <c r="C1284" t="s">
        <v>34</v>
      </c>
      <c r="D1284" t="str">
        <f t="shared" si="44"/>
        <v/>
      </c>
      <c r="E1284" t="str">
        <f t="shared" ref="E1284:E1347" si="45">LOWER(TRIM(SUBSTITUTE(IF(RIGHT(TRIM(C1284),2)="-&gt;",LEFT(TRIM(C1284),LEN(TRIM(C1284))-2),IF(RIGHT(TRIM(C1284),1)="&gt;",LEFT(TRIM(C1284),LEN(TRIM(C1284))-1),C1284)),"//","")))</f>
        <v>not fade away</v>
      </c>
      <c r="F1284" t="s">
        <v>6651</v>
      </c>
      <c r="G1284" t="str">
        <f>_xlfn.IFNA(VLOOKUP(F1284,songs!$B$1:$C$1539, 2, FALSE),"")</f>
        <v>Not Fade Away</v>
      </c>
      <c r="H1284" t="s">
        <v>34</v>
      </c>
    </row>
    <row r="1285" spans="1:8" x14ac:dyDescent="0.25">
      <c r="A1285">
        <v>1352</v>
      </c>
      <c r="B1285" t="s">
        <v>1715</v>
      </c>
      <c r="C1285" t="s">
        <v>7</v>
      </c>
      <c r="D1285" t="str">
        <f t="shared" si="44"/>
        <v/>
      </c>
      <c r="E1285" t="str">
        <f t="shared" si="45"/>
        <v>weather report suite</v>
      </c>
      <c r="F1285" t="s">
        <v>7658</v>
      </c>
      <c r="G1285" t="str">
        <f>_xlfn.IFNA(VLOOKUP(F1285,songs!$B$1:$C$1539, 2, FALSE),"")</f>
        <v>Weather Report Suite Prelude &gt; Weather Report Suite Part 1</v>
      </c>
      <c r="H1285" t="s">
        <v>7867</v>
      </c>
    </row>
    <row r="1286" spans="1:8" x14ac:dyDescent="0.25">
      <c r="A1286">
        <v>1285</v>
      </c>
      <c r="B1286" t="s">
        <v>1642</v>
      </c>
      <c r="C1286" t="s">
        <v>34</v>
      </c>
      <c r="D1286" t="str">
        <f t="shared" si="44"/>
        <v/>
      </c>
      <c r="E1286" t="str">
        <f t="shared" si="45"/>
        <v>not fade away</v>
      </c>
      <c r="F1286" t="s">
        <v>6651</v>
      </c>
      <c r="G1286" t="str">
        <f>_xlfn.IFNA(VLOOKUP(F1286,songs!$B$1:$C$1539, 2, FALSE),"")</f>
        <v>Not Fade Away</v>
      </c>
      <c r="H1286" t="s">
        <v>34</v>
      </c>
    </row>
    <row r="1287" spans="1:8" x14ac:dyDescent="0.25">
      <c r="A1287">
        <v>1286</v>
      </c>
      <c r="B1287" t="s">
        <v>1643</v>
      </c>
      <c r="C1287" t="s">
        <v>298</v>
      </c>
      <c r="D1287" t="str">
        <f t="shared" si="44"/>
        <v/>
      </c>
      <c r="E1287" t="str">
        <f t="shared" si="45"/>
        <v>bertha</v>
      </c>
      <c r="F1287" t="s">
        <v>5158</v>
      </c>
      <c r="G1287" t="str">
        <f>_xlfn.IFNA(VLOOKUP(F1287,songs!$B$1:$C$1539, 2, FALSE),"")</f>
        <v>Bertha</v>
      </c>
      <c r="H1287" t="s">
        <v>298</v>
      </c>
    </row>
    <row r="1288" spans="1:8" x14ac:dyDescent="0.25">
      <c r="A1288">
        <v>1287</v>
      </c>
      <c r="B1288" t="s">
        <v>1644</v>
      </c>
      <c r="C1288" t="s">
        <v>242</v>
      </c>
      <c r="D1288" t="str">
        <f t="shared" si="44"/>
        <v/>
      </c>
      <c r="E1288" t="str">
        <f t="shared" si="45"/>
        <v>good lovin'</v>
      </c>
      <c r="F1288" t="s">
        <v>5810</v>
      </c>
      <c r="G1288" t="str">
        <f>_xlfn.IFNA(VLOOKUP(F1288,songs!$B$1:$C$1539, 2, FALSE),"")</f>
        <v>Good Lovin'</v>
      </c>
      <c r="H1288" t="s">
        <v>242</v>
      </c>
    </row>
    <row r="1289" spans="1:8" x14ac:dyDescent="0.25">
      <c r="A1289">
        <v>1288</v>
      </c>
      <c r="B1289" t="s">
        <v>1645</v>
      </c>
      <c r="C1289" t="s">
        <v>641</v>
      </c>
      <c r="D1289" t="str">
        <f t="shared" si="44"/>
        <v/>
      </c>
      <c r="E1289" t="str">
        <f t="shared" si="45"/>
        <v>candyman</v>
      </c>
      <c r="F1289" t="s">
        <v>5278</v>
      </c>
      <c r="G1289" t="str">
        <f>_xlfn.IFNA(VLOOKUP(F1289,songs!$B$1:$C$1539, 2, FALSE),"")</f>
        <v>Candyman</v>
      </c>
      <c r="H1289" t="s">
        <v>641</v>
      </c>
    </row>
    <row r="1290" spans="1:8" x14ac:dyDescent="0.25">
      <c r="A1290">
        <v>1289</v>
      </c>
      <c r="B1290" t="s">
        <v>1646</v>
      </c>
      <c r="C1290" t="s">
        <v>126</v>
      </c>
      <c r="D1290" t="str">
        <f t="shared" si="44"/>
        <v/>
      </c>
      <c r="E1290" t="str">
        <f t="shared" si="45"/>
        <v>looks like rain</v>
      </c>
      <c r="F1290" t="s">
        <v>6398</v>
      </c>
      <c r="G1290" t="str">
        <f>_xlfn.IFNA(VLOOKUP(F1290,songs!$B$1:$C$1539, 2, FALSE),"")</f>
        <v>Looks Like Rain</v>
      </c>
      <c r="H1290" t="s">
        <v>126</v>
      </c>
    </row>
    <row r="1291" spans="1:8" x14ac:dyDescent="0.25">
      <c r="A1291">
        <v>1290</v>
      </c>
      <c r="B1291" t="s">
        <v>1647</v>
      </c>
      <c r="C1291" t="s">
        <v>164</v>
      </c>
      <c r="D1291" t="str">
        <f t="shared" si="44"/>
        <v/>
      </c>
      <c r="E1291" t="str">
        <f t="shared" si="45"/>
        <v>tennessee jed</v>
      </c>
      <c r="F1291" t="s">
        <v>7234</v>
      </c>
      <c r="G1291" t="str">
        <f>_xlfn.IFNA(VLOOKUP(F1291,songs!$B$1:$C$1539, 2, FALSE),"")</f>
        <v>Tennessee Jed</v>
      </c>
      <c r="H1291" t="s">
        <v>164</v>
      </c>
    </row>
    <row r="1292" spans="1:8" x14ac:dyDescent="0.25">
      <c r="A1292">
        <v>1291</v>
      </c>
      <c r="B1292" t="s">
        <v>1648</v>
      </c>
      <c r="C1292" t="s">
        <v>199</v>
      </c>
      <c r="D1292" t="str">
        <f t="shared" si="44"/>
        <v/>
      </c>
      <c r="E1292" t="str">
        <f t="shared" si="45"/>
        <v>jack straw</v>
      </c>
      <c r="F1292" t="s">
        <v>6161</v>
      </c>
      <c r="G1292" t="str">
        <f>_xlfn.IFNA(VLOOKUP(F1292,songs!$B$1:$C$1539, 2, FALSE),"")</f>
        <v>Jack Straw</v>
      </c>
      <c r="H1292" t="s">
        <v>199</v>
      </c>
    </row>
    <row r="1293" spans="1:8" x14ac:dyDescent="0.25">
      <c r="A1293">
        <v>1292</v>
      </c>
      <c r="B1293" t="s">
        <v>1649</v>
      </c>
      <c r="C1293" t="s">
        <v>461</v>
      </c>
      <c r="D1293" t="str">
        <f t="shared" si="44"/>
        <v/>
      </c>
      <c r="E1293" t="str">
        <f t="shared" si="45"/>
        <v>peggy-o</v>
      </c>
      <c r="F1293" t="s">
        <v>6749</v>
      </c>
      <c r="G1293" t="str">
        <f>_xlfn.IFNA(VLOOKUP(F1293,songs!$B$1:$C$1539, 2, FALSE),"")</f>
        <v>Peggy-O</v>
      </c>
      <c r="H1293" t="s">
        <v>461</v>
      </c>
    </row>
    <row r="1294" spans="1:8" x14ac:dyDescent="0.25">
      <c r="A1294">
        <v>1361</v>
      </c>
      <c r="B1294" t="s">
        <v>1724</v>
      </c>
      <c r="C1294" t="s">
        <v>122</v>
      </c>
      <c r="D1294" t="str">
        <f t="shared" si="44"/>
        <v/>
      </c>
      <c r="E1294" t="str">
        <f t="shared" si="45"/>
        <v>new minglewood blues</v>
      </c>
      <c r="F1294" t="s">
        <v>7869</v>
      </c>
      <c r="G1294" t="str">
        <f>_xlfn.IFNA(VLOOKUP(F1294,songs!$B$1:$C$1539, 2, FALSE),"")</f>
        <v>Minglewood Blues</v>
      </c>
      <c r="H1294" t="s">
        <v>7867</v>
      </c>
    </row>
    <row r="1295" spans="1:8" x14ac:dyDescent="0.25">
      <c r="A1295">
        <v>1294</v>
      </c>
      <c r="B1295" t="s">
        <v>1651</v>
      </c>
      <c r="C1295" t="s">
        <v>264</v>
      </c>
      <c r="D1295" t="str">
        <f t="shared" si="44"/>
        <v/>
      </c>
      <c r="E1295" t="str">
        <f t="shared" si="45"/>
        <v>deal</v>
      </c>
      <c r="F1295" t="s">
        <v>5461</v>
      </c>
      <c r="G1295" t="str">
        <f>_xlfn.IFNA(VLOOKUP(F1295,songs!$B$1:$C$1539, 2, FALSE),"")</f>
        <v>Deal</v>
      </c>
      <c r="H1295" t="s">
        <v>264</v>
      </c>
    </row>
    <row r="1296" spans="1:8" x14ac:dyDescent="0.25">
      <c r="A1296">
        <v>1295</v>
      </c>
      <c r="B1296" t="s">
        <v>1652</v>
      </c>
      <c r="C1296" t="s">
        <v>53</v>
      </c>
      <c r="D1296" t="str">
        <f t="shared" si="44"/>
        <v/>
      </c>
      <c r="E1296" t="str">
        <f t="shared" si="45"/>
        <v>lazy lightning</v>
      </c>
      <c r="F1296" t="s">
        <v>6293</v>
      </c>
      <c r="G1296" t="str">
        <f>_xlfn.IFNA(VLOOKUP(F1296,songs!$B$1:$C$1539, 2, FALSE),"")</f>
        <v>Lazy Lightning</v>
      </c>
      <c r="H1296" t="s">
        <v>53</v>
      </c>
    </row>
    <row r="1297" spans="1:8" x14ac:dyDescent="0.25">
      <c r="A1297">
        <v>1296</v>
      </c>
      <c r="B1297" t="s">
        <v>1653</v>
      </c>
      <c r="C1297" t="s">
        <v>55</v>
      </c>
      <c r="D1297" t="str">
        <f t="shared" si="44"/>
        <v/>
      </c>
      <c r="E1297" t="str">
        <f t="shared" si="45"/>
        <v>supplication</v>
      </c>
      <c r="F1297" t="s">
        <v>7162</v>
      </c>
      <c r="G1297" t="str">
        <f>_xlfn.IFNA(VLOOKUP(F1297,songs!$B$1:$C$1539, 2, FALSE),"")</f>
        <v>Supplication</v>
      </c>
      <c r="H1297" t="s">
        <v>55</v>
      </c>
    </row>
    <row r="1298" spans="1:8" x14ac:dyDescent="0.25">
      <c r="A1298">
        <v>1297</v>
      </c>
      <c r="B1298" t="s">
        <v>1654</v>
      </c>
      <c r="C1298" t="s">
        <v>1463</v>
      </c>
      <c r="D1298" t="str">
        <f t="shared" si="44"/>
        <v/>
      </c>
      <c r="E1298" t="str">
        <f t="shared" si="45"/>
        <v>it must have been the roses</v>
      </c>
      <c r="F1298" t="s">
        <v>6128</v>
      </c>
      <c r="G1298" t="str">
        <f>_xlfn.IFNA(VLOOKUP(F1298,songs!$B$1:$C$1539, 2, FALSE),"")</f>
        <v>It Must Have Been The Roses</v>
      </c>
      <c r="H1298" t="s">
        <v>1057</v>
      </c>
    </row>
    <row r="1299" spans="1:8" x14ac:dyDescent="0.25">
      <c r="A1299">
        <v>1298</v>
      </c>
      <c r="B1299" t="s">
        <v>1655</v>
      </c>
      <c r="C1299" t="s">
        <v>69</v>
      </c>
      <c r="D1299" t="str">
        <f t="shared" si="44"/>
        <v/>
      </c>
      <c r="E1299" t="str">
        <f t="shared" si="45"/>
        <v>estimated prophet</v>
      </c>
      <c r="F1299" t="s">
        <v>5612</v>
      </c>
      <c r="G1299" t="str">
        <f>_xlfn.IFNA(VLOOKUP(F1299,songs!$B$1:$C$1539, 2, FALSE),"")</f>
        <v>Estimated Prophet</v>
      </c>
      <c r="H1299" t="s">
        <v>69</v>
      </c>
    </row>
    <row r="1300" spans="1:8" x14ac:dyDescent="0.25">
      <c r="A1300">
        <v>1299</v>
      </c>
      <c r="B1300" t="s">
        <v>1656</v>
      </c>
      <c r="C1300" t="s">
        <v>71</v>
      </c>
      <c r="D1300" t="str">
        <f t="shared" si="44"/>
        <v/>
      </c>
      <c r="E1300" t="str">
        <f t="shared" si="45"/>
        <v>eyes of the world</v>
      </c>
      <c r="F1300" t="s">
        <v>5633</v>
      </c>
      <c r="G1300" t="str">
        <f>_xlfn.IFNA(VLOOKUP(F1300,songs!$B$1:$C$1539, 2, FALSE),"")</f>
        <v>Eyes Of The World</v>
      </c>
      <c r="H1300" t="s">
        <v>471</v>
      </c>
    </row>
    <row r="1301" spans="1:8" x14ac:dyDescent="0.25">
      <c r="A1301">
        <v>1374</v>
      </c>
      <c r="B1301" t="s">
        <v>1738</v>
      </c>
      <c r="C1301" t="s">
        <v>44</v>
      </c>
      <c r="D1301" t="str">
        <f t="shared" si="44"/>
        <v/>
      </c>
      <c r="E1301" t="str">
        <f t="shared" si="45"/>
        <v>goin' down the road feeling bad</v>
      </c>
      <c r="F1301" t="s">
        <v>5783</v>
      </c>
      <c r="G1301" t="str">
        <f>_xlfn.IFNA(VLOOKUP(F1301,songs!$B$1:$C$1539, 2, FALSE),"")</f>
        <v>Goin' Down The Road Feelin' Bad</v>
      </c>
      <c r="H1301" t="s">
        <v>7867</v>
      </c>
    </row>
    <row r="1302" spans="1:8" x14ac:dyDescent="0.25">
      <c r="A1302">
        <v>1301</v>
      </c>
      <c r="B1302" t="s">
        <v>1658</v>
      </c>
      <c r="C1302" t="s">
        <v>34</v>
      </c>
      <c r="D1302" t="str">
        <f t="shared" si="44"/>
        <v/>
      </c>
      <c r="E1302" t="str">
        <f t="shared" si="45"/>
        <v>not fade away</v>
      </c>
      <c r="F1302" t="s">
        <v>6651</v>
      </c>
      <c r="G1302" t="str">
        <f>_xlfn.IFNA(VLOOKUP(F1302,songs!$B$1:$C$1539, 2, FALSE),"")</f>
        <v>Not Fade Away</v>
      </c>
      <c r="H1302" t="s">
        <v>34</v>
      </c>
    </row>
    <row r="1303" spans="1:8" x14ac:dyDescent="0.25">
      <c r="A1303">
        <v>1302</v>
      </c>
      <c r="B1303" t="s">
        <v>1659</v>
      </c>
      <c r="C1303" t="s">
        <v>73</v>
      </c>
      <c r="D1303" t="str">
        <f t="shared" si="44"/>
        <v/>
      </c>
      <c r="E1303" t="str">
        <f t="shared" si="45"/>
        <v>wharf rat</v>
      </c>
      <c r="F1303" t="s">
        <v>7664</v>
      </c>
      <c r="G1303" t="str">
        <f>_xlfn.IFNA(VLOOKUP(F1303,songs!$B$1:$C$1539, 2, FALSE),"")</f>
        <v>Wharf Rat</v>
      </c>
      <c r="H1303" t="s">
        <v>73</v>
      </c>
    </row>
    <row r="1304" spans="1:8" x14ac:dyDescent="0.25">
      <c r="A1304">
        <v>1303</v>
      </c>
      <c r="B1304" t="s">
        <v>1660</v>
      </c>
      <c r="C1304" t="s">
        <v>30</v>
      </c>
      <c r="D1304" t="str">
        <f t="shared" si="44"/>
        <v/>
      </c>
      <c r="E1304" t="str">
        <f t="shared" si="45"/>
        <v>sugar magnolia</v>
      </c>
      <c r="F1304" t="s">
        <v>7150</v>
      </c>
      <c r="G1304" t="str">
        <f>_xlfn.IFNA(VLOOKUP(F1304,songs!$B$1:$C$1539, 2, FALSE),"")</f>
        <v>Sugar Magnolia</v>
      </c>
      <c r="H1304" t="s">
        <v>30</v>
      </c>
    </row>
    <row r="1305" spans="1:8" x14ac:dyDescent="0.25">
      <c r="A1305">
        <v>1304</v>
      </c>
      <c r="B1305" t="s">
        <v>1661</v>
      </c>
      <c r="C1305" t="s">
        <v>956</v>
      </c>
      <c r="D1305" t="str">
        <f t="shared" si="44"/>
        <v/>
      </c>
      <c r="E1305" t="str">
        <f t="shared" si="45"/>
        <v>one more saturday night</v>
      </c>
      <c r="F1305" t="s">
        <v>6702</v>
      </c>
      <c r="G1305" t="str">
        <f>_xlfn.IFNA(VLOOKUP(F1305,songs!$B$1:$C$1539, 2, FALSE),"")</f>
        <v>One More Saturday Night</v>
      </c>
      <c r="H1305" t="s">
        <v>956</v>
      </c>
    </row>
    <row r="1306" spans="1:8" x14ac:dyDescent="0.25">
      <c r="A1306">
        <v>1305</v>
      </c>
      <c r="B1306" t="s">
        <v>1662</v>
      </c>
      <c r="C1306" t="s">
        <v>225</v>
      </c>
      <c r="D1306" t="str">
        <f t="shared" si="44"/>
        <v/>
      </c>
      <c r="E1306" t="str">
        <f t="shared" si="45"/>
        <v>cumberland blues</v>
      </c>
      <c r="F1306" t="s">
        <v>5411</v>
      </c>
      <c r="G1306" t="str">
        <f>_xlfn.IFNA(VLOOKUP(F1306,songs!$B$1:$C$1539, 2, FALSE),"")</f>
        <v>Cumberland Blues</v>
      </c>
      <c r="H1306" t="s">
        <v>225</v>
      </c>
    </row>
    <row r="1307" spans="1:8" x14ac:dyDescent="0.25">
      <c r="A1307">
        <v>1306</v>
      </c>
      <c r="B1307" t="s">
        <v>1663</v>
      </c>
      <c r="C1307" t="s">
        <v>1</v>
      </c>
      <c r="D1307" t="str">
        <f t="shared" si="44"/>
        <v/>
      </c>
      <c r="E1307" t="str">
        <f t="shared" si="45"/>
        <v>here comes sunshine</v>
      </c>
      <c r="F1307" t="s">
        <v>5898</v>
      </c>
      <c r="G1307" t="str">
        <f>_xlfn.IFNA(VLOOKUP(F1307,songs!$B$1:$C$1539, 2, FALSE),"")</f>
        <v>Here Comes Sunshine</v>
      </c>
      <c r="H1307" t="s">
        <v>1</v>
      </c>
    </row>
    <row r="1308" spans="1:8" x14ac:dyDescent="0.25">
      <c r="A1308">
        <v>1307</v>
      </c>
      <c r="B1308" t="s">
        <v>1664</v>
      </c>
      <c r="C1308" t="s">
        <v>186</v>
      </c>
      <c r="D1308" t="str">
        <f t="shared" si="44"/>
        <v/>
      </c>
      <c r="E1308" t="str">
        <f t="shared" si="45"/>
        <v>mexicali blues</v>
      </c>
      <c r="F1308" t="s">
        <v>6499</v>
      </c>
      <c r="G1308" t="str">
        <f>_xlfn.IFNA(VLOOKUP(F1308,songs!$B$1:$C$1539, 2, FALSE),"")</f>
        <v>Mexicali Blues</v>
      </c>
      <c r="H1308" t="s">
        <v>186</v>
      </c>
    </row>
    <row r="1309" spans="1:8" x14ac:dyDescent="0.25">
      <c r="A1309">
        <v>1308</v>
      </c>
      <c r="B1309" t="s">
        <v>1665</v>
      </c>
      <c r="C1309" t="s">
        <v>1666</v>
      </c>
      <c r="D1309" t="str">
        <f t="shared" si="44"/>
        <v/>
      </c>
      <c r="E1309" t="str">
        <f t="shared" si="45"/>
        <v>wave that flag</v>
      </c>
      <c r="F1309" t="s">
        <v>7645</v>
      </c>
      <c r="G1309" t="str">
        <f>_xlfn.IFNA(VLOOKUP(F1309,songs!$B$1:$C$1539, 2, FALSE),"")</f>
        <v>Wave That Flag</v>
      </c>
      <c r="H1309" t="s">
        <v>1666</v>
      </c>
    </row>
    <row r="1310" spans="1:8" x14ac:dyDescent="0.25">
      <c r="A1310">
        <v>1309</v>
      </c>
      <c r="B1310" t="s">
        <v>1667</v>
      </c>
      <c r="C1310" t="s">
        <v>193</v>
      </c>
      <c r="D1310" t="str">
        <f t="shared" si="44"/>
        <v/>
      </c>
      <c r="E1310" t="str">
        <f t="shared" si="45"/>
        <v>beat it on down the line</v>
      </c>
      <c r="F1310" t="s">
        <v>5149</v>
      </c>
      <c r="G1310" t="str">
        <f>_xlfn.IFNA(VLOOKUP(F1310,songs!$B$1:$C$1539, 2, FALSE),"")</f>
        <v>Beat It On Down The Line</v>
      </c>
      <c r="H1310" t="s">
        <v>431</v>
      </c>
    </row>
    <row r="1311" spans="1:8" x14ac:dyDescent="0.25">
      <c r="A1311">
        <v>1310</v>
      </c>
      <c r="B1311" t="s">
        <v>1668</v>
      </c>
      <c r="C1311" t="s">
        <v>291</v>
      </c>
      <c r="D1311" t="str">
        <f t="shared" si="44"/>
        <v/>
      </c>
      <c r="E1311" t="str">
        <f t="shared" si="45"/>
        <v>loser</v>
      </c>
      <c r="F1311" t="s">
        <v>6400</v>
      </c>
      <c r="G1311" t="str">
        <f>_xlfn.IFNA(VLOOKUP(F1311,songs!$B$1:$C$1539, 2, FALSE),"")</f>
        <v>Loser</v>
      </c>
      <c r="H1311" t="s">
        <v>291</v>
      </c>
    </row>
    <row r="1312" spans="1:8" x14ac:dyDescent="0.25">
      <c r="A1312">
        <v>1311</v>
      </c>
      <c r="B1312" t="s">
        <v>1669</v>
      </c>
      <c r="C1312" t="s">
        <v>199</v>
      </c>
      <c r="D1312" t="str">
        <f t="shared" si="44"/>
        <v/>
      </c>
      <c r="E1312" t="str">
        <f t="shared" si="45"/>
        <v>jack straw</v>
      </c>
      <c r="F1312" t="s">
        <v>6161</v>
      </c>
      <c r="G1312" t="str">
        <f>_xlfn.IFNA(VLOOKUP(F1312,songs!$B$1:$C$1539, 2, FALSE),"")</f>
        <v>Jack Straw</v>
      </c>
      <c r="H1312" t="s">
        <v>199</v>
      </c>
    </row>
    <row r="1313" spans="1:8" x14ac:dyDescent="0.25">
      <c r="A1313">
        <v>1312</v>
      </c>
      <c r="B1313" t="s">
        <v>1670</v>
      </c>
      <c r="C1313" t="s">
        <v>1671</v>
      </c>
      <c r="D1313" t="str">
        <f t="shared" si="44"/>
        <v/>
      </c>
      <c r="E1313" t="str">
        <f t="shared" si="45"/>
        <v>box of rain</v>
      </c>
      <c r="F1313" t="s">
        <v>5237</v>
      </c>
      <c r="G1313" t="str">
        <f>_xlfn.IFNA(VLOOKUP(F1313,songs!$B$1:$C$1539, 2, FALSE),"")</f>
        <v>Box Of Rain</v>
      </c>
      <c r="H1313" t="s">
        <v>915</v>
      </c>
    </row>
    <row r="1314" spans="1:8" x14ac:dyDescent="0.25">
      <c r="A1314">
        <v>1313</v>
      </c>
      <c r="B1314" t="s">
        <v>1672</v>
      </c>
      <c r="C1314" t="s">
        <v>156</v>
      </c>
      <c r="D1314" t="str">
        <f t="shared" si="44"/>
        <v/>
      </c>
      <c r="E1314" t="str">
        <f t="shared" si="45"/>
        <v>they love each other</v>
      </c>
      <c r="F1314" t="s">
        <v>7358</v>
      </c>
      <c r="G1314" t="str">
        <f>_xlfn.IFNA(VLOOKUP(F1314,songs!$B$1:$C$1539, 2, FALSE),"")</f>
        <v>They Love Each Other</v>
      </c>
      <c r="H1314" t="s">
        <v>156</v>
      </c>
    </row>
    <row r="1315" spans="1:8" x14ac:dyDescent="0.25">
      <c r="A1315">
        <v>1314</v>
      </c>
      <c r="B1315" t="s">
        <v>1673</v>
      </c>
      <c r="C1315" t="s">
        <v>327</v>
      </c>
      <c r="D1315" t="str">
        <f t="shared" si="44"/>
        <v/>
      </c>
      <c r="E1315" t="str">
        <f t="shared" si="45"/>
        <v>el paso</v>
      </c>
      <c r="F1315" t="s">
        <v>5600</v>
      </c>
      <c r="G1315" t="str">
        <f>_xlfn.IFNA(VLOOKUP(F1315,songs!$B$1:$C$1539, 2, FALSE),"")</f>
        <v>El Paso</v>
      </c>
      <c r="H1315" t="s">
        <v>327</v>
      </c>
    </row>
    <row r="1316" spans="1:8" x14ac:dyDescent="0.25">
      <c r="A1316">
        <v>1315</v>
      </c>
      <c r="B1316" t="s">
        <v>1674</v>
      </c>
      <c r="C1316" t="s">
        <v>188</v>
      </c>
      <c r="D1316" t="str">
        <f t="shared" si="44"/>
        <v/>
      </c>
      <c r="E1316" t="str">
        <f t="shared" si="45"/>
        <v>row jimmy</v>
      </c>
      <c r="F1316" t="s">
        <v>6893</v>
      </c>
      <c r="G1316" t="str">
        <f>_xlfn.IFNA(VLOOKUP(F1316,songs!$B$1:$C$1539, 2, FALSE),"")</f>
        <v>Row Jimmy</v>
      </c>
      <c r="H1316" t="s">
        <v>188</v>
      </c>
    </row>
    <row r="1317" spans="1:8" x14ac:dyDescent="0.25">
      <c r="A1317">
        <v>1316</v>
      </c>
      <c r="B1317" t="s">
        <v>1675</v>
      </c>
      <c r="C1317" t="s">
        <v>26</v>
      </c>
      <c r="D1317" t="str">
        <f t="shared" si="44"/>
        <v/>
      </c>
      <c r="E1317" t="str">
        <f t="shared" si="45"/>
        <v>around and around</v>
      </c>
      <c r="F1317" t="s">
        <v>5103</v>
      </c>
      <c r="G1317" t="str">
        <f>_xlfn.IFNA(VLOOKUP(F1317,songs!$B$1:$C$1539, 2, FALSE),"")</f>
        <v>Around And Around</v>
      </c>
      <c r="H1317" t="s">
        <v>579</v>
      </c>
    </row>
    <row r="1318" spans="1:8" x14ac:dyDescent="0.25">
      <c r="A1318">
        <v>1379</v>
      </c>
      <c r="B1318" t="s">
        <v>1743</v>
      </c>
      <c r="C1318" t="s">
        <v>615</v>
      </c>
      <c r="D1318" t="str">
        <f t="shared" si="44"/>
        <v/>
      </c>
      <c r="E1318" t="str">
        <f t="shared" si="45"/>
        <v>brown-eyed women</v>
      </c>
      <c r="F1318" t="s">
        <v>5255</v>
      </c>
      <c r="G1318" t="str">
        <f>_xlfn.IFNA(VLOOKUP(F1318,songs!$B$1:$C$1539, 2, FALSE),"")</f>
        <v>Brown Eyed Women</v>
      </c>
      <c r="H1318" t="s">
        <v>7867</v>
      </c>
    </row>
    <row r="1319" spans="1:8" x14ac:dyDescent="0.25">
      <c r="A1319">
        <v>1318</v>
      </c>
      <c r="B1319" t="s">
        <v>1677</v>
      </c>
      <c r="C1319" t="s">
        <v>1678</v>
      </c>
      <c r="D1319" t="str">
        <f t="shared" si="44"/>
        <v/>
      </c>
      <c r="E1319" t="str">
        <f t="shared" si="45"/>
        <v>you ain't woman enough</v>
      </c>
      <c r="F1319" t="s">
        <v>7771</v>
      </c>
      <c r="G1319" t="str">
        <f>_xlfn.IFNA(VLOOKUP(F1319,songs!$B$1:$C$1539, 2, FALSE),"")</f>
        <v>You Ain't Woman Enough</v>
      </c>
      <c r="H1319" t="s">
        <v>1678</v>
      </c>
    </row>
    <row r="1320" spans="1:8" x14ac:dyDescent="0.25">
      <c r="A1320">
        <v>1319</v>
      </c>
      <c r="B1320" t="s">
        <v>1679</v>
      </c>
      <c r="C1320" t="s">
        <v>126</v>
      </c>
      <c r="D1320" t="str">
        <f t="shared" si="44"/>
        <v/>
      </c>
      <c r="E1320" t="str">
        <f t="shared" si="45"/>
        <v>looks like rain</v>
      </c>
      <c r="F1320" t="s">
        <v>6398</v>
      </c>
      <c r="G1320" t="str">
        <f>_xlfn.IFNA(VLOOKUP(F1320,songs!$B$1:$C$1539, 2, FALSE),"")</f>
        <v>Looks Like Rain</v>
      </c>
      <c r="H1320" t="s">
        <v>126</v>
      </c>
    </row>
    <row r="1321" spans="1:8" x14ac:dyDescent="0.25">
      <c r="A1321">
        <v>1320</v>
      </c>
      <c r="B1321" t="s">
        <v>1680</v>
      </c>
      <c r="C1321" t="s">
        <v>84</v>
      </c>
      <c r="D1321" t="str">
        <f t="shared" si="44"/>
        <v/>
      </c>
      <c r="E1321" t="str">
        <f t="shared" si="45"/>
        <v>china cat sunflower</v>
      </c>
      <c r="F1321" t="s">
        <v>5319</v>
      </c>
      <c r="G1321" t="str">
        <f>_xlfn.IFNA(VLOOKUP(F1321,songs!$B$1:$C$1539, 2, FALSE),"")</f>
        <v>China Cat Sunflower</v>
      </c>
      <c r="H1321" t="s">
        <v>84</v>
      </c>
    </row>
    <row r="1322" spans="1:8" x14ac:dyDescent="0.25">
      <c r="A1322">
        <v>1321</v>
      </c>
      <c r="B1322" t="s">
        <v>1681</v>
      </c>
      <c r="C1322" t="s">
        <v>86</v>
      </c>
      <c r="D1322" t="str">
        <f t="shared" si="44"/>
        <v/>
      </c>
      <c r="E1322" t="str">
        <f t="shared" si="45"/>
        <v>i know you rider</v>
      </c>
      <c r="F1322" t="s">
        <v>6020</v>
      </c>
      <c r="G1322" t="str">
        <f>_xlfn.IFNA(VLOOKUP(F1322,songs!$B$1:$C$1539, 2, FALSE),"")</f>
        <v>I Know You Rider</v>
      </c>
      <c r="H1322" t="s">
        <v>86</v>
      </c>
    </row>
    <row r="1323" spans="1:8" x14ac:dyDescent="0.25">
      <c r="A1323">
        <v>1322</v>
      </c>
      <c r="B1323" t="s">
        <v>1682</v>
      </c>
      <c r="C1323" t="s">
        <v>130</v>
      </c>
      <c r="D1323" t="str">
        <f t="shared" si="44"/>
        <v/>
      </c>
      <c r="E1323" t="str">
        <f t="shared" si="45"/>
        <v>promised land</v>
      </c>
      <c r="F1323" t="s">
        <v>6797</v>
      </c>
      <c r="G1323" t="str">
        <f>_xlfn.IFNA(VLOOKUP(F1323,songs!$B$1:$C$1539, 2, FALSE),"")</f>
        <v>Promised Land</v>
      </c>
      <c r="H1323" t="s">
        <v>130</v>
      </c>
    </row>
    <row r="1324" spans="1:8" x14ac:dyDescent="0.25">
      <c r="A1324">
        <v>1323</v>
      </c>
      <c r="B1324" t="s">
        <v>1683</v>
      </c>
      <c r="C1324" t="s">
        <v>858</v>
      </c>
      <c r="D1324" t="str">
        <f t="shared" si="44"/>
        <v/>
      </c>
      <c r="E1324" t="str">
        <f t="shared" si="45"/>
        <v>loose lucy</v>
      </c>
      <c r="F1324" t="s">
        <v>6399</v>
      </c>
      <c r="G1324" t="str">
        <f>_xlfn.IFNA(VLOOKUP(F1324,songs!$B$1:$C$1539, 2, FALSE),"")</f>
        <v>Loose Lucy</v>
      </c>
      <c r="H1324" t="s">
        <v>858</v>
      </c>
    </row>
    <row r="1325" spans="1:8" x14ac:dyDescent="0.25">
      <c r="A1325">
        <v>1324</v>
      </c>
      <c r="B1325" t="s">
        <v>1684</v>
      </c>
      <c r="C1325" t="s">
        <v>595</v>
      </c>
      <c r="D1325" t="str">
        <f t="shared" si="44"/>
        <v/>
      </c>
      <c r="E1325" t="str">
        <f t="shared" si="45"/>
        <v>me and my uncle</v>
      </c>
      <c r="F1325" t="s">
        <v>6486</v>
      </c>
      <c r="G1325" t="str">
        <f>_xlfn.IFNA(VLOOKUP(F1325,songs!$B$1:$C$1539, 2, FALSE),"")</f>
        <v>Me And My Uncle</v>
      </c>
      <c r="H1325" t="s">
        <v>903</v>
      </c>
    </row>
    <row r="1326" spans="1:8" x14ac:dyDescent="0.25">
      <c r="A1326">
        <v>1325</v>
      </c>
      <c r="B1326" t="s">
        <v>1685</v>
      </c>
      <c r="C1326" t="s">
        <v>215</v>
      </c>
      <c r="D1326" t="str">
        <f t="shared" si="44"/>
        <v/>
      </c>
      <c r="E1326" t="str">
        <f t="shared" si="45"/>
        <v>don't ease me in</v>
      </c>
      <c r="F1326" t="s">
        <v>5513</v>
      </c>
      <c r="G1326" t="str">
        <f>_xlfn.IFNA(VLOOKUP(F1326,songs!$B$1:$C$1539, 2, FALSE),"")</f>
        <v>Don't Ease Me In</v>
      </c>
      <c r="H1326" t="s">
        <v>215</v>
      </c>
    </row>
    <row r="1327" spans="1:8" x14ac:dyDescent="0.25">
      <c r="A1327">
        <v>1326</v>
      </c>
      <c r="B1327" t="s">
        <v>1686</v>
      </c>
      <c r="C1327" t="s">
        <v>1687</v>
      </c>
      <c r="D1327" t="str">
        <f t="shared" si="44"/>
        <v/>
      </c>
      <c r="E1327" t="str">
        <f t="shared" si="45"/>
        <v>the race is on</v>
      </c>
      <c r="F1327" t="s">
        <v>7326</v>
      </c>
      <c r="G1327" t="str">
        <f>_xlfn.IFNA(VLOOKUP(F1327,songs!$B$1:$C$1539, 2, FALSE),"")</f>
        <v>The Race Is On</v>
      </c>
      <c r="H1327" t="s">
        <v>1400</v>
      </c>
    </row>
    <row r="1328" spans="1:8" x14ac:dyDescent="0.25">
      <c r="A1328">
        <v>1327</v>
      </c>
      <c r="B1328" t="s">
        <v>1688</v>
      </c>
      <c r="C1328" t="s">
        <v>24</v>
      </c>
      <c r="D1328" t="str">
        <f t="shared" si="44"/>
        <v/>
      </c>
      <c r="E1328" t="str">
        <f t="shared" si="45"/>
        <v>stella blue</v>
      </c>
      <c r="F1328" t="s">
        <v>7123</v>
      </c>
      <c r="G1328" t="str">
        <f>_xlfn.IFNA(VLOOKUP(F1328,songs!$B$1:$C$1539, 2, FALSE),"")</f>
        <v>Stella Blue</v>
      </c>
      <c r="H1328" t="s">
        <v>24</v>
      </c>
    </row>
    <row r="1329" spans="1:8" x14ac:dyDescent="0.25">
      <c r="A1329">
        <v>1328</v>
      </c>
      <c r="B1329" t="s">
        <v>1689</v>
      </c>
      <c r="C1329" t="s">
        <v>3</v>
      </c>
      <c r="D1329" t="str">
        <f t="shared" si="44"/>
        <v/>
      </c>
      <c r="E1329" t="str">
        <f t="shared" si="45"/>
        <v>big river</v>
      </c>
      <c r="F1329" t="s">
        <v>5175</v>
      </c>
      <c r="G1329" t="str">
        <f>_xlfn.IFNA(VLOOKUP(F1329,songs!$B$1:$C$1539, 2, FALSE),"")</f>
        <v>Big River</v>
      </c>
      <c r="H1329" t="s">
        <v>3</v>
      </c>
    </row>
    <row r="1330" spans="1:8" x14ac:dyDescent="0.25">
      <c r="A1330">
        <v>1329</v>
      </c>
      <c r="B1330" t="s">
        <v>1690</v>
      </c>
      <c r="C1330" t="s">
        <v>458</v>
      </c>
      <c r="D1330" t="str">
        <f t="shared" si="44"/>
        <v/>
      </c>
      <c r="E1330" t="str">
        <f t="shared" si="45"/>
        <v>mississippi half-step uptown toodeloo</v>
      </c>
      <c r="F1330" t="s">
        <v>6531</v>
      </c>
      <c r="G1330" t="str">
        <f>_xlfn.IFNA(VLOOKUP(F1330,songs!$B$1:$C$1539, 2, FALSE),"")</f>
        <v>Mississippi Half-Step Uptown Toodeloo</v>
      </c>
      <c r="H1330" t="s">
        <v>458</v>
      </c>
    </row>
    <row r="1331" spans="1:8" x14ac:dyDescent="0.25">
      <c r="A1331">
        <v>1330</v>
      </c>
      <c r="B1331" t="s">
        <v>1691</v>
      </c>
      <c r="C1331" t="s">
        <v>1692</v>
      </c>
      <c r="D1331" t="str">
        <f t="shared" si="44"/>
        <v/>
      </c>
      <c r="E1331" t="str">
        <f t="shared" si="45"/>
        <v>weather report suite prelude</v>
      </c>
      <c r="F1331" t="s">
        <v>7657</v>
      </c>
      <c r="G1331" t="str">
        <f>_xlfn.IFNA(VLOOKUP(F1331,songs!$B$1:$C$1539, 2, FALSE),"")</f>
        <v>Weather Report Suite Prelude</v>
      </c>
      <c r="H1331" t="s">
        <v>1692</v>
      </c>
    </row>
    <row r="1332" spans="1:8" x14ac:dyDescent="0.25">
      <c r="A1332">
        <v>1331</v>
      </c>
      <c r="B1332" t="s">
        <v>1693</v>
      </c>
      <c r="C1332" t="s">
        <v>92</v>
      </c>
      <c r="D1332" t="str">
        <f t="shared" si="44"/>
        <v/>
      </c>
      <c r="E1332" t="str">
        <f t="shared" si="45"/>
        <v>dark star</v>
      </c>
      <c r="F1332" t="s">
        <v>5428</v>
      </c>
      <c r="G1332" t="str">
        <f>_xlfn.IFNA(VLOOKUP(F1332,songs!$B$1:$C$1539, 2, FALSE),"")</f>
        <v>Dark Star</v>
      </c>
      <c r="H1332" t="s">
        <v>92</v>
      </c>
    </row>
    <row r="1333" spans="1:8" x14ac:dyDescent="0.25">
      <c r="A1333">
        <v>1332</v>
      </c>
      <c r="B1333" t="s">
        <v>1694</v>
      </c>
      <c r="C1333" t="s">
        <v>71</v>
      </c>
      <c r="D1333" t="str">
        <f t="shared" si="44"/>
        <v/>
      </c>
      <c r="E1333" t="str">
        <f t="shared" si="45"/>
        <v>eyes of the world</v>
      </c>
      <c r="F1333" t="s">
        <v>5633</v>
      </c>
      <c r="G1333" t="str">
        <f>_xlfn.IFNA(VLOOKUP(F1333,songs!$B$1:$C$1539, 2, FALSE),"")</f>
        <v>Eyes Of The World</v>
      </c>
      <c r="H1333" t="s">
        <v>471</v>
      </c>
    </row>
    <row r="1334" spans="1:8" x14ac:dyDescent="0.25">
      <c r="A1334">
        <v>1333</v>
      </c>
      <c r="B1334" t="s">
        <v>1695</v>
      </c>
      <c r="C1334" t="s">
        <v>1696</v>
      </c>
      <c r="D1334" t="str">
        <f t="shared" ref="D1334:D1397" si="46">IF(RIGHT(TRIM(C1334),2)="-&gt;","&gt;",IF(RIGHT(TRIM(C1334),1)="&gt;","&gt;",""))</f>
        <v/>
      </c>
      <c r="E1334" t="str">
        <f t="shared" si="45"/>
        <v>playing in the band</v>
      </c>
      <c r="F1334" t="s">
        <v>6769</v>
      </c>
      <c r="G1334" t="str">
        <f>_xlfn.IFNA(VLOOKUP(F1334,songs!$B$1:$C$1539, 2, FALSE),"")</f>
        <v>Playing In The Band</v>
      </c>
      <c r="H1334" t="s">
        <v>419</v>
      </c>
    </row>
    <row r="1335" spans="1:8" x14ac:dyDescent="0.25">
      <c r="A1335">
        <v>1334</v>
      </c>
      <c r="B1335" t="s">
        <v>1697</v>
      </c>
      <c r="C1335" t="s">
        <v>148</v>
      </c>
      <c r="D1335" t="str">
        <f t="shared" si="46"/>
        <v/>
      </c>
      <c r="E1335" t="str">
        <f t="shared" si="45"/>
        <v>johnny b. goode</v>
      </c>
      <c r="F1335" t="s">
        <v>6192</v>
      </c>
      <c r="G1335" t="str">
        <f>_xlfn.IFNA(VLOOKUP(F1335,songs!$B$1:$C$1539, 2, FALSE),"")</f>
        <v>Johnny B. Goode</v>
      </c>
      <c r="H1335" t="s">
        <v>148</v>
      </c>
    </row>
    <row r="1336" spans="1:8" x14ac:dyDescent="0.25">
      <c r="A1336">
        <v>1335</v>
      </c>
      <c r="B1336" t="s">
        <v>1698</v>
      </c>
      <c r="C1336" t="s">
        <v>298</v>
      </c>
      <c r="D1336" t="str">
        <f t="shared" si="46"/>
        <v/>
      </c>
      <c r="E1336" t="str">
        <f t="shared" si="45"/>
        <v>bertha</v>
      </c>
      <c r="F1336" t="s">
        <v>5158</v>
      </c>
      <c r="G1336" t="str">
        <f>_xlfn.IFNA(VLOOKUP(F1336,songs!$B$1:$C$1539, 2, FALSE),"")</f>
        <v>Bertha</v>
      </c>
      <c r="H1336" t="s">
        <v>298</v>
      </c>
    </row>
    <row r="1337" spans="1:8" x14ac:dyDescent="0.25">
      <c r="A1337">
        <v>1336</v>
      </c>
      <c r="B1337" t="s">
        <v>1699</v>
      </c>
      <c r="C1337" t="s">
        <v>186</v>
      </c>
      <c r="D1337" t="str">
        <f t="shared" si="46"/>
        <v/>
      </c>
      <c r="E1337" t="str">
        <f t="shared" si="45"/>
        <v>mexicali blues</v>
      </c>
      <c r="F1337" t="s">
        <v>6499</v>
      </c>
      <c r="G1337" t="str">
        <f>_xlfn.IFNA(VLOOKUP(F1337,songs!$B$1:$C$1539, 2, FALSE),"")</f>
        <v>Mexicali Blues</v>
      </c>
      <c r="H1337" t="s">
        <v>186</v>
      </c>
    </row>
    <row r="1338" spans="1:8" x14ac:dyDescent="0.25">
      <c r="A1338">
        <v>1337</v>
      </c>
      <c r="B1338" t="s">
        <v>1700</v>
      </c>
      <c r="C1338" t="s">
        <v>264</v>
      </c>
      <c r="D1338" t="str">
        <f t="shared" si="46"/>
        <v/>
      </c>
      <c r="E1338" t="str">
        <f t="shared" si="45"/>
        <v>deal</v>
      </c>
      <c r="F1338" t="s">
        <v>5461</v>
      </c>
      <c r="G1338" t="str">
        <f>_xlfn.IFNA(VLOOKUP(F1338,songs!$B$1:$C$1539, 2, FALSE),"")</f>
        <v>Deal</v>
      </c>
      <c r="H1338" t="s">
        <v>264</v>
      </c>
    </row>
    <row r="1339" spans="1:8" x14ac:dyDescent="0.25">
      <c r="A1339">
        <v>1338</v>
      </c>
      <c r="B1339" t="s">
        <v>1701</v>
      </c>
      <c r="C1339" t="s">
        <v>431</v>
      </c>
      <c r="D1339" t="str">
        <f t="shared" si="46"/>
        <v/>
      </c>
      <c r="E1339" t="str">
        <f t="shared" si="45"/>
        <v>beat it on down the line</v>
      </c>
      <c r="F1339" t="s">
        <v>5149</v>
      </c>
      <c r="G1339" t="str">
        <f>_xlfn.IFNA(VLOOKUP(F1339,songs!$B$1:$C$1539, 2, FALSE),"")</f>
        <v>Beat It On Down The Line</v>
      </c>
      <c r="H1339" t="s">
        <v>431</v>
      </c>
    </row>
    <row r="1340" spans="1:8" x14ac:dyDescent="0.25">
      <c r="A1340">
        <v>1339</v>
      </c>
      <c r="B1340" t="s">
        <v>1702</v>
      </c>
      <c r="C1340" t="s">
        <v>188</v>
      </c>
      <c r="D1340" t="str">
        <f t="shared" si="46"/>
        <v/>
      </c>
      <c r="E1340" t="str">
        <f t="shared" si="45"/>
        <v>row jimmy</v>
      </c>
      <c r="F1340" t="s">
        <v>6893</v>
      </c>
      <c r="G1340" t="str">
        <f>_xlfn.IFNA(VLOOKUP(F1340,songs!$B$1:$C$1539, 2, FALSE),"")</f>
        <v>Row Jimmy</v>
      </c>
      <c r="H1340" t="s">
        <v>188</v>
      </c>
    </row>
    <row r="1341" spans="1:8" x14ac:dyDescent="0.25">
      <c r="A1341">
        <v>3404</v>
      </c>
      <c r="B1341" t="s">
        <v>4325</v>
      </c>
      <c r="C1341" t="s">
        <v>4326</v>
      </c>
      <c r="D1341" t="str">
        <f t="shared" si="46"/>
        <v/>
      </c>
      <c r="E1341" t="str">
        <f t="shared" si="45"/>
        <v>days between - 1994-12-12 - oakland arena</v>
      </c>
      <c r="F1341" t="s">
        <v>7875</v>
      </c>
      <c r="G1341" t="str">
        <f>_xlfn.IFNA(VLOOKUP(F1341,songs!$B$1:$C$1539, 2, FALSE),"")</f>
        <v/>
      </c>
      <c r="H1341" t="s">
        <v>7867</v>
      </c>
    </row>
    <row r="1342" spans="1:8" x14ac:dyDescent="0.25">
      <c r="A1342">
        <v>1341</v>
      </c>
      <c r="B1342" t="s">
        <v>1704</v>
      </c>
      <c r="C1342" t="s">
        <v>170</v>
      </c>
      <c r="D1342" t="str">
        <f t="shared" si="46"/>
        <v/>
      </c>
      <c r="E1342" t="str">
        <f t="shared" si="45"/>
        <v>scarlet begonias</v>
      </c>
      <c r="F1342" t="s">
        <v>6944</v>
      </c>
      <c r="G1342" t="str">
        <f>_xlfn.IFNA(VLOOKUP(F1342,songs!$B$1:$C$1539, 2, FALSE),"")</f>
        <v>Scarlet Begonias</v>
      </c>
      <c r="H1342" t="s">
        <v>170</v>
      </c>
    </row>
    <row r="1343" spans="1:8" x14ac:dyDescent="0.25">
      <c r="A1343">
        <v>1342</v>
      </c>
      <c r="B1343" t="s">
        <v>1705</v>
      </c>
      <c r="C1343" t="s">
        <v>327</v>
      </c>
      <c r="D1343" t="str">
        <f t="shared" si="46"/>
        <v/>
      </c>
      <c r="E1343" t="str">
        <f t="shared" si="45"/>
        <v>el paso</v>
      </c>
      <c r="F1343" t="s">
        <v>5600</v>
      </c>
      <c r="G1343" t="str">
        <f>_xlfn.IFNA(VLOOKUP(F1343,songs!$B$1:$C$1539, 2, FALSE),"")</f>
        <v>El Paso</v>
      </c>
      <c r="H1343" t="s">
        <v>327</v>
      </c>
    </row>
    <row r="1344" spans="1:8" x14ac:dyDescent="0.25">
      <c r="A1344">
        <v>1343</v>
      </c>
      <c r="B1344" t="s">
        <v>1706</v>
      </c>
      <c r="C1344" t="s">
        <v>164</v>
      </c>
      <c r="D1344" t="str">
        <f t="shared" si="46"/>
        <v/>
      </c>
      <c r="E1344" t="str">
        <f t="shared" si="45"/>
        <v>tennessee jed</v>
      </c>
      <c r="F1344" t="s">
        <v>7234</v>
      </c>
      <c r="G1344" t="str">
        <f>_xlfn.IFNA(VLOOKUP(F1344,songs!$B$1:$C$1539, 2, FALSE),"")</f>
        <v>Tennessee Jed</v>
      </c>
      <c r="H1344" t="s">
        <v>164</v>
      </c>
    </row>
    <row r="1345" spans="1:8" x14ac:dyDescent="0.25">
      <c r="A1345">
        <v>1344</v>
      </c>
      <c r="B1345" t="s">
        <v>1707</v>
      </c>
      <c r="C1345" t="s">
        <v>419</v>
      </c>
      <c r="D1345" t="str">
        <f t="shared" si="46"/>
        <v/>
      </c>
      <c r="E1345" t="str">
        <f t="shared" si="45"/>
        <v>playing in the band</v>
      </c>
      <c r="F1345" t="s">
        <v>6769</v>
      </c>
      <c r="G1345" t="str">
        <f>_xlfn.IFNA(VLOOKUP(F1345,songs!$B$1:$C$1539, 2, FALSE),"")</f>
        <v>Playing In The Band</v>
      </c>
      <c r="H1345" t="s">
        <v>419</v>
      </c>
    </row>
    <row r="1346" spans="1:8" x14ac:dyDescent="0.25">
      <c r="A1346">
        <v>1345</v>
      </c>
      <c r="B1346" t="s">
        <v>1708</v>
      </c>
      <c r="C1346" t="s">
        <v>360</v>
      </c>
      <c r="D1346" t="str">
        <f t="shared" si="46"/>
        <v/>
      </c>
      <c r="E1346" t="str">
        <f t="shared" si="45"/>
        <v>seastones</v>
      </c>
      <c r="F1346" t="s">
        <v>6957</v>
      </c>
      <c r="G1346" t="str">
        <f>_xlfn.IFNA(VLOOKUP(F1346,songs!$B$1:$C$1539, 2, FALSE),"")</f>
        <v>Seastones</v>
      </c>
      <c r="H1346" t="s">
        <v>360</v>
      </c>
    </row>
    <row r="1347" spans="1:8" x14ac:dyDescent="0.25">
      <c r="A1347">
        <v>1396</v>
      </c>
      <c r="B1347" t="s">
        <v>1761</v>
      </c>
      <c r="C1347" t="s">
        <v>32</v>
      </c>
      <c r="D1347" t="str">
        <f t="shared" si="46"/>
        <v/>
      </c>
      <c r="E1347" t="str">
        <f t="shared" si="45"/>
        <v>st. stephen</v>
      </c>
      <c r="F1347" t="s">
        <v>6910</v>
      </c>
      <c r="G1347" t="str">
        <f>_xlfn.IFNA(VLOOKUP(F1347,songs!$B$1:$C$1539, 2, FALSE),"")</f>
        <v>Saint Stephen</v>
      </c>
      <c r="H1347" t="s">
        <v>7867</v>
      </c>
    </row>
    <row r="1348" spans="1:8" x14ac:dyDescent="0.25">
      <c r="A1348">
        <v>1397</v>
      </c>
      <c r="B1348" t="s">
        <v>1762</v>
      </c>
      <c r="C1348" t="s">
        <v>1763</v>
      </c>
      <c r="D1348" t="str">
        <f t="shared" si="46"/>
        <v/>
      </c>
      <c r="E1348" t="str">
        <f t="shared" ref="E1348:E1411" si="47">LOWER(TRIM(SUBSTITUTE(IF(RIGHT(TRIM(C1348),2)="-&gt;",LEFT(TRIM(C1348),LEN(TRIM(C1348))-2),IF(RIGHT(TRIM(C1348),1)="&gt;",LEFT(TRIM(C1348),LEN(TRIM(C1348))-1),C1348)),"//","")))</f>
        <v>turn on yor lovelight</v>
      </c>
      <c r="F1348" t="s">
        <v>7447</v>
      </c>
      <c r="G1348" t="str">
        <f>_xlfn.IFNA(VLOOKUP(F1348,songs!$B$1:$C$1539, 2, FALSE),"")</f>
        <v>Turn On Your Lovelight</v>
      </c>
      <c r="H1348" t="s">
        <v>7867</v>
      </c>
    </row>
    <row r="1349" spans="1:8" x14ac:dyDescent="0.25">
      <c r="A1349">
        <v>1348</v>
      </c>
      <c r="B1349" t="s">
        <v>1711</v>
      </c>
      <c r="C1349" t="s">
        <v>1057</v>
      </c>
      <c r="D1349" t="str">
        <f t="shared" si="46"/>
        <v/>
      </c>
      <c r="E1349" t="str">
        <f t="shared" si="47"/>
        <v>it must have been the roses</v>
      </c>
      <c r="F1349" t="s">
        <v>6128</v>
      </c>
      <c r="G1349" t="str">
        <f>_xlfn.IFNA(VLOOKUP(F1349,songs!$B$1:$C$1539, 2, FALSE),"")</f>
        <v>It Must Have Been The Roses</v>
      </c>
      <c r="H1349" t="s">
        <v>1057</v>
      </c>
    </row>
    <row r="1350" spans="1:8" x14ac:dyDescent="0.25">
      <c r="A1350">
        <v>1349</v>
      </c>
      <c r="B1350" t="s">
        <v>1712</v>
      </c>
      <c r="C1350" t="s">
        <v>199</v>
      </c>
      <c r="D1350" t="str">
        <f t="shared" si="46"/>
        <v/>
      </c>
      <c r="E1350" t="str">
        <f t="shared" si="47"/>
        <v>jack straw</v>
      </c>
      <c r="F1350" t="s">
        <v>6161</v>
      </c>
      <c r="G1350" t="str">
        <f>_xlfn.IFNA(VLOOKUP(F1350,songs!$B$1:$C$1539, 2, FALSE),"")</f>
        <v>Jack Straw</v>
      </c>
      <c r="H1350" t="s">
        <v>199</v>
      </c>
    </row>
    <row r="1351" spans="1:8" x14ac:dyDescent="0.25">
      <c r="A1351">
        <v>1350</v>
      </c>
      <c r="B1351" t="s">
        <v>1713</v>
      </c>
      <c r="C1351" t="s">
        <v>13</v>
      </c>
      <c r="D1351" t="str">
        <f t="shared" si="46"/>
        <v/>
      </c>
      <c r="E1351" t="str">
        <f t="shared" si="47"/>
        <v>he's gone</v>
      </c>
      <c r="F1351" t="s">
        <v>5903</v>
      </c>
      <c r="G1351" t="str">
        <f>_xlfn.IFNA(VLOOKUP(F1351,songs!$B$1:$C$1539, 2, FALSE),"")</f>
        <v>He's Gone</v>
      </c>
      <c r="H1351" t="s">
        <v>13</v>
      </c>
    </row>
    <row r="1352" spans="1:8" x14ac:dyDescent="0.25">
      <c r="A1352">
        <v>1351</v>
      </c>
      <c r="B1352" t="s">
        <v>1714</v>
      </c>
      <c r="C1352" t="s">
        <v>183</v>
      </c>
      <c r="D1352" t="str">
        <f t="shared" si="46"/>
        <v/>
      </c>
      <c r="E1352" t="str">
        <f t="shared" si="47"/>
        <v>u.s. blues</v>
      </c>
      <c r="F1352" t="s">
        <v>7464</v>
      </c>
      <c r="G1352" t="str">
        <f>_xlfn.IFNA(VLOOKUP(F1352,songs!$B$1:$C$1539, 2, FALSE),"")</f>
        <v>U.S. Blues</v>
      </c>
      <c r="H1352" t="s">
        <v>183</v>
      </c>
    </row>
    <row r="1353" spans="1:8" x14ac:dyDescent="0.25">
      <c r="A1353">
        <v>1406</v>
      </c>
      <c r="B1353" t="s">
        <v>1773</v>
      </c>
      <c r="C1353" t="s">
        <v>1452</v>
      </c>
      <c r="D1353" t="str">
        <f t="shared" si="46"/>
        <v/>
      </c>
      <c r="E1353" t="str">
        <f t="shared" si="47"/>
        <v>and we bid you goodnight</v>
      </c>
      <c r="F1353" t="s">
        <v>5082</v>
      </c>
      <c r="G1353" t="str">
        <f>_xlfn.IFNA(VLOOKUP(F1353,songs!$B$1:$C$1539, 2, FALSE),"")</f>
        <v>And We Bid You Good Night</v>
      </c>
      <c r="H1353" t="s">
        <v>7867</v>
      </c>
    </row>
    <row r="1354" spans="1:8" x14ac:dyDescent="0.25">
      <c r="A1354">
        <v>1353</v>
      </c>
      <c r="B1354" t="s">
        <v>1716</v>
      </c>
      <c r="C1354" t="s">
        <v>19</v>
      </c>
      <c r="D1354" t="str">
        <f t="shared" si="46"/>
        <v/>
      </c>
      <c r="E1354" t="str">
        <f t="shared" si="47"/>
        <v>jam</v>
      </c>
      <c r="F1354" t="s">
        <v>6165</v>
      </c>
      <c r="G1354" t="str">
        <f>_xlfn.IFNA(VLOOKUP(F1354,songs!$B$1:$C$1539, 2, FALSE),"")</f>
        <v>Jam</v>
      </c>
      <c r="H1354" t="s">
        <v>19</v>
      </c>
    </row>
    <row r="1355" spans="1:8" x14ac:dyDescent="0.25">
      <c r="A1355">
        <v>1354</v>
      </c>
      <c r="B1355" t="s">
        <v>1717</v>
      </c>
      <c r="C1355" t="s">
        <v>471</v>
      </c>
      <c r="D1355" t="str">
        <f t="shared" si="46"/>
        <v/>
      </c>
      <c r="E1355" t="str">
        <f t="shared" si="47"/>
        <v>eyes of the world</v>
      </c>
      <c r="F1355" t="s">
        <v>5633</v>
      </c>
      <c r="G1355" t="str">
        <f>_xlfn.IFNA(VLOOKUP(F1355,songs!$B$1:$C$1539, 2, FALSE),"")</f>
        <v>Eyes Of The World</v>
      </c>
      <c r="H1355" t="s">
        <v>471</v>
      </c>
    </row>
    <row r="1356" spans="1:8" x14ac:dyDescent="0.25">
      <c r="A1356">
        <v>1355</v>
      </c>
      <c r="B1356" t="s">
        <v>1718</v>
      </c>
      <c r="C1356" t="s">
        <v>304</v>
      </c>
      <c r="D1356" t="str">
        <f t="shared" si="46"/>
        <v/>
      </c>
      <c r="E1356" t="str">
        <f t="shared" si="47"/>
        <v>china doll</v>
      </c>
      <c r="F1356" t="s">
        <v>5320</v>
      </c>
      <c r="G1356" t="str">
        <f>_xlfn.IFNA(VLOOKUP(F1356,songs!$B$1:$C$1539, 2, FALSE),"")</f>
        <v>China Doll</v>
      </c>
      <c r="H1356" t="s">
        <v>304</v>
      </c>
    </row>
    <row r="1357" spans="1:8" x14ac:dyDescent="0.25">
      <c r="A1357">
        <v>1356</v>
      </c>
      <c r="B1357" t="s">
        <v>1719</v>
      </c>
      <c r="C1357" t="s">
        <v>956</v>
      </c>
      <c r="D1357" t="str">
        <f t="shared" si="46"/>
        <v/>
      </c>
      <c r="E1357" t="str">
        <f t="shared" si="47"/>
        <v>one more saturday night</v>
      </c>
      <c r="F1357" t="s">
        <v>6702</v>
      </c>
      <c r="G1357" t="str">
        <f>_xlfn.IFNA(VLOOKUP(F1357,songs!$B$1:$C$1539, 2, FALSE),"")</f>
        <v>One More Saturday Night</v>
      </c>
      <c r="H1357" t="s">
        <v>956</v>
      </c>
    </row>
    <row r="1358" spans="1:8" x14ac:dyDescent="0.25">
      <c r="A1358">
        <v>1357</v>
      </c>
      <c r="B1358" t="s">
        <v>1720</v>
      </c>
      <c r="C1358" t="s">
        <v>130</v>
      </c>
      <c r="D1358" t="str">
        <f t="shared" si="46"/>
        <v/>
      </c>
      <c r="E1358" t="str">
        <f t="shared" si="47"/>
        <v>promised land</v>
      </c>
      <c r="F1358" t="s">
        <v>6797</v>
      </c>
      <c r="G1358" t="str">
        <f>_xlfn.IFNA(VLOOKUP(F1358,songs!$B$1:$C$1539, 2, FALSE),"")</f>
        <v>Promised Land</v>
      </c>
      <c r="H1358" t="s">
        <v>130</v>
      </c>
    </row>
    <row r="1359" spans="1:8" x14ac:dyDescent="0.25">
      <c r="A1359">
        <v>1358</v>
      </c>
      <c r="B1359" t="s">
        <v>1721</v>
      </c>
      <c r="C1359" t="s">
        <v>458</v>
      </c>
      <c r="D1359" t="str">
        <f t="shared" si="46"/>
        <v/>
      </c>
      <c r="E1359" t="str">
        <f t="shared" si="47"/>
        <v>mississippi half-step uptown toodeloo</v>
      </c>
      <c r="F1359" t="s">
        <v>6531</v>
      </c>
      <c r="G1359" t="str">
        <f>_xlfn.IFNA(VLOOKUP(F1359,songs!$B$1:$C$1539, 2, FALSE),"")</f>
        <v>Mississippi Half-Step Uptown Toodeloo</v>
      </c>
      <c r="H1359" t="s">
        <v>458</v>
      </c>
    </row>
    <row r="1360" spans="1:8" x14ac:dyDescent="0.25">
      <c r="A1360">
        <v>1359</v>
      </c>
      <c r="B1360" t="s">
        <v>1722</v>
      </c>
      <c r="C1360" t="s">
        <v>158</v>
      </c>
      <c r="D1360" t="str">
        <f t="shared" si="46"/>
        <v/>
      </c>
      <c r="E1360" t="str">
        <f t="shared" si="47"/>
        <v>mama tried</v>
      </c>
      <c r="F1360" t="s">
        <v>6454</v>
      </c>
      <c r="G1360" t="str">
        <f>_xlfn.IFNA(VLOOKUP(F1360,songs!$B$1:$C$1539, 2, FALSE),"")</f>
        <v>Mama Tried</v>
      </c>
      <c r="H1360" t="s">
        <v>158</v>
      </c>
    </row>
    <row r="1361" spans="1:8" x14ac:dyDescent="0.25">
      <c r="A1361">
        <v>1360</v>
      </c>
      <c r="B1361" t="s">
        <v>1723</v>
      </c>
      <c r="C1361" t="s">
        <v>264</v>
      </c>
      <c r="D1361" t="str">
        <f t="shared" si="46"/>
        <v/>
      </c>
      <c r="E1361" t="str">
        <f t="shared" si="47"/>
        <v>deal</v>
      </c>
      <c r="F1361" t="s">
        <v>5461</v>
      </c>
      <c r="G1361" t="str">
        <f>_xlfn.IFNA(VLOOKUP(F1361,songs!$B$1:$C$1539, 2, FALSE),"")</f>
        <v>Deal</v>
      </c>
      <c r="H1361" t="s">
        <v>264</v>
      </c>
    </row>
    <row r="1362" spans="1:8" x14ac:dyDescent="0.25">
      <c r="A1362">
        <v>1407</v>
      </c>
      <c r="B1362" t="s">
        <v>1774</v>
      </c>
      <c r="C1362" t="s">
        <v>1775</v>
      </c>
      <c r="D1362" t="str">
        <f t="shared" si="46"/>
        <v/>
      </c>
      <c r="E1362" t="str">
        <f t="shared" si="47"/>
        <v>dancing in the street</v>
      </c>
      <c r="F1362" t="s">
        <v>5418</v>
      </c>
      <c r="G1362" t="str">
        <f>_xlfn.IFNA(VLOOKUP(F1362,songs!$B$1:$C$1539, 2, FALSE),"")</f>
        <v>Dancin' In The Streets</v>
      </c>
      <c r="H1362" t="s">
        <v>7867</v>
      </c>
    </row>
    <row r="1363" spans="1:8" x14ac:dyDescent="0.25">
      <c r="A1363">
        <v>1362</v>
      </c>
      <c r="B1363" t="s">
        <v>1725</v>
      </c>
      <c r="C1363" t="s">
        <v>461</v>
      </c>
      <c r="D1363" t="str">
        <f t="shared" si="46"/>
        <v/>
      </c>
      <c r="E1363" t="str">
        <f t="shared" si="47"/>
        <v>peggy-o</v>
      </c>
      <c r="F1363" t="s">
        <v>6749</v>
      </c>
      <c r="G1363" t="str">
        <f>_xlfn.IFNA(VLOOKUP(F1363,songs!$B$1:$C$1539, 2, FALSE),"")</f>
        <v>Peggy-O</v>
      </c>
      <c r="H1363" t="s">
        <v>461</v>
      </c>
    </row>
    <row r="1364" spans="1:8" x14ac:dyDescent="0.25">
      <c r="A1364">
        <v>1363</v>
      </c>
      <c r="B1364" t="s">
        <v>1726</v>
      </c>
      <c r="C1364" t="s">
        <v>3</v>
      </c>
      <c r="D1364" t="str">
        <f t="shared" si="46"/>
        <v/>
      </c>
      <c r="E1364" t="str">
        <f t="shared" si="47"/>
        <v>big river</v>
      </c>
      <c r="F1364" t="s">
        <v>5175</v>
      </c>
      <c r="G1364" t="str">
        <f>_xlfn.IFNA(VLOOKUP(F1364,songs!$B$1:$C$1539, 2, FALSE),"")</f>
        <v>Big River</v>
      </c>
      <c r="H1364" t="s">
        <v>3</v>
      </c>
    </row>
    <row r="1365" spans="1:8" x14ac:dyDescent="0.25">
      <c r="A1365">
        <v>1364</v>
      </c>
      <c r="B1365" t="s">
        <v>1727</v>
      </c>
      <c r="C1365" t="s">
        <v>51</v>
      </c>
      <c r="D1365" t="str">
        <f t="shared" si="46"/>
        <v/>
      </c>
      <c r="E1365" t="str">
        <f t="shared" si="47"/>
        <v>sugaree</v>
      </c>
      <c r="F1365" t="s">
        <v>7151</v>
      </c>
      <c r="G1365" t="str">
        <f>_xlfn.IFNA(VLOOKUP(F1365,songs!$B$1:$C$1539, 2, FALSE),"")</f>
        <v>Sugaree</v>
      </c>
      <c r="H1365" t="s">
        <v>51</v>
      </c>
    </row>
    <row r="1366" spans="1:8" x14ac:dyDescent="0.25">
      <c r="A1366">
        <v>1365</v>
      </c>
      <c r="B1366" t="s">
        <v>1728</v>
      </c>
      <c r="C1366" t="s">
        <v>148</v>
      </c>
      <c r="D1366" t="str">
        <f t="shared" si="46"/>
        <v/>
      </c>
      <c r="E1366" t="str">
        <f t="shared" si="47"/>
        <v>johnny b. goode</v>
      </c>
      <c r="F1366" t="s">
        <v>6192</v>
      </c>
      <c r="G1366" t="str">
        <f>_xlfn.IFNA(VLOOKUP(F1366,songs!$B$1:$C$1539, 2, FALSE),"")</f>
        <v>Johnny B. Goode</v>
      </c>
      <c r="H1366" t="s">
        <v>148</v>
      </c>
    </row>
    <row r="1367" spans="1:8" x14ac:dyDescent="0.25">
      <c r="A1367">
        <v>1366</v>
      </c>
      <c r="B1367" t="s">
        <v>1729</v>
      </c>
      <c r="C1367" t="s">
        <v>65</v>
      </c>
      <c r="D1367" t="str">
        <f t="shared" si="46"/>
        <v/>
      </c>
      <c r="E1367" t="str">
        <f t="shared" si="47"/>
        <v>samson and delilah</v>
      </c>
      <c r="F1367" t="s">
        <v>6925</v>
      </c>
      <c r="G1367" t="str">
        <f>_xlfn.IFNA(VLOOKUP(F1367,songs!$B$1:$C$1539, 2, FALSE),"")</f>
        <v>Samson And Delilah</v>
      </c>
      <c r="H1367" t="s">
        <v>266</v>
      </c>
    </row>
    <row r="1368" spans="1:8" x14ac:dyDescent="0.25">
      <c r="A1368">
        <v>1367</v>
      </c>
      <c r="B1368" t="s">
        <v>1730</v>
      </c>
      <c r="C1368" t="s">
        <v>1731</v>
      </c>
      <c r="D1368" t="str">
        <f t="shared" si="46"/>
        <v/>
      </c>
      <c r="E1368" t="str">
        <f t="shared" si="47"/>
        <v>comes a time</v>
      </c>
      <c r="F1368" t="s">
        <v>5360</v>
      </c>
      <c r="G1368" t="str">
        <f>_xlfn.IFNA(VLOOKUP(F1368,songs!$B$1:$C$1539, 2, FALSE),"")</f>
        <v>Comes A Time</v>
      </c>
      <c r="H1368" t="s">
        <v>1731</v>
      </c>
    </row>
    <row r="1369" spans="1:8" x14ac:dyDescent="0.25">
      <c r="A1369">
        <v>1368</v>
      </c>
      <c r="B1369" t="s">
        <v>1732</v>
      </c>
      <c r="C1369" t="s">
        <v>100</v>
      </c>
      <c r="D1369" t="str">
        <f t="shared" si="46"/>
        <v/>
      </c>
      <c r="E1369" t="str">
        <f t="shared" si="47"/>
        <v>drums</v>
      </c>
      <c r="F1369" t="s">
        <v>5568</v>
      </c>
      <c r="G1369" t="str">
        <f>_xlfn.IFNA(VLOOKUP(F1369,songs!$B$1:$C$1539, 2, FALSE),"")</f>
        <v>Drums</v>
      </c>
      <c r="H1369" t="s">
        <v>100</v>
      </c>
    </row>
    <row r="1370" spans="1:8" x14ac:dyDescent="0.25">
      <c r="A1370">
        <v>1369</v>
      </c>
      <c r="B1370" t="s">
        <v>1733</v>
      </c>
      <c r="C1370" t="s">
        <v>139</v>
      </c>
      <c r="D1370" t="str">
        <f t="shared" si="46"/>
        <v/>
      </c>
      <c r="E1370" t="str">
        <f t="shared" si="47"/>
        <v>the other one</v>
      </c>
      <c r="F1370" t="s">
        <v>7325</v>
      </c>
      <c r="G1370" t="str">
        <f>_xlfn.IFNA(VLOOKUP(F1370,songs!$B$1:$C$1539, 2, FALSE),"")</f>
        <v>The Other One</v>
      </c>
      <c r="H1370" t="s">
        <v>139</v>
      </c>
    </row>
    <row r="1371" spans="1:8" x14ac:dyDescent="0.25">
      <c r="A1371">
        <v>1370</v>
      </c>
      <c r="B1371" t="s">
        <v>1734</v>
      </c>
      <c r="C1371" t="s">
        <v>277</v>
      </c>
      <c r="D1371" t="str">
        <f t="shared" si="46"/>
        <v/>
      </c>
      <c r="E1371" t="str">
        <f t="shared" si="47"/>
        <v>space</v>
      </c>
      <c r="F1371" t="s">
        <v>7091</v>
      </c>
      <c r="G1371" t="str">
        <f>_xlfn.IFNA(VLOOKUP(F1371,songs!$B$1:$C$1539, 2, FALSE),"")</f>
        <v>Space</v>
      </c>
      <c r="H1371" t="s">
        <v>277</v>
      </c>
    </row>
    <row r="1372" spans="1:8" x14ac:dyDescent="0.25">
      <c r="A1372">
        <v>1371</v>
      </c>
      <c r="B1372" t="s">
        <v>1735</v>
      </c>
      <c r="C1372" t="s">
        <v>71</v>
      </c>
      <c r="D1372" t="str">
        <f t="shared" si="46"/>
        <v/>
      </c>
      <c r="E1372" t="str">
        <f t="shared" si="47"/>
        <v>eyes of the world</v>
      </c>
      <c r="F1372" t="s">
        <v>5633</v>
      </c>
      <c r="G1372" t="str">
        <f>_xlfn.IFNA(VLOOKUP(F1372,songs!$B$1:$C$1539, 2, FALSE),"")</f>
        <v>Eyes Of The World</v>
      </c>
      <c r="H1372" t="s">
        <v>471</v>
      </c>
    </row>
    <row r="1373" spans="1:8" x14ac:dyDescent="0.25">
      <c r="A1373">
        <v>1372</v>
      </c>
      <c r="B1373" t="s">
        <v>1736</v>
      </c>
      <c r="C1373" t="s">
        <v>19</v>
      </c>
      <c r="D1373" t="str">
        <f t="shared" si="46"/>
        <v/>
      </c>
      <c r="E1373" t="str">
        <f t="shared" si="47"/>
        <v>jam</v>
      </c>
      <c r="F1373" t="s">
        <v>6165</v>
      </c>
      <c r="G1373" t="str">
        <f>_xlfn.IFNA(VLOOKUP(F1373,songs!$B$1:$C$1539, 2, FALSE),"")</f>
        <v>Jam</v>
      </c>
      <c r="H1373" t="s">
        <v>19</v>
      </c>
    </row>
    <row r="1374" spans="1:8" x14ac:dyDescent="0.25">
      <c r="A1374">
        <v>1373</v>
      </c>
      <c r="B1374" t="s">
        <v>1737</v>
      </c>
      <c r="C1374" t="s">
        <v>139</v>
      </c>
      <c r="D1374" t="str">
        <f t="shared" si="46"/>
        <v/>
      </c>
      <c r="E1374" t="str">
        <f t="shared" si="47"/>
        <v>the other one</v>
      </c>
      <c r="F1374" t="s">
        <v>7325</v>
      </c>
      <c r="G1374" t="str">
        <f>_xlfn.IFNA(VLOOKUP(F1374,songs!$B$1:$C$1539, 2, FALSE),"")</f>
        <v>The Other One</v>
      </c>
      <c r="H1374" t="s">
        <v>139</v>
      </c>
    </row>
    <row r="1375" spans="1:8" x14ac:dyDescent="0.25">
      <c r="A1375">
        <v>1413</v>
      </c>
      <c r="B1375" t="s">
        <v>1781</v>
      </c>
      <c r="C1375" t="s">
        <v>1782</v>
      </c>
      <c r="D1375" t="str">
        <f t="shared" si="46"/>
        <v/>
      </c>
      <c r="E1375" t="str">
        <f t="shared" si="47"/>
        <v>mama treid</v>
      </c>
      <c r="F1375" t="s">
        <v>6454</v>
      </c>
      <c r="G1375" t="str">
        <f>_xlfn.IFNA(VLOOKUP(F1375,songs!$B$1:$C$1539, 2, FALSE),"")</f>
        <v>Mama Tried</v>
      </c>
      <c r="H1375" t="s">
        <v>7867</v>
      </c>
    </row>
    <row r="1376" spans="1:8" x14ac:dyDescent="0.25">
      <c r="A1376">
        <v>1375</v>
      </c>
      <c r="B1376" t="s">
        <v>1739</v>
      </c>
      <c r="C1376" t="s">
        <v>956</v>
      </c>
      <c r="D1376" t="str">
        <f t="shared" si="46"/>
        <v/>
      </c>
      <c r="E1376" t="str">
        <f t="shared" si="47"/>
        <v>one more saturday night</v>
      </c>
      <c r="F1376" t="s">
        <v>6702</v>
      </c>
      <c r="G1376" t="str">
        <f>_xlfn.IFNA(VLOOKUP(F1376,songs!$B$1:$C$1539, 2, FALSE),"")</f>
        <v>One More Saturday Night</v>
      </c>
      <c r="H1376" t="s">
        <v>956</v>
      </c>
    </row>
    <row r="1377" spans="1:8" x14ac:dyDescent="0.25">
      <c r="A1377">
        <v>1376</v>
      </c>
      <c r="B1377" t="s">
        <v>1740</v>
      </c>
      <c r="C1377" t="s">
        <v>183</v>
      </c>
      <c r="D1377" t="str">
        <f t="shared" si="46"/>
        <v/>
      </c>
      <c r="E1377" t="str">
        <f t="shared" si="47"/>
        <v>u.s. blues</v>
      </c>
      <c r="F1377" t="s">
        <v>7464</v>
      </c>
      <c r="G1377" t="str">
        <f>_xlfn.IFNA(VLOOKUP(F1377,songs!$B$1:$C$1539, 2, FALSE),"")</f>
        <v>U.S. Blues</v>
      </c>
      <c r="H1377" t="s">
        <v>183</v>
      </c>
    </row>
    <row r="1378" spans="1:8" x14ac:dyDescent="0.25">
      <c r="A1378">
        <v>1377</v>
      </c>
      <c r="B1378" t="s">
        <v>1741</v>
      </c>
      <c r="C1378" t="s">
        <v>34</v>
      </c>
      <c r="D1378" t="str">
        <f t="shared" si="46"/>
        <v/>
      </c>
      <c r="E1378" t="str">
        <f t="shared" si="47"/>
        <v>not fade away</v>
      </c>
      <c r="F1378" t="s">
        <v>6651</v>
      </c>
      <c r="G1378" t="str">
        <f>_xlfn.IFNA(VLOOKUP(F1378,songs!$B$1:$C$1539, 2, FALSE),"")</f>
        <v>Not Fade Away</v>
      </c>
      <c r="H1378" t="s">
        <v>34</v>
      </c>
    </row>
    <row r="1379" spans="1:8" x14ac:dyDescent="0.25">
      <c r="A1379">
        <v>1378</v>
      </c>
      <c r="B1379" t="s">
        <v>1742</v>
      </c>
      <c r="C1379" t="s">
        <v>3</v>
      </c>
      <c r="D1379" t="str">
        <f t="shared" si="46"/>
        <v/>
      </c>
      <c r="E1379" t="str">
        <f t="shared" si="47"/>
        <v>big river</v>
      </c>
      <c r="F1379" t="s">
        <v>5175</v>
      </c>
      <c r="G1379" t="str">
        <f>_xlfn.IFNA(VLOOKUP(F1379,songs!$B$1:$C$1539, 2, FALSE),"")</f>
        <v>Big River</v>
      </c>
      <c r="H1379" t="s">
        <v>3</v>
      </c>
    </row>
    <row r="1380" spans="1:8" x14ac:dyDescent="0.25">
      <c r="A1380">
        <v>1431</v>
      </c>
      <c r="B1380" t="s">
        <v>1800</v>
      </c>
      <c r="C1380" t="s">
        <v>1801</v>
      </c>
      <c r="D1380" t="str">
        <f t="shared" si="46"/>
        <v/>
      </c>
      <c r="E1380" t="str">
        <f t="shared" si="47"/>
        <v>(i can't get no) satisfaction</v>
      </c>
      <c r="F1380" t="s">
        <v>6932</v>
      </c>
      <c r="G1380" t="str">
        <f>_xlfn.IFNA(VLOOKUP(F1380,songs!$B$1:$C$1539, 2, FALSE),"")</f>
        <v>Satisfaction</v>
      </c>
      <c r="H1380" t="s">
        <v>7867</v>
      </c>
    </row>
    <row r="1381" spans="1:8" x14ac:dyDescent="0.25">
      <c r="A1381">
        <v>1380</v>
      </c>
      <c r="B1381" t="s">
        <v>1744</v>
      </c>
      <c r="C1381" t="s">
        <v>126</v>
      </c>
      <c r="D1381" t="str">
        <f t="shared" si="46"/>
        <v/>
      </c>
      <c r="E1381" t="str">
        <f t="shared" si="47"/>
        <v>looks like rain</v>
      </c>
      <c r="F1381" t="s">
        <v>6398</v>
      </c>
      <c r="G1381" t="str">
        <f>_xlfn.IFNA(VLOOKUP(F1381,songs!$B$1:$C$1539, 2, FALSE),"")</f>
        <v>Looks Like Rain</v>
      </c>
      <c r="H1381" t="s">
        <v>126</v>
      </c>
    </row>
    <row r="1382" spans="1:8" x14ac:dyDescent="0.25">
      <c r="A1382">
        <v>1381</v>
      </c>
      <c r="B1382" t="s">
        <v>1745</v>
      </c>
      <c r="C1382" t="s">
        <v>461</v>
      </c>
      <c r="D1382" t="str">
        <f t="shared" si="46"/>
        <v/>
      </c>
      <c r="E1382" t="str">
        <f t="shared" si="47"/>
        <v>peggy-o</v>
      </c>
      <c r="F1382" t="s">
        <v>6749</v>
      </c>
      <c r="G1382" t="str">
        <f>_xlfn.IFNA(VLOOKUP(F1382,songs!$B$1:$C$1539, 2, FALSE),"")</f>
        <v>Peggy-O</v>
      </c>
      <c r="H1382" t="s">
        <v>461</v>
      </c>
    </row>
    <row r="1383" spans="1:8" x14ac:dyDescent="0.25">
      <c r="A1383">
        <v>1382</v>
      </c>
      <c r="B1383" t="s">
        <v>1746</v>
      </c>
      <c r="C1383" t="s">
        <v>49</v>
      </c>
      <c r="D1383" t="str">
        <f t="shared" si="46"/>
        <v/>
      </c>
      <c r="E1383" t="str">
        <f t="shared" si="47"/>
        <v>the music never stopped</v>
      </c>
      <c r="F1383" t="s">
        <v>7316</v>
      </c>
      <c r="G1383" t="str">
        <f>_xlfn.IFNA(VLOOKUP(F1383,songs!$B$1:$C$1539, 2, FALSE),"")</f>
        <v>The Music Never Stopped</v>
      </c>
      <c r="H1383" t="s">
        <v>49</v>
      </c>
    </row>
    <row r="1384" spans="1:8" x14ac:dyDescent="0.25">
      <c r="A1384">
        <v>1383</v>
      </c>
      <c r="B1384" t="s">
        <v>1747</v>
      </c>
      <c r="C1384" t="s">
        <v>170</v>
      </c>
      <c r="D1384" t="str">
        <f t="shared" si="46"/>
        <v/>
      </c>
      <c r="E1384" t="str">
        <f t="shared" si="47"/>
        <v>scarlet begonias</v>
      </c>
      <c r="F1384" t="s">
        <v>6944</v>
      </c>
      <c r="G1384" t="str">
        <f>_xlfn.IFNA(VLOOKUP(F1384,songs!$B$1:$C$1539, 2, FALSE),"")</f>
        <v>Scarlet Begonias</v>
      </c>
      <c r="H1384" t="s">
        <v>170</v>
      </c>
    </row>
    <row r="1385" spans="1:8" x14ac:dyDescent="0.25">
      <c r="A1385">
        <v>1384</v>
      </c>
      <c r="B1385" t="s">
        <v>1748</v>
      </c>
      <c r="C1385" t="s">
        <v>183</v>
      </c>
      <c r="D1385" t="str">
        <f t="shared" si="46"/>
        <v/>
      </c>
      <c r="E1385" t="str">
        <f t="shared" si="47"/>
        <v>u.s. blues</v>
      </c>
      <c r="F1385" t="s">
        <v>7464</v>
      </c>
      <c r="G1385" t="str">
        <f>_xlfn.IFNA(VLOOKUP(F1385,songs!$B$1:$C$1539, 2, FALSE),"")</f>
        <v>U.S. Blues</v>
      </c>
      <c r="H1385" t="s">
        <v>183</v>
      </c>
    </row>
    <row r="1386" spans="1:8" x14ac:dyDescent="0.25">
      <c r="A1386">
        <v>1385</v>
      </c>
      <c r="B1386" t="s">
        <v>1749</v>
      </c>
      <c r="C1386" t="s">
        <v>84</v>
      </c>
      <c r="D1386" t="str">
        <f t="shared" si="46"/>
        <v/>
      </c>
      <c r="E1386" t="str">
        <f t="shared" si="47"/>
        <v>china cat sunflower</v>
      </c>
      <c r="F1386" t="s">
        <v>5319</v>
      </c>
      <c r="G1386" t="str">
        <f>_xlfn.IFNA(VLOOKUP(F1386,songs!$B$1:$C$1539, 2, FALSE),"")</f>
        <v>China Cat Sunflower</v>
      </c>
      <c r="H1386" t="s">
        <v>84</v>
      </c>
    </row>
    <row r="1387" spans="1:8" x14ac:dyDescent="0.25">
      <c r="A1387">
        <v>1386</v>
      </c>
      <c r="B1387" t="s">
        <v>1750</v>
      </c>
      <c r="C1387" t="s">
        <v>86</v>
      </c>
      <c r="D1387" t="str">
        <f t="shared" si="46"/>
        <v/>
      </c>
      <c r="E1387" t="str">
        <f t="shared" si="47"/>
        <v>i know you rider</v>
      </c>
      <c r="F1387" t="s">
        <v>6020</v>
      </c>
      <c r="G1387" t="str">
        <f>_xlfn.IFNA(VLOOKUP(F1387,songs!$B$1:$C$1539, 2, FALSE),"")</f>
        <v>I Know You Rider</v>
      </c>
      <c r="H1387" t="s">
        <v>86</v>
      </c>
    </row>
    <row r="1388" spans="1:8" x14ac:dyDescent="0.25">
      <c r="A1388">
        <v>1387</v>
      </c>
      <c r="B1388" t="s">
        <v>1751</v>
      </c>
      <c r="C1388" t="s">
        <v>221</v>
      </c>
      <c r="D1388" t="str">
        <f t="shared" si="46"/>
        <v/>
      </c>
      <c r="E1388" t="str">
        <f t="shared" si="47"/>
        <v>black peter</v>
      </c>
      <c r="F1388" t="s">
        <v>5190</v>
      </c>
      <c r="G1388" t="str">
        <f>_xlfn.IFNA(VLOOKUP(F1388,songs!$B$1:$C$1539, 2, FALSE),"")</f>
        <v>Black Peter</v>
      </c>
      <c r="H1388" t="s">
        <v>221</v>
      </c>
    </row>
    <row r="1389" spans="1:8" x14ac:dyDescent="0.25">
      <c r="A1389">
        <v>1435</v>
      </c>
      <c r="B1389" t="s">
        <v>1805</v>
      </c>
      <c r="C1389" t="s">
        <v>615</v>
      </c>
      <c r="D1389" t="str">
        <f t="shared" si="46"/>
        <v/>
      </c>
      <c r="E1389" t="str">
        <f t="shared" si="47"/>
        <v>brown-eyed women</v>
      </c>
      <c r="F1389" t="s">
        <v>5255</v>
      </c>
      <c r="G1389" t="str">
        <f>_xlfn.IFNA(VLOOKUP(F1389,songs!$B$1:$C$1539, 2, FALSE),"")</f>
        <v>Brown Eyed Women</v>
      </c>
      <c r="H1389" t="s">
        <v>7867</v>
      </c>
    </row>
    <row r="1390" spans="1:8" x14ac:dyDescent="0.25">
      <c r="A1390">
        <v>1389</v>
      </c>
      <c r="B1390" t="s">
        <v>1754</v>
      </c>
      <c r="C1390" t="s">
        <v>1199</v>
      </c>
      <c r="D1390" t="str">
        <f t="shared" si="46"/>
        <v/>
      </c>
      <c r="E1390" t="str">
        <f t="shared" si="47"/>
        <v>hard to handle</v>
      </c>
      <c r="F1390" t="s">
        <v>5861</v>
      </c>
      <c r="G1390" t="str">
        <f>_xlfn.IFNA(VLOOKUP(F1390,songs!$B$1:$C$1539, 2, FALSE),"")</f>
        <v>Hard To Handle</v>
      </c>
      <c r="H1390" t="s">
        <v>1199</v>
      </c>
    </row>
    <row r="1391" spans="1:8" x14ac:dyDescent="0.25">
      <c r="A1391">
        <v>1390</v>
      </c>
      <c r="B1391" t="s">
        <v>1755</v>
      </c>
      <c r="C1391" t="s">
        <v>158</v>
      </c>
      <c r="D1391" t="str">
        <f t="shared" si="46"/>
        <v/>
      </c>
      <c r="E1391" t="str">
        <f t="shared" si="47"/>
        <v>mama tried</v>
      </c>
      <c r="F1391" t="s">
        <v>6454</v>
      </c>
      <c r="G1391" t="str">
        <f>_xlfn.IFNA(VLOOKUP(F1391,songs!$B$1:$C$1539, 2, FALSE),"")</f>
        <v>Mama Tried</v>
      </c>
      <c r="H1391" t="s">
        <v>158</v>
      </c>
    </row>
    <row r="1392" spans="1:8" x14ac:dyDescent="0.25">
      <c r="A1392">
        <v>1391</v>
      </c>
      <c r="B1392" t="s">
        <v>1756</v>
      </c>
      <c r="C1392" t="s">
        <v>81</v>
      </c>
      <c r="D1392" t="str">
        <f t="shared" si="46"/>
        <v/>
      </c>
      <c r="E1392" t="str">
        <f t="shared" si="47"/>
        <v>casey jones</v>
      </c>
      <c r="F1392" t="s">
        <v>5290</v>
      </c>
      <c r="G1392" t="str">
        <f>_xlfn.IFNA(VLOOKUP(F1392,songs!$B$1:$C$1539, 2, FALSE),"")</f>
        <v>Casey Jones</v>
      </c>
      <c r="H1392" t="s">
        <v>81</v>
      </c>
    </row>
    <row r="1393" spans="1:8" x14ac:dyDescent="0.25">
      <c r="A1393">
        <v>1392</v>
      </c>
      <c r="B1393" t="s">
        <v>1757</v>
      </c>
      <c r="C1393" t="s">
        <v>90</v>
      </c>
      <c r="D1393" t="str">
        <f t="shared" si="46"/>
        <v/>
      </c>
      <c r="E1393" t="str">
        <f t="shared" si="47"/>
        <v>dire wolf</v>
      </c>
      <c r="F1393" t="s">
        <v>5497</v>
      </c>
      <c r="G1393" t="str">
        <f>_xlfn.IFNA(VLOOKUP(F1393,songs!$B$1:$C$1539, 2, FALSE),"")</f>
        <v>Dire Wolf</v>
      </c>
      <c r="H1393" t="s">
        <v>90</v>
      </c>
    </row>
    <row r="1394" spans="1:8" x14ac:dyDescent="0.25">
      <c r="A1394">
        <v>1393</v>
      </c>
      <c r="B1394" t="s">
        <v>1758</v>
      </c>
      <c r="C1394" t="s">
        <v>242</v>
      </c>
      <c r="D1394" t="str">
        <f t="shared" si="46"/>
        <v/>
      </c>
      <c r="E1394" t="str">
        <f t="shared" si="47"/>
        <v>good lovin'</v>
      </c>
      <c r="F1394" t="s">
        <v>5810</v>
      </c>
      <c r="G1394" t="str">
        <f>_xlfn.IFNA(VLOOKUP(F1394,songs!$B$1:$C$1539, 2, FALSE),"")</f>
        <v>Good Lovin'</v>
      </c>
      <c r="H1394" t="s">
        <v>242</v>
      </c>
    </row>
    <row r="1395" spans="1:8" x14ac:dyDescent="0.25">
      <c r="A1395">
        <v>1394</v>
      </c>
      <c r="B1395" t="s">
        <v>1759</v>
      </c>
      <c r="C1395" t="s">
        <v>139</v>
      </c>
      <c r="D1395" t="str">
        <f t="shared" si="46"/>
        <v/>
      </c>
      <c r="E1395" t="str">
        <f t="shared" si="47"/>
        <v>the other one</v>
      </c>
      <c r="F1395" t="s">
        <v>7325</v>
      </c>
      <c r="G1395" t="str">
        <f>_xlfn.IFNA(VLOOKUP(F1395,songs!$B$1:$C$1539, 2, FALSE),"")</f>
        <v>The Other One</v>
      </c>
      <c r="H1395" t="s">
        <v>139</v>
      </c>
    </row>
    <row r="1396" spans="1:8" x14ac:dyDescent="0.25">
      <c r="A1396">
        <v>1395</v>
      </c>
      <c r="B1396" t="s">
        <v>1760</v>
      </c>
      <c r="C1396" t="s">
        <v>92</v>
      </c>
      <c r="D1396" t="str">
        <f t="shared" si="46"/>
        <v/>
      </c>
      <c r="E1396" t="str">
        <f t="shared" si="47"/>
        <v>dark star</v>
      </c>
      <c r="F1396" t="s">
        <v>5428</v>
      </c>
      <c r="G1396" t="str">
        <f>_xlfn.IFNA(VLOOKUP(F1396,songs!$B$1:$C$1539, 2, FALSE),"")</f>
        <v>Dark Star</v>
      </c>
      <c r="H1396" t="s">
        <v>92</v>
      </c>
    </row>
    <row r="1397" spans="1:8" x14ac:dyDescent="0.25">
      <c r="A1397">
        <v>1459</v>
      </c>
      <c r="B1397" t="s">
        <v>1829</v>
      </c>
      <c r="C1397" t="s">
        <v>1830</v>
      </c>
      <c r="D1397" t="str">
        <f t="shared" si="46"/>
        <v/>
      </c>
      <c r="E1397" t="str">
        <f t="shared" si="47"/>
        <v>weather report suite- prelude</v>
      </c>
      <c r="F1397" t="s">
        <v>7836</v>
      </c>
      <c r="G1397" t="s">
        <v>7879</v>
      </c>
      <c r="H1397" t="s">
        <v>7867</v>
      </c>
    </row>
    <row r="1398" spans="1:8" x14ac:dyDescent="0.25">
      <c r="A1398">
        <v>1465</v>
      </c>
      <c r="B1398" t="s">
        <v>1836</v>
      </c>
      <c r="C1398" t="s">
        <v>1452</v>
      </c>
      <c r="D1398" t="str">
        <f t="shared" ref="D1398:D1461" si="48">IF(RIGHT(TRIM(C1398),2)="-&gt;","&gt;",IF(RIGHT(TRIM(C1398),1)="&gt;","&gt;",""))</f>
        <v/>
      </c>
      <c r="E1398" t="str">
        <f t="shared" si="47"/>
        <v>and we bid you goodnight</v>
      </c>
      <c r="F1398" t="s">
        <v>5082</v>
      </c>
      <c r="G1398" t="str">
        <f>_xlfn.IFNA(VLOOKUP(F1398,songs!$B$1:$C$1539, 2, FALSE),"")</f>
        <v>And We Bid You Good Night</v>
      </c>
      <c r="H1398" t="s">
        <v>7867</v>
      </c>
    </row>
    <row r="1399" spans="1:8" x14ac:dyDescent="0.25">
      <c r="A1399">
        <v>1398</v>
      </c>
      <c r="B1399" t="s">
        <v>1764</v>
      </c>
      <c r="C1399" t="s">
        <v>225</v>
      </c>
      <c r="D1399" t="str">
        <f t="shared" si="48"/>
        <v/>
      </c>
      <c r="E1399" t="str">
        <f t="shared" si="47"/>
        <v>cumberland blues</v>
      </c>
      <c r="F1399" t="s">
        <v>5411</v>
      </c>
      <c r="G1399" t="str">
        <f>_xlfn.IFNA(VLOOKUP(F1399,songs!$B$1:$C$1539, 2, FALSE),"")</f>
        <v>Cumberland Blues</v>
      </c>
      <c r="H1399" t="s">
        <v>225</v>
      </c>
    </row>
    <row r="1400" spans="1:8" x14ac:dyDescent="0.25">
      <c r="A1400">
        <v>1399</v>
      </c>
      <c r="B1400" t="s">
        <v>1765</v>
      </c>
      <c r="C1400" t="s">
        <v>113</v>
      </c>
      <c r="D1400" t="str">
        <f t="shared" si="48"/>
        <v/>
      </c>
      <c r="E1400" t="str">
        <f t="shared" si="47"/>
        <v>cold rain and snow</v>
      </c>
      <c r="F1400" t="s">
        <v>5347</v>
      </c>
      <c r="G1400" t="str">
        <f>_xlfn.IFNA(VLOOKUP(F1400,songs!$B$1:$C$1539, 2, FALSE),"")</f>
        <v>Cold Rain And Snow</v>
      </c>
      <c r="H1400" t="s">
        <v>429</v>
      </c>
    </row>
    <row r="1401" spans="1:8" x14ac:dyDescent="0.25">
      <c r="A1401">
        <v>1400</v>
      </c>
      <c r="B1401" t="s">
        <v>1766</v>
      </c>
      <c r="C1401" t="s">
        <v>595</v>
      </c>
      <c r="D1401" t="str">
        <f t="shared" si="48"/>
        <v/>
      </c>
      <c r="E1401" t="str">
        <f t="shared" si="47"/>
        <v>me and my uncle</v>
      </c>
      <c r="F1401" t="s">
        <v>6486</v>
      </c>
      <c r="G1401" t="str">
        <f>_xlfn.IFNA(VLOOKUP(F1401,songs!$B$1:$C$1539, 2, FALSE),"")</f>
        <v>Me And My Uncle</v>
      </c>
      <c r="H1401" t="s">
        <v>903</v>
      </c>
    </row>
    <row r="1402" spans="1:8" x14ac:dyDescent="0.25">
      <c r="A1402">
        <v>1401</v>
      </c>
      <c r="B1402" t="s">
        <v>1767</v>
      </c>
      <c r="C1402" t="s">
        <v>1768</v>
      </c>
      <c r="D1402" t="str">
        <f t="shared" si="48"/>
        <v/>
      </c>
      <c r="E1402" t="str">
        <f t="shared" si="47"/>
        <v>i'm a king bee</v>
      </c>
      <c r="F1402" t="s">
        <v>6080</v>
      </c>
      <c r="G1402" t="str">
        <f>_xlfn.IFNA(VLOOKUP(F1402,songs!$B$1:$C$1539, 2, FALSE),"")</f>
        <v>I'm A King Bee</v>
      </c>
      <c r="H1402" t="s">
        <v>1768</v>
      </c>
    </row>
    <row r="1403" spans="1:8" x14ac:dyDescent="0.25">
      <c r="A1403">
        <v>1402</v>
      </c>
      <c r="B1403" t="s">
        <v>1769</v>
      </c>
      <c r="C1403" t="s">
        <v>105</v>
      </c>
      <c r="D1403" t="str">
        <f t="shared" si="48"/>
        <v/>
      </c>
      <c r="E1403" t="str">
        <f t="shared" si="47"/>
        <v>mason's children</v>
      </c>
      <c r="F1403" t="s">
        <v>6469</v>
      </c>
      <c r="G1403" t="str">
        <f>_xlfn.IFNA(VLOOKUP(F1403,songs!$B$1:$C$1539, 2, FALSE),"")</f>
        <v>Mason's Children</v>
      </c>
      <c r="H1403" t="s">
        <v>105</v>
      </c>
    </row>
    <row r="1404" spans="1:8" x14ac:dyDescent="0.25">
      <c r="A1404">
        <v>1403</v>
      </c>
      <c r="B1404" t="s">
        <v>1770</v>
      </c>
      <c r="C1404" t="s">
        <v>221</v>
      </c>
      <c r="D1404" t="str">
        <f t="shared" si="48"/>
        <v/>
      </c>
      <c r="E1404" t="str">
        <f t="shared" si="47"/>
        <v>black peter</v>
      </c>
      <c r="F1404" t="s">
        <v>5190</v>
      </c>
      <c r="G1404" t="str">
        <f>_xlfn.IFNA(VLOOKUP(F1404,songs!$B$1:$C$1539, 2, FALSE),"")</f>
        <v>Black Peter</v>
      </c>
      <c r="H1404" t="s">
        <v>221</v>
      </c>
    </row>
    <row r="1405" spans="1:8" x14ac:dyDescent="0.25">
      <c r="A1405">
        <v>1404</v>
      </c>
      <c r="B1405" t="s">
        <v>1771</v>
      </c>
      <c r="C1405" t="s">
        <v>242</v>
      </c>
      <c r="D1405" t="str">
        <f t="shared" si="48"/>
        <v/>
      </c>
      <c r="E1405" t="str">
        <f t="shared" si="47"/>
        <v>good lovin'</v>
      </c>
      <c r="F1405" t="s">
        <v>5810</v>
      </c>
      <c r="G1405" t="str">
        <f>_xlfn.IFNA(VLOOKUP(F1405,songs!$B$1:$C$1539, 2, FALSE),"")</f>
        <v>Good Lovin'</v>
      </c>
      <c r="H1405" t="s">
        <v>242</v>
      </c>
    </row>
    <row r="1406" spans="1:8" x14ac:dyDescent="0.25">
      <c r="A1406">
        <v>1405</v>
      </c>
      <c r="B1406" t="s">
        <v>1772</v>
      </c>
      <c r="C1406" t="s">
        <v>109</v>
      </c>
      <c r="D1406" t="str">
        <f t="shared" si="48"/>
        <v/>
      </c>
      <c r="E1406" t="str">
        <f t="shared" si="47"/>
        <v>feedback</v>
      </c>
      <c r="F1406" t="s">
        <v>5657</v>
      </c>
      <c r="G1406" t="str">
        <f>_xlfn.IFNA(VLOOKUP(F1406,songs!$B$1:$C$1539, 2, FALSE),"")</f>
        <v>Feedback</v>
      </c>
      <c r="H1406" t="s">
        <v>109</v>
      </c>
    </row>
    <row r="1407" spans="1:8" x14ac:dyDescent="0.25">
      <c r="A1407">
        <v>1477</v>
      </c>
      <c r="B1407" t="s">
        <v>1848</v>
      </c>
      <c r="C1407" t="s">
        <v>102</v>
      </c>
      <c r="D1407" t="str">
        <f t="shared" si="48"/>
        <v/>
      </c>
      <c r="E1407" t="str">
        <f t="shared" si="47"/>
        <v>me &amp; my uncle</v>
      </c>
      <c r="F1407" t="s">
        <v>6486</v>
      </c>
      <c r="G1407" t="str">
        <f>_xlfn.IFNA(VLOOKUP(F1407,songs!$B$1:$C$1539, 2, FALSE),"")</f>
        <v>Me And My Uncle</v>
      </c>
      <c r="H1407" t="s">
        <v>7867</v>
      </c>
    </row>
    <row r="1408" spans="1:8" x14ac:dyDescent="0.25">
      <c r="A1408">
        <v>1483</v>
      </c>
      <c r="B1408" t="s">
        <v>1854</v>
      </c>
      <c r="C1408" t="s">
        <v>1855</v>
      </c>
      <c r="D1408" t="str">
        <f t="shared" si="48"/>
        <v/>
      </c>
      <c r="E1408" t="str">
        <f t="shared" si="47"/>
        <v>me &amp; bobby mcgee</v>
      </c>
      <c r="F1408" t="s">
        <v>6483</v>
      </c>
      <c r="G1408" t="str">
        <f>_xlfn.IFNA(VLOOKUP(F1408,songs!$B$1:$C$1539, 2, FALSE),"")</f>
        <v>Me And Bobby McGee</v>
      </c>
      <c r="H1408" t="s">
        <v>7867</v>
      </c>
    </row>
    <row r="1409" spans="1:8" x14ac:dyDescent="0.25">
      <c r="A1409">
        <v>1408</v>
      </c>
      <c r="B1409" t="s">
        <v>1776</v>
      </c>
      <c r="C1409" t="s">
        <v>113</v>
      </c>
      <c r="D1409" t="str">
        <f t="shared" si="48"/>
        <v/>
      </c>
      <c r="E1409" t="str">
        <f t="shared" si="47"/>
        <v>cold rain and snow</v>
      </c>
      <c r="F1409" t="s">
        <v>5347</v>
      </c>
      <c r="G1409" t="str">
        <f>_xlfn.IFNA(VLOOKUP(F1409,songs!$B$1:$C$1539, 2, FALSE),"")</f>
        <v>Cold Rain And Snow</v>
      </c>
      <c r="H1409" t="s">
        <v>429</v>
      </c>
    </row>
    <row r="1410" spans="1:8" x14ac:dyDescent="0.25">
      <c r="A1410">
        <v>1409</v>
      </c>
      <c r="B1410" t="s">
        <v>1777</v>
      </c>
      <c r="C1410" t="s">
        <v>199</v>
      </c>
      <c r="D1410" t="str">
        <f t="shared" si="48"/>
        <v/>
      </c>
      <c r="E1410" t="str">
        <f t="shared" si="47"/>
        <v>jack straw</v>
      </c>
      <c r="F1410" t="s">
        <v>6161</v>
      </c>
      <c r="G1410" t="str">
        <f>_xlfn.IFNA(VLOOKUP(F1410,songs!$B$1:$C$1539, 2, FALSE),"")</f>
        <v>Jack Straw</v>
      </c>
      <c r="H1410" t="s">
        <v>199</v>
      </c>
    </row>
    <row r="1411" spans="1:8" x14ac:dyDescent="0.25">
      <c r="A1411">
        <v>1410</v>
      </c>
      <c r="B1411" t="s">
        <v>1778</v>
      </c>
      <c r="C1411" t="s">
        <v>464</v>
      </c>
      <c r="D1411" t="str">
        <f t="shared" si="48"/>
        <v/>
      </c>
      <c r="E1411" t="str">
        <f t="shared" si="47"/>
        <v>friend of the devil</v>
      </c>
      <c r="F1411" t="s">
        <v>5721</v>
      </c>
      <c r="G1411" t="str">
        <f>_xlfn.IFNA(VLOOKUP(F1411,songs!$B$1:$C$1539, 2, FALSE),"")</f>
        <v>Friend Of The Devil</v>
      </c>
      <c r="H1411" t="s">
        <v>464</v>
      </c>
    </row>
    <row r="1412" spans="1:8" x14ac:dyDescent="0.25">
      <c r="A1412">
        <v>1411</v>
      </c>
      <c r="B1412" t="s">
        <v>1779</v>
      </c>
      <c r="C1412" t="s">
        <v>255</v>
      </c>
      <c r="D1412" t="str">
        <f t="shared" si="48"/>
        <v/>
      </c>
      <c r="E1412" t="str">
        <f t="shared" ref="E1412:E1475" si="49">LOWER(TRIM(SUBSTITUTE(IF(RIGHT(TRIM(C1412),2)="-&gt;",LEFT(TRIM(C1412),LEN(TRIM(C1412))-2),IF(RIGHT(TRIM(C1412),1)="&gt;",LEFT(TRIM(C1412),LEN(TRIM(C1412))-1),C1412)),"//","")))</f>
        <v>little red rooster</v>
      </c>
      <c r="F1412" t="s">
        <v>6360</v>
      </c>
      <c r="G1412" t="str">
        <f>_xlfn.IFNA(VLOOKUP(F1412,songs!$B$1:$C$1539, 2, FALSE),"")</f>
        <v>Little Red Rooster</v>
      </c>
      <c r="H1412" t="s">
        <v>255</v>
      </c>
    </row>
    <row r="1413" spans="1:8" x14ac:dyDescent="0.25">
      <c r="A1413">
        <v>1412</v>
      </c>
      <c r="B1413" t="s">
        <v>1780</v>
      </c>
      <c r="C1413" t="s">
        <v>323</v>
      </c>
      <c r="D1413" t="str">
        <f t="shared" si="48"/>
        <v/>
      </c>
      <c r="E1413" t="str">
        <f t="shared" si="49"/>
        <v>bird song</v>
      </c>
      <c r="F1413" t="s">
        <v>5184</v>
      </c>
      <c r="G1413" t="str">
        <f>_xlfn.IFNA(VLOOKUP(F1413,songs!$B$1:$C$1539, 2, FALSE),"")</f>
        <v>Bird Song</v>
      </c>
      <c r="H1413" t="s">
        <v>323</v>
      </c>
    </row>
    <row r="1414" spans="1:8" x14ac:dyDescent="0.25">
      <c r="A1414">
        <v>1488</v>
      </c>
      <c r="B1414" t="s">
        <v>1860</v>
      </c>
      <c r="C1414" t="s">
        <v>244</v>
      </c>
      <c r="D1414" t="str">
        <f t="shared" si="48"/>
        <v/>
      </c>
      <c r="E1414" t="str">
        <f t="shared" si="49"/>
        <v>cold rain &amp; snow</v>
      </c>
      <c r="F1414" t="s">
        <v>5347</v>
      </c>
      <c r="G1414" t="str">
        <f>_xlfn.IFNA(VLOOKUP(F1414,songs!$B$1:$C$1539, 2, FALSE),"")</f>
        <v>Cold Rain And Snow</v>
      </c>
      <c r="H1414" t="s">
        <v>7867</v>
      </c>
    </row>
    <row r="1415" spans="1:8" x14ac:dyDescent="0.25">
      <c r="A1415">
        <v>1414</v>
      </c>
      <c r="B1415" t="s">
        <v>1783</v>
      </c>
      <c r="C1415" t="s">
        <v>186</v>
      </c>
      <c r="D1415" t="str">
        <f t="shared" si="48"/>
        <v/>
      </c>
      <c r="E1415" t="str">
        <f t="shared" si="49"/>
        <v>mexicali blues</v>
      </c>
      <c r="F1415" t="s">
        <v>6499</v>
      </c>
      <c r="G1415" t="str">
        <f>_xlfn.IFNA(VLOOKUP(F1415,songs!$B$1:$C$1539, 2, FALSE),"")</f>
        <v>Mexicali Blues</v>
      </c>
      <c r="H1415" t="s">
        <v>186</v>
      </c>
    </row>
    <row r="1416" spans="1:8" x14ac:dyDescent="0.25">
      <c r="A1416">
        <v>1415</v>
      </c>
      <c r="B1416" t="s">
        <v>1784</v>
      </c>
      <c r="C1416" t="s">
        <v>641</v>
      </c>
      <c r="D1416" t="str">
        <f t="shared" si="48"/>
        <v/>
      </c>
      <c r="E1416" t="str">
        <f t="shared" si="49"/>
        <v>candyman</v>
      </c>
      <c r="F1416" t="s">
        <v>5278</v>
      </c>
      <c r="G1416" t="str">
        <f>_xlfn.IFNA(VLOOKUP(F1416,songs!$B$1:$C$1539, 2, FALSE),"")</f>
        <v>Candyman</v>
      </c>
      <c r="H1416" t="s">
        <v>641</v>
      </c>
    </row>
    <row r="1417" spans="1:8" x14ac:dyDescent="0.25">
      <c r="A1417">
        <v>1416</v>
      </c>
      <c r="B1417" t="s">
        <v>1785</v>
      </c>
      <c r="C1417" t="s">
        <v>262</v>
      </c>
      <c r="D1417" t="str">
        <f t="shared" si="48"/>
        <v/>
      </c>
      <c r="E1417" t="str">
        <f t="shared" si="49"/>
        <v>cassidy</v>
      </c>
      <c r="F1417" t="s">
        <v>5291</v>
      </c>
      <c r="G1417" t="str">
        <f>_xlfn.IFNA(VLOOKUP(F1417,songs!$B$1:$C$1539, 2, FALSE),"")</f>
        <v>Cassidy</v>
      </c>
      <c r="H1417" t="s">
        <v>262</v>
      </c>
    </row>
    <row r="1418" spans="1:8" x14ac:dyDescent="0.25">
      <c r="A1418">
        <v>1417</v>
      </c>
      <c r="B1418" t="s">
        <v>1786</v>
      </c>
      <c r="C1418" t="s">
        <v>126</v>
      </c>
      <c r="D1418" t="str">
        <f t="shared" si="48"/>
        <v/>
      </c>
      <c r="E1418" t="str">
        <f t="shared" si="49"/>
        <v>looks like rain</v>
      </c>
      <c r="F1418" t="s">
        <v>6398</v>
      </c>
      <c r="G1418" t="str">
        <f>_xlfn.IFNA(VLOOKUP(F1418,songs!$B$1:$C$1539, 2, FALSE),"")</f>
        <v>Looks Like Rain</v>
      </c>
      <c r="H1418" t="s">
        <v>126</v>
      </c>
    </row>
    <row r="1419" spans="1:8" x14ac:dyDescent="0.25">
      <c r="A1419">
        <v>1418</v>
      </c>
      <c r="B1419" t="s">
        <v>1787</v>
      </c>
      <c r="C1419" t="s">
        <v>84</v>
      </c>
      <c r="D1419" t="str">
        <f t="shared" si="48"/>
        <v/>
      </c>
      <c r="E1419" t="str">
        <f t="shared" si="49"/>
        <v>china cat sunflower</v>
      </c>
      <c r="F1419" t="s">
        <v>5319</v>
      </c>
      <c r="G1419" t="str">
        <f>_xlfn.IFNA(VLOOKUP(F1419,songs!$B$1:$C$1539, 2, FALSE),"")</f>
        <v>China Cat Sunflower</v>
      </c>
      <c r="H1419" t="s">
        <v>84</v>
      </c>
    </row>
    <row r="1420" spans="1:8" x14ac:dyDescent="0.25">
      <c r="A1420">
        <v>1419</v>
      </c>
      <c r="B1420" t="s">
        <v>1788</v>
      </c>
      <c r="C1420" t="s">
        <v>86</v>
      </c>
      <c r="D1420" t="str">
        <f t="shared" si="48"/>
        <v/>
      </c>
      <c r="E1420" t="str">
        <f t="shared" si="49"/>
        <v>i know you rider</v>
      </c>
      <c r="F1420" t="s">
        <v>6020</v>
      </c>
      <c r="G1420" t="str">
        <f>_xlfn.IFNA(VLOOKUP(F1420,songs!$B$1:$C$1539, 2, FALSE),"")</f>
        <v>I Know You Rider</v>
      </c>
      <c r="H1420" t="s">
        <v>86</v>
      </c>
    </row>
    <row r="1421" spans="1:8" x14ac:dyDescent="0.25">
      <c r="A1421">
        <v>1420</v>
      </c>
      <c r="B1421" t="s">
        <v>1789</v>
      </c>
      <c r="C1421" t="s">
        <v>170</v>
      </c>
      <c r="D1421" t="str">
        <f t="shared" si="48"/>
        <v/>
      </c>
      <c r="E1421" t="str">
        <f t="shared" si="49"/>
        <v>scarlet begonias</v>
      </c>
      <c r="F1421" t="s">
        <v>6944</v>
      </c>
      <c r="G1421" t="str">
        <f>_xlfn.IFNA(VLOOKUP(F1421,songs!$B$1:$C$1539, 2, FALSE),"")</f>
        <v>Scarlet Begonias</v>
      </c>
      <c r="H1421" t="s">
        <v>170</v>
      </c>
    </row>
    <row r="1422" spans="1:8" x14ac:dyDescent="0.25">
      <c r="A1422">
        <v>1421</v>
      </c>
      <c r="B1422" t="s">
        <v>1790</v>
      </c>
      <c r="C1422" t="s">
        <v>573</v>
      </c>
      <c r="D1422" t="str">
        <f t="shared" si="48"/>
        <v/>
      </c>
      <c r="E1422" t="str">
        <f t="shared" si="49"/>
        <v>fire on the mountain</v>
      </c>
      <c r="F1422" t="s">
        <v>5675</v>
      </c>
      <c r="G1422" t="str">
        <f>_xlfn.IFNA(VLOOKUP(F1422,songs!$B$1:$C$1539, 2, FALSE),"")</f>
        <v>Fire On The Mountain</v>
      </c>
      <c r="H1422" t="s">
        <v>573</v>
      </c>
    </row>
    <row r="1423" spans="1:8" x14ac:dyDescent="0.25">
      <c r="A1423">
        <v>1422</v>
      </c>
      <c r="B1423" t="s">
        <v>1791</v>
      </c>
      <c r="C1423" t="s">
        <v>69</v>
      </c>
      <c r="D1423" t="str">
        <f t="shared" si="48"/>
        <v/>
      </c>
      <c r="E1423" t="str">
        <f t="shared" si="49"/>
        <v>estimated prophet</v>
      </c>
      <c r="F1423" t="s">
        <v>5612</v>
      </c>
      <c r="G1423" t="str">
        <f>_xlfn.IFNA(VLOOKUP(F1423,songs!$B$1:$C$1539, 2, FALSE),"")</f>
        <v>Estimated Prophet</v>
      </c>
      <c r="H1423" t="s">
        <v>69</v>
      </c>
    </row>
    <row r="1424" spans="1:8" x14ac:dyDescent="0.25">
      <c r="A1424">
        <v>1423</v>
      </c>
      <c r="B1424" t="s">
        <v>1792</v>
      </c>
      <c r="C1424" t="s">
        <v>13</v>
      </c>
      <c r="D1424" t="str">
        <f t="shared" si="48"/>
        <v/>
      </c>
      <c r="E1424" t="str">
        <f t="shared" si="49"/>
        <v>he's gone</v>
      </c>
      <c r="F1424" t="s">
        <v>5903</v>
      </c>
      <c r="G1424" t="str">
        <f>_xlfn.IFNA(VLOOKUP(F1424,songs!$B$1:$C$1539, 2, FALSE),"")</f>
        <v>He's Gone</v>
      </c>
      <c r="H1424" t="s">
        <v>13</v>
      </c>
    </row>
    <row r="1425" spans="1:8" x14ac:dyDescent="0.25">
      <c r="A1425">
        <v>1424</v>
      </c>
      <c r="B1425" t="s">
        <v>1793</v>
      </c>
      <c r="C1425" t="s">
        <v>100</v>
      </c>
      <c r="D1425" t="str">
        <f t="shared" si="48"/>
        <v/>
      </c>
      <c r="E1425" t="str">
        <f t="shared" si="49"/>
        <v>drums</v>
      </c>
      <c r="F1425" t="s">
        <v>5568</v>
      </c>
      <c r="G1425" t="str">
        <f>_xlfn.IFNA(VLOOKUP(F1425,songs!$B$1:$C$1539, 2, FALSE),"")</f>
        <v>Drums</v>
      </c>
      <c r="H1425" t="s">
        <v>100</v>
      </c>
    </row>
    <row r="1426" spans="1:8" x14ac:dyDescent="0.25">
      <c r="A1426">
        <v>1425</v>
      </c>
      <c r="B1426" t="s">
        <v>1794</v>
      </c>
      <c r="C1426" t="s">
        <v>277</v>
      </c>
      <c r="D1426" t="str">
        <f t="shared" si="48"/>
        <v/>
      </c>
      <c r="E1426" t="str">
        <f t="shared" si="49"/>
        <v>space</v>
      </c>
      <c r="F1426" t="s">
        <v>7091</v>
      </c>
      <c r="G1426" t="str">
        <f>_xlfn.IFNA(VLOOKUP(F1426,songs!$B$1:$C$1539, 2, FALSE),"")</f>
        <v>Space</v>
      </c>
      <c r="H1426" t="s">
        <v>277</v>
      </c>
    </row>
    <row r="1427" spans="1:8" x14ac:dyDescent="0.25">
      <c r="A1427">
        <v>1426</v>
      </c>
      <c r="B1427" t="s">
        <v>1795</v>
      </c>
      <c r="C1427" t="s">
        <v>139</v>
      </c>
      <c r="D1427" t="str">
        <f t="shared" si="48"/>
        <v/>
      </c>
      <c r="E1427" t="str">
        <f t="shared" si="49"/>
        <v>the other one</v>
      </c>
      <c r="F1427" t="s">
        <v>7325</v>
      </c>
      <c r="G1427" t="str">
        <f>_xlfn.IFNA(VLOOKUP(F1427,songs!$B$1:$C$1539, 2, FALSE),"")</f>
        <v>The Other One</v>
      </c>
      <c r="H1427" t="s">
        <v>139</v>
      </c>
    </row>
    <row r="1428" spans="1:8" x14ac:dyDescent="0.25">
      <c r="A1428">
        <v>1427</v>
      </c>
      <c r="B1428" t="s">
        <v>1796</v>
      </c>
      <c r="C1428" t="s">
        <v>24</v>
      </c>
      <c r="D1428" t="str">
        <f t="shared" si="48"/>
        <v/>
      </c>
      <c r="E1428" t="str">
        <f t="shared" si="49"/>
        <v>stella blue</v>
      </c>
      <c r="F1428" t="s">
        <v>7123</v>
      </c>
      <c r="G1428" t="str">
        <f>_xlfn.IFNA(VLOOKUP(F1428,songs!$B$1:$C$1539, 2, FALSE),"")</f>
        <v>Stella Blue</v>
      </c>
      <c r="H1428" t="s">
        <v>24</v>
      </c>
    </row>
    <row r="1429" spans="1:8" x14ac:dyDescent="0.25">
      <c r="A1429">
        <v>1428</v>
      </c>
      <c r="B1429" t="s">
        <v>1797</v>
      </c>
      <c r="C1429" t="s">
        <v>579</v>
      </c>
      <c r="D1429" t="str">
        <f t="shared" si="48"/>
        <v/>
      </c>
      <c r="E1429" t="str">
        <f t="shared" si="49"/>
        <v>around and around</v>
      </c>
      <c r="F1429" t="s">
        <v>5103</v>
      </c>
      <c r="G1429" t="str">
        <f>_xlfn.IFNA(VLOOKUP(F1429,songs!$B$1:$C$1539, 2, FALSE),"")</f>
        <v>Around And Around</v>
      </c>
      <c r="H1429" t="s">
        <v>579</v>
      </c>
    </row>
    <row r="1430" spans="1:8" x14ac:dyDescent="0.25">
      <c r="A1430">
        <v>1429</v>
      </c>
      <c r="B1430" t="s">
        <v>1798</v>
      </c>
      <c r="C1430" t="s">
        <v>242</v>
      </c>
      <c r="D1430" t="str">
        <f t="shared" si="48"/>
        <v/>
      </c>
      <c r="E1430" t="str">
        <f t="shared" si="49"/>
        <v>good lovin'</v>
      </c>
      <c r="F1430" t="s">
        <v>5810</v>
      </c>
      <c r="G1430" t="str">
        <f>_xlfn.IFNA(VLOOKUP(F1430,songs!$B$1:$C$1539, 2, FALSE),"")</f>
        <v>Good Lovin'</v>
      </c>
      <c r="H1430" t="s">
        <v>242</v>
      </c>
    </row>
    <row r="1431" spans="1:8" x14ac:dyDescent="0.25">
      <c r="A1431">
        <v>1430</v>
      </c>
      <c r="B1431" t="s">
        <v>1799</v>
      </c>
      <c r="C1431" t="s">
        <v>183</v>
      </c>
      <c r="D1431" t="str">
        <f t="shared" si="48"/>
        <v/>
      </c>
      <c r="E1431" t="str">
        <f t="shared" si="49"/>
        <v>u.s. blues</v>
      </c>
      <c r="F1431" t="s">
        <v>7464</v>
      </c>
      <c r="G1431" t="str">
        <f>_xlfn.IFNA(VLOOKUP(F1431,songs!$B$1:$C$1539, 2, FALSE),"")</f>
        <v>U.S. Blues</v>
      </c>
      <c r="H1431" t="s">
        <v>183</v>
      </c>
    </row>
    <row r="1432" spans="1:8" x14ac:dyDescent="0.25">
      <c r="A1432">
        <v>1505</v>
      </c>
      <c r="B1432" t="s">
        <v>1878</v>
      </c>
      <c r="C1432" t="s">
        <v>615</v>
      </c>
      <c r="D1432" t="str">
        <f t="shared" si="48"/>
        <v/>
      </c>
      <c r="E1432" t="str">
        <f t="shared" si="49"/>
        <v>brown-eyed women</v>
      </c>
      <c r="F1432" t="s">
        <v>5255</v>
      </c>
      <c r="G1432" t="str">
        <f>_xlfn.IFNA(VLOOKUP(F1432,songs!$B$1:$C$1539, 2, FALSE),"")</f>
        <v>Brown Eyed Women</v>
      </c>
      <c r="H1432" t="s">
        <v>7867</v>
      </c>
    </row>
    <row r="1433" spans="1:8" x14ac:dyDescent="0.25">
      <c r="A1433">
        <v>1432</v>
      </c>
      <c r="B1433" t="s">
        <v>1802</v>
      </c>
      <c r="C1433" t="s">
        <v>130</v>
      </c>
      <c r="D1433" t="str">
        <f t="shared" si="48"/>
        <v/>
      </c>
      <c r="E1433" t="str">
        <f t="shared" si="49"/>
        <v>promised land</v>
      </c>
      <c r="F1433" t="s">
        <v>6797</v>
      </c>
      <c r="G1433" t="str">
        <f>_xlfn.IFNA(VLOOKUP(F1433,songs!$B$1:$C$1539, 2, FALSE),"")</f>
        <v>Promised Land</v>
      </c>
      <c r="H1433" t="s">
        <v>130</v>
      </c>
    </row>
    <row r="1434" spans="1:8" x14ac:dyDescent="0.25">
      <c r="A1434">
        <v>1433</v>
      </c>
      <c r="B1434" t="s">
        <v>1803</v>
      </c>
      <c r="C1434" t="s">
        <v>264</v>
      </c>
      <c r="D1434" t="str">
        <f t="shared" si="48"/>
        <v/>
      </c>
      <c r="E1434" t="str">
        <f t="shared" si="49"/>
        <v>deal</v>
      </c>
      <c r="F1434" t="s">
        <v>5461</v>
      </c>
      <c r="G1434" t="str">
        <f>_xlfn.IFNA(VLOOKUP(F1434,songs!$B$1:$C$1539, 2, FALSE),"")</f>
        <v>Deal</v>
      </c>
      <c r="H1434" t="s">
        <v>264</v>
      </c>
    </row>
    <row r="1435" spans="1:8" x14ac:dyDescent="0.25">
      <c r="A1435">
        <v>1434</v>
      </c>
      <c r="B1435" t="s">
        <v>1804</v>
      </c>
      <c r="C1435" t="s">
        <v>186</v>
      </c>
      <c r="D1435" t="str">
        <f t="shared" si="48"/>
        <v/>
      </c>
      <c r="E1435" t="str">
        <f t="shared" si="49"/>
        <v>mexicali blues</v>
      </c>
      <c r="F1435" t="s">
        <v>6499</v>
      </c>
      <c r="G1435" t="str">
        <f>_xlfn.IFNA(VLOOKUP(F1435,songs!$B$1:$C$1539, 2, FALSE),"")</f>
        <v>Mexicali Blues</v>
      </c>
      <c r="H1435" t="s">
        <v>186</v>
      </c>
    </row>
    <row r="1436" spans="1:8" x14ac:dyDescent="0.25">
      <c r="A1436">
        <v>1506</v>
      </c>
      <c r="B1436" t="s">
        <v>1879</v>
      </c>
      <c r="C1436" t="s">
        <v>102</v>
      </c>
      <c r="D1436" t="str">
        <f t="shared" si="48"/>
        <v/>
      </c>
      <c r="E1436" t="str">
        <f t="shared" si="49"/>
        <v>me &amp; my uncle</v>
      </c>
      <c r="F1436" t="s">
        <v>6486</v>
      </c>
      <c r="G1436" t="str">
        <f>_xlfn.IFNA(VLOOKUP(F1436,songs!$B$1:$C$1539, 2, FALSE),"")</f>
        <v>Me And My Uncle</v>
      </c>
      <c r="H1436" t="s">
        <v>7867</v>
      </c>
    </row>
    <row r="1437" spans="1:8" x14ac:dyDescent="0.25">
      <c r="A1437">
        <v>1436</v>
      </c>
      <c r="B1437" t="s">
        <v>1806</v>
      </c>
      <c r="C1437" t="s">
        <v>431</v>
      </c>
      <c r="D1437" t="str">
        <f t="shared" si="48"/>
        <v/>
      </c>
      <c r="E1437" t="str">
        <f t="shared" si="49"/>
        <v>beat it on down the line</v>
      </c>
      <c r="F1437" t="s">
        <v>5149</v>
      </c>
      <c r="G1437" t="str">
        <f>_xlfn.IFNA(VLOOKUP(F1437,songs!$B$1:$C$1539, 2, FALSE),"")</f>
        <v>Beat It On Down The Line</v>
      </c>
      <c r="H1437" t="s">
        <v>431</v>
      </c>
    </row>
    <row r="1438" spans="1:8" x14ac:dyDescent="0.25">
      <c r="A1438">
        <v>1437</v>
      </c>
      <c r="B1438" t="s">
        <v>1807</v>
      </c>
      <c r="C1438" t="s">
        <v>188</v>
      </c>
      <c r="D1438" t="str">
        <f t="shared" si="48"/>
        <v/>
      </c>
      <c r="E1438" t="str">
        <f t="shared" si="49"/>
        <v>row jimmy</v>
      </c>
      <c r="F1438" t="s">
        <v>6893</v>
      </c>
      <c r="G1438" t="str">
        <f>_xlfn.IFNA(VLOOKUP(F1438,songs!$B$1:$C$1539, 2, FALSE),"")</f>
        <v>Row Jimmy</v>
      </c>
      <c r="H1438" t="s">
        <v>188</v>
      </c>
    </row>
    <row r="1439" spans="1:8" x14ac:dyDescent="0.25">
      <c r="A1439">
        <v>1438</v>
      </c>
      <c r="B1439" t="s">
        <v>1808</v>
      </c>
      <c r="C1439" t="s">
        <v>126</v>
      </c>
      <c r="D1439" t="str">
        <f t="shared" si="48"/>
        <v/>
      </c>
      <c r="E1439" t="str">
        <f t="shared" si="49"/>
        <v>looks like rain</v>
      </c>
      <c r="F1439" t="s">
        <v>6398</v>
      </c>
      <c r="G1439" t="str">
        <f>_xlfn.IFNA(VLOOKUP(F1439,songs!$B$1:$C$1539, 2, FALSE),"")</f>
        <v>Looks Like Rain</v>
      </c>
      <c r="H1439" t="s">
        <v>126</v>
      </c>
    </row>
    <row r="1440" spans="1:8" x14ac:dyDescent="0.25">
      <c r="A1440">
        <v>1439</v>
      </c>
      <c r="B1440" t="s">
        <v>1809</v>
      </c>
      <c r="C1440" t="s">
        <v>1666</v>
      </c>
      <c r="D1440" t="str">
        <f t="shared" si="48"/>
        <v/>
      </c>
      <c r="E1440" t="str">
        <f t="shared" si="49"/>
        <v>wave that flag</v>
      </c>
      <c r="F1440" t="s">
        <v>7645</v>
      </c>
      <c r="G1440" t="str">
        <f>_xlfn.IFNA(VLOOKUP(F1440,songs!$B$1:$C$1539, 2, FALSE),"")</f>
        <v>Wave That Flag</v>
      </c>
      <c r="H1440" t="s">
        <v>1666</v>
      </c>
    </row>
    <row r="1441" spans="1:8" x14ac:dyDescent="0.25">
      <c r="A1441">
        <v>1440</v>
      </c>
      <c r="B1441" t="s">
        <v>1810</v>
      </c>
      <c r="C1441" t="s">
        <v>915</v>
      </c>
      <c r="D1441" t="str">
        <f t="shared" si="48"/>
        <v/>
      </c>
      <c r="E1441" t="str">
        <f t="shared" si="49"/>
        <v>box of rain</v>
      </c>
      <c r="F1441" t="s">
        <v>5237</v>
      </c>
      <c r="G1441" t="str">
        <f>_xlfn.IFNA(VLOOKUP(F1441,songs!$B$1:$C$1539, 2, FALSE),"")</f>
        <v>Box Of Rain</v>
      </c>
      <c r="H1441" t="s">
        <v>915</v>
      </c>
    </row>
    <row r="1442" spans="1:8" x14ac:dyDescent="0.25">
      <c r="A1442">
        <v>1441</v>
      </c>
      <c r="B1442" t="s">
        <v>1811</v>
      </c>
      <c r="C1442" t="s">
        <v>3</v>
      </c>
      <c r="D1442" t="str">
        <f t="shared" si="48"/>
        <v/>
      </c>
      <c r="E1442" t="str">
        <f t="shared" si="49"/>
        <v>big river</v>
      </c>
      <c r="F1442" t="s">
        <v>5175</v>
      </c>
      <c r="G1442" t="str">
        <f>_xlfn.IFNA(VLOOKUP(F1442,songs!$B$1:$C$1539, 2, FALSE),"")</f>
        <v>Big River</v>
      </c>
      <c r="H1442" t="s">
        <v>3</v>
      </c>
    </row>
    <row r="1443" spans="1:8" x14ac:dyDescent="0.25">
      <c r="A1443">
        <v>1442</v>
      </c>
      <c r="B1443" t="s">
        <v>1812</v>
      </c>
      <c r="C1443" t="s">
        <v>84</v>
      </c>
      <c r="D1443" t="str">
        <f t="shared" si="48"/>
        <v/>
      </c>
      <c r="E1443" t="str">
        <f t="shared" si="49"/>
        <v>china cat sunflower</v>
      </c>
      <c r="F1443" t="s">
        <v>5319</v>
      </c>
      <c r="G1443" t="str">
        <f>_xlfn.IFNA(VLOOKUP(F1443,songs!$B$1:$C$1539, 2, FALSE),"")</f>
        <v>China Cat Sunflower</v>
      </c>
      <c r="H1443" t="s">
        <v>84</v>
      </c>
    </row>
    <row r="1444" spans="1:8" x14ac:dyDescent="0.25">
      <c r="A1444">
        <v>1443</v>
      </c>
      <c r="B1444" t="s">
        <v>1813</v>
      </c>
      <c r="C1444" t="s">
        <v>86</v>
      </c>
      <c r="D1444" t="str">
        <f t="shared" si="48"/>
        <v/>
      </c>
      <c r="E1444" t="str">
        <f t="shared" si="49"/>
        <v>i know you rider</v>
      </c>
      <c r="F1444" t="s">
        <v>6020</v>
      </c>
      <c r="G1444" t="str">
        <f>_xlfn.IFNA(VLOOKUP(F1444,songs!$B$1:$C$1539, 2, FALSE),"")</f>
        <v>I Know You Rider</v>
      </c>
      <c r="H1444" t="s">
        <v>86</v>
      </c>
    </row>
    <row r="1445" spans="1:8" x14ac:dyDescent="0.25">
      <c r="A1445">
        <v>1444</v>
      </c>
      <c r="B1445" t="s">
        <v>1814</v>
      </c>
      <c r="C1445" t="s">
        <v>1678</v>
      </c>
      <c r="D1445" t="str">
        <f t="shared" si="48"/>
        <v/>
      </c>
      <c r="E1445" t="str">
        <f t="shared" si="49"/>
        <v>you ain't woman enough</v>
      </c>
      <c r="F1445" t="s">
        <v>7771</v>
      </c>
      <c r="G1445" t="str">
        <f>_xlfn.IFNA(VLOOKUP(F1445,songs!$B$1:$C$1539, 2, FALSE),"")</f>
        <v>You Ain't Woman Enough</v>
      </c>
      <c r="H1445" t="s">
        <v>1678</v>
      </c>
    </row>
    <row r="1446" spans="1:8" x14ac:dyDescent="0.25">
      <c r="A1446">
        <v>1445</v>
      </c>
      <c r="B1446" t="s">
        <v>1815</v>
      </c>
      <c r="C1446" t="s">
        <v>199</v>
      </c>
      <c r="D1446" t="str">
        <f t="shared" si="48"/>
        <v/>
      </c>
      <c r="E1446" t="str">
        <f t="shared" si="49"/>
        <v>jack straw</v>
      </c>
      <c r="F1446" t="s">
        <v>6161</v>
      </c>
      <c r="G1446" t="str">
        <f>_xlfn.IFNA(VLOOKUP(F1446,songs!$B$1:$C$1539, 2, FALSE),"")</f>
        <v>Jack Straw</v>
      </c>
      <c r="H1446" t="s">
        <v>199</v>
      </c>
    </row>
    <row r="1447" spans="1:8" x14ac:dyDescent="0.25">
      <c r="A1447">
        <v>1446</v>
      </c>
      <c r="B1447" t="s">
        <v>1816</v>
      </c>
      <c r="C1447" t="s">
        <v>215</v>
      </c>
      <c r="D1447" t="str">
        <f t="shared" si="48"/>
        <v/>
      </c>
      <c r="E1447" t="str">
        <f t="shared" si="49"/>
        <v>don't ease me in</v>
      </c>
      <c r="F1447" t="s">
        <v>5513</v>
      </c>
      <c r="G1447" t="str">
        <f>_xlfn.IFNA(VLOOKUP(F1447,songs!$B$1:$C$1539, 2, FALSE),"")</f>
        <v>Don't Ease Me In</v>
      </c>
      <c r="H1447" t="s">
        <v>215</v>
      </c>
    </row>
    <row r="1448" spans="1:8" x14ac:dyDescent="0.25">
      <c r="A1448">
        <v>1447</v>
      </c>
      <c r="B1448" t="s">
        <v>1817</v>
      </c>
      <c r="C1448" t="s">
        <v>419</v>
      </c>
      <c r="D1448" t="str">
        <f t="shared" si="48"/>
        <v/>
      </c>
      <c r="E1448" t="str">
        <f t="shared" si="49"/>
        <v>playing in the band</v>
      </c>
      <c r="F1448" t="s">
        <v>6769</v>
      </c>
      <c r="G1448" t="str">
        <f>_xlfn.IFNA(VLOOKUP(F1448,songs!$B$1:$C$1539, 2, FALSE),"")</f>
        <v>Playing In The Band</v>
      </c>
      <c r="H1448" t="s">
        <v>419</v>
      </c>
    </row>
    <row r="1449" spans="1:8" x14ac:dyDescent="0.25">
      <c r="A1449">
        <v>1448</v>
      </c>
      <c r="B1449" t="s">
        <v>1818</v>
      </c>
      <c r="C1449" t="s">
        <v>436</v>
      </c>
      <c r="D1449" t="str">
        <f t="shared" si="48"/>
        <v/>
      </c>
      <c r="E1449" t="str">
        <f t="shared" si="49"/>
        <v>ramble on rose</v>
      </c>
      <c r="F1449" t="s">
        <v>6827</v>
      </c>
      <c r="G1449" t="str">
        <f>_xlfn.IFNA(VLOOKUP(F1449,songs!$B$1:$C$1539, 2, FALSE),"")</f>
        <v>Ramble On Rose</v>
      </c>
      <c r="H1449" t="s">
        <v>436</v>
      </c>
    </row>
    <row r="1450" spans="1:8" x14ac:dyDescent="0.25">
      <c r="A1450">
        <v>1449</v>
      </c>
      <c r="B1450" t="s">
        <v>1819</v>
      </c>
      <c r="C1450" t="s">
        <v>903</v>
      </c>
      <c r="D1450" t="str">
        <f t="shared" si="48"/>
        <v/>
      </c>
      <c r="E1450" t="str">
        <f t="shared" si="49"/>
        <v>me and my uncle</v>
      </c>
      <c r="F1450" t="s">
        <v>6486</v>
      </c>
      <c r="G1450" t="str">
        <f>_xlfn.IFNA(VLOOKUP(F1450,songs!$B$1:$C$1539, 2, FALSE),"")</f>
        <v>Me And My Uncle</v>
      </c>
      <c r="H1450" t="s">
        <v>903</v>
      </c>
    </row>
    <row r="1451" spans="1:8" x14ac:dyDescent="0.25">
      <c r="A1451">
        <v>1450</v>
      </c>
      <c r="B1451" t="s">
        <v>1820</v>
      </c>
      <c r="C1451" t="s">
        <v>458</v>
      </c>
      <c r="D1451" t="str">
        <f t="shared" si="48"/>
        <v/>
      </c>
      <c r="E1451" t="str">
        <f t="shared" si="49"/>
        <v>mississippi half-step uptown toodeloo</v>
      </c>
      <c r="F1451" t="s">
        <v>6531</v>
      </c>
      <c r="G1451" t="str">
        <f>_xlfn.IFNA(VLOOKUP(F1451,songs!$B$1:$C$1539, 2, FALSE),"")</f>
        <v>Mississippi Half-Step Uptown Toodeloo</v>
      </c>
      <c r="H1451" t="s">
        <v>458</v>
      </c>
    </row>
    <row r="1452" spans="1:8" x14ac:dyDescent="0.25">
      <c r="A1452">
        <v>1451</v>
      </c>
      <c r="B1452" t="s">
        <v>1821</v>
      </c>
      <c r="C1452" t="s">
        <v>154</v>
      </c>
      <c r="D1452" t="str">
        <f t="shared" si="48"/>
        <v/>
      </c>
      <c r="E1452" t="str">
        <f t="shared" si="49"/>
        <v>greatest story ever told</v>
      </c>
      <c r="F1452" t="s">
        <v>5826</v>
      </c>
      <c r="G1452" t="str">
        <f>_xlfn.IFNA(VLOOKUP(F1452,songs!$B$1:$C$1539, 2, FALSE),"")</f>
        <v>Greatest Story Ever Told</v>
      </c>
      <c r="H1452" t="s">
        <v>154</v>
      </c>
    </row>
    <row r="1453" spans="1:8" x14ac:dyDescent="0.25">
      <c r="A1453">
        <v>1452</v>
      </c>
      <c r="B1453" t="s">
        <v>1822</v>
      </c>
      <c r="C1453" t="s">
        <v>858</v>
      </c>
      <c r="D1453" t="str">
        <f t="shared" si="48"/>
        <v/>
      </c>
      <c r="E1453" t="str">
        <f t="shared" si="49"/>
        <v>loose lucy</v>
      </c>
      <c r="F1453" t="s">
        <v>6399</v>
      </c>
      <c r="G1453" t="str">
        <f>_xlfn.IFNA(VLOOKUP(F1453,songs!$B$1:$C$1539, 2, FALSE),"")</f>
        <v>Loose Lucy</v>
      </c>
      <c r="H1453" t="s">
        <v>858</v>
      </c>
    </row>
    <row r="1454" spans="1:8" x14ac:dyDescent="0.25">
      <c r="A1454">
        <v>1453</v>
      </c>
      <c r="B1454" t="s">
        <v>1823</v>
      </c>
      <c r="C1454" t="s">
        <v>327</v>
      </c>
      <c r="D1454" t="str">
        <f t="shared" si="48"/>
        <v/>
      </c>
      <c r="E1454" t="str">
        <f t="shared" si="49"/>
        <v>el paso</v>
      </c>
      <c r="F1454" t="s">
        <v>5600</v>
      </c>
      <c r="G1454" t="str">
        <f>_xlfn.IFNA(VLOOKUP(F1454,songs!$B$1:$C$1539, 2, FALSE),"")</f>
        <v>El Paso</v>
      </c>
      <c r="H1454" t="s">
        <v>327</v>
      </c>
    </row>
    <row r="1455" spans="1:8" x14ac:dyDescent="0.25">
      <c r="A1455">
        <v>1454</v>
      </c>
      <c r="B1455" t="s">
        <v>1824</v>
      </c>
      <c r="C1455" t="s">
        <v>24</v>
      </c>
      <c r="D1455" t="str">
        <f t="shared" si="48"/>
        <v/>
      </c>
      <c r="E1455" t="str">
        <f t="shared" si="49"/>
        <v>stella blue</v>
      </c>
      <c r="F1455" t="s">
        <v>7123</v>
      </c>
      <c r="G1455" t="str">
        <f>_xlfn.IFNA(VLOOKUP(F1455,songs!$B$1:$C$1539, 2, FALSE),"")</f>
        <v>Stella Blue</v>
      </c>
      <c r="H1455" t="s">
        <v>24</v>
      </c>
    </row>
    <row r="1456" spans="1:8" x14ac:dyDescent="0.25">
      <c r="A1456">
        <v>1455</v>
      </c>
      <c r="B1456" t="s">
        <v>1825</v>
      </c>
      <c r="C1456" t="s">
        <v>579</v>
      </c>
      <c r="D1456" t="str">
        <f t="shared" si="48"/>
        <v/>
      </c>
      <c r="E1456" t="str">
        <f t="shared" si="49"/>
        <v>around and around</v>
      </c>
      <c r="F1456" t="s">
        <v>5103</v>
      </c>
      <c r="G1456" t="str">
        <f>_xlfn.IFNA(VLOOKUP(F1456,songs!$B$1:$C$1539, 2, FALSE),"")</f>
        <v>Around And Around</v>
      </c>
      <c r="H1456" t="s">
        <v>579</v>
      </c>
    </row>
    <row r="1457" spans="1:8" x14ac:dyDescent="0.25">
      <c r="A1457">
        <v>1456</v>
      </c>
      <c r="B1457" t="s">
        <v>1826</v>
      </c>
      <c r="C1457" t="s">
        <v>1</v>
      </c>
      <c r="D1457" t="str">
        <f t="shared" si="48"/>
        <v/>
      </c>
      <c r="E1457" t="str">
        <f t="shared" si="49"/>
        <v>here comes sunshine</v>
      </c>
      <c r="F1457" t="s">
        <v>5898</v>
      </c>
      <c r="G1457" t="str">
        <f>_xlfn.IFNA(VLOOKUP(F1457,songs!$B$1:$C$1539, 2, FALSE),"")</f>
        <v>Here Comes Sunshine</v>
      </c>
      <c r="H1457" t="s">
        <v>1</v>
      </c>
    </row>
    <row r="1458" spans="1:8" x14ac:dyDescent="0.25">
      <c r="A1458">
        <v>1457</v>
      </c>
      <c r="B1458" t="s">
        <v>1827</v>
      </c>
      <c r="C1458" t="s">
        <v>19</v>
      </c>
      <c r="D1458" t="str">
        <f t="shared" si="48"/>
        <v/>
      </c>
      <c r="E1458" t="str">
        <f t="shared" si="49"/>
        <v>jam</v>
      </c>
      <c r="F1458" t="s">
        <v>6165</v>
      </c>
      <c r="G1458" t="str">
        <f>_xlfn.IFNA(VLOOKUP(F1458,songs!$B$1:$C$1539, 2, FALSE),"")</f>
        <v>Jam</v>
      </c>
      <c r="H1458" t="s">
        <v>19</v>
      </c>
    </row>
    <row r="1459" spans="1:8" x14ac:dyDescent="0.25">
      <c r="A1459">
        <v>1458</v>
      </c>
      <c r="B1459" t="s">
        <v>1828</v>
      </c>
      <c r="C1459" t="s">
        <v>1228</v>
      </c>
      <c r="D1459" t="str">
        <f t="shared" si="48"/>
        <v/>
      </c>
      <c r="E1459" t="str">
        <f t="shared" si="49"/>
        <v>me and bobby mcgee</v>
      </c>
      <c r="F1459" t="s">
        <v>6483</v>
      </c>
      <c r="G1459" t="str">
        <f>_xlfn.IFNA(VLOOKUP(F1459,songs!$B$1:$C$1539, 2, FALSE),"")</f>
        <v>Me And Bobby McGee</v>
      </c>
      <c r="H1459" t="s">
        <v>1228</v>
      </c>
    </row>
    <row r="1460" spans="1:8" x14ac:dyDescent="0.25">
      <c r="A1460">
        <v>1511</v>
      </c>
      <c r="B1460" t="s">
        <v>1885</v>
      </c>
      <c r="C1460" t="s">
        <v>44</v>
      </c>
      <c r="D1460" t="str">
        <f t="shared" si="48"/>
        <v/>
      </c>
      <c r="E1460" t="str">
        <f t="shared" si="49"/>
        <v>goin' down the road feeling bad</v>
      </c>
      <c r="F1460" t="s">
        <v>5783</v>
      </c>
      <c r="G1460" t="str">
        <f>_xlfn.IFNA(VLOOKUP(F1460,songs!$B$1:$C$1539, 2, FALSE),"")</f>
        <v>Goin' Down The Road Feelin' Bad</v>
      </c>
      <c r="H1460" t="s">
        <v>7867</v>
      </c>
    </row>
    <row r="1461" spans="1:8" x14ac:dyDescent="0.25">
      <c r="A1461">
        <v>1460</v>
      </c>
      <c r="B1461" t="s">
        <v>1831</v>
      </c>
      <c r="C1461" t="s">
        <v>471</v>
      </c>
      <c r="D1461" t="str">
        <f t="shared" si="48"/>
        <v/>
      </c>
      <c r="E1461" t="str">
        <f t="shared" si="49"/>
        <v>eyes of the world</v>
      </c>
      <c r="F1461" t="s">
        <v>5633</v>
      </c>
      <c r="G1461" t="str">
        <f>_xlfn.IFNA(VLOOKUP(F1461,songs!$B$1:$C$1539, 2, FALSE),"")</f>
        <v>Eyes Of The World</v>
      </c>
      <c r="H1461" t="s">
        <v>471</v>
      </c>
    </row>
    <row r="1462" spans="1:8" x14ac:dyDescent="0.25">
      <c r="A1462">
        <v>1461</v>
      </c>
      <c r="B1462" t="s">
        <v>1832</v>
      </c>
      <c r="C1462" t="s">
        <v>304</v>
      </c>
      <c r="D1462" t="str">
        <f t="shared" ref="D1462:D1525" si="50">IF(RIGHT(TRIM(C1462),2)="-&gt;","&gt;",IF(RIGHT(TRIM(C1462),1)="&gt;","&gt;",""))</f>
        <v/>
      </c>
      <c r="E1462" t="str">
        <f t="shared" si="49"/>
        <v>china doll</v>
      </c>
      <c r="F1462" t="s">
        <v>5320</v>
      </c>
      <c r="G1462" t="str">
        <f>_xlfn.IFNA(VLOOKUP(F1462,songs!$B$1:$C$1539, 2, FALSE),"")</f>
        <v>China Doll</v>
      </c>
      <c r="H1462" t="s">
        <v>304</v>
      </c>
    </row>
    <row r="1463" spans="1:8" x14ac:dyDescent="0.25">
      <c r="A1463">
        <v>1462</v>
      </c>
      <c r="B1463" t="s">
        <v>1833</v>
      </c>
      <c r="C1463" t="s">
        <v>30</v>
      </c>
      <c r="D1463" t="str">
        <f t="shared" si="50"/>
        <v/>
      </c>
      <c r="E1463" t="str">
        <f t="shared" si="49"/>
        <v>sugar magnolia</v>
      </c>
      <c r="F1463" t="s">
        <v>7150</v>
      </c>
      <c r="G1463" t="str">
        <f>_xlfn.IFNA(VLOOKUP(F1463,songs!$B$1:$C$1539, 2, FALSE),"")</f>
        <v>Sugar Magnolia</v>
      </c>
      <c r="H1463" t="s">
        <v>30</v>
      </c>
    </row>
    <row r="1464" spans="1:8" x14ac:dyDescent="0.25">
      <c r="A1464">
        <v>1463</v>
      </c>
      <c r="B1464" t="s">
        <v>1834</v>
      </c>
      <c r="C1464" t="s">
        <v>81</v>
      </c>
      <c r="D1464" t="str">
        <f t="shared" si="50"/>
        <v/>
      </c>
      <c r="E1464" t="str">
        <f t="shared" si="49"/>
        <v>casey jones</v>
      </c>
      <c r="F1464" t="s">
        <v>5290</v>
      </c>
      <c r="G1464" t="str">
        <f>_xlfn.IFNA(VLOOKUP(F1464,songs!$B$1:$C$1539, 2, FALSE),"")</f>
        <v>Casey Jones</v>
      </c>
      <c r="H1464" t="s">
        <v>81</v>
      </c>
    </row>
    <row r="1465" spans="1:8" x14ac:dyDescent="0.25">
      <c r="A1465">
        <v>1464</v>
      </c>
      <c r="B1465" t="s">
        <v>1835</v>
      </c>
      <c r="C1465" t="s">
        <v>148</v>
      </c>
      <c r="D1465" t="str">
        <f t="shared" si="50"/>
        <v/>
      </c>
      <c r="E1465" t="str">
        <f t="shared" si="49"/>
        <v>johnny b. goode</v>
      </c>
      <c r="F1465" t="s">
        <v>6192</v>
      </c>
      <c r="G1465" t="str">
        <f>_xlfn.IFNA(VLOOKUP(F1465,songs!$B$1:$C$1539, 2, FALSE),"")</f>
        <v>Johnny B. Goode</v>
      </c>
      <c r="H1465" t="s">
        <v>148</v>
      </c>
    </row>
    <row r="1466" spans="1:8" x14ac:dyDescent="0.25">
      <c r="A1466">
        <v>1514</v>
      </c>
      <c r="B1466" t="s">
        <v>1888</v>
      </c>
      <c r="C1466" t="s">
        <v>122</v>
      </c>
      <c r="D1466" t="str">
        <f t="shared" si="50"/>
        <v/>
      </c>
      <c r="E1466" t="str">
        <f t="shared" si="49"/>
        <v>new minglewood blues</v>
      </c>
      <c r="F1466" t="s">
        <v>7869</v>
      </c>
      <c r="G1466" t="str">
        <f>_xlfn.IFNA(VLOOKUP(F1466,songs!$B$1:$C$1539, 2, FALSE),"")</f>
        <v>Minglewood Blues</v>
      </c>
      <c r="H1466" t="s">
        <v>7867</v>
      </c>
    </row>
    <row r="1467" spans="1:8" x14ac:dyDescent="0.25">
      <c r="A1467">
        <v>1466</v>
      </c>
      <c r="B1467" t="s">
        <v>1837</v>
      </c>
      <c r="C1467" t="s">
        <v>15</v>
      </c>
      <c r="D1467" t="str">
        <f t="shared" si="50"/>
        <v/>
      </c>
      <c r="E1467" t="str">
        <f t="shared" si="49"/>
        <v>truckin'</v>
      </c>
      <c r="F1467" t="s">
        <v>7436</v>
      </c>
      <c r="G1467" t="str">
        <f>_xlfn.IFNA(VLOOKUP(F1467,songs!$B$1:$C$1539, 2, FALSE),"")</f>
        <v>Truckin'</v>
      </c>
      <c r="H1467" t="s">
        <v>15</v>
      </c>
    </row>
    <row r="1468" spans="1:8" x14ac:dyDescent="0.25">
      <c r="A1468">
        <v>1467</v>
      </c>
      <c r="B1468" t="s">
        <v>1838</v>
      </c>
      <c r="C1468" t="s">
        <v>291</v>
      </c>
      <c r="D1468" t="str">
        <f t="shared" si="50"/>
        <v/>
      </c>
      <c r="E1468" t="str">
        <f t="shared" si="49"/>
        <v>loser</v>
      </c>
      <c r="F1468" t="s">
        <v>6400</v>
      </c>
      <c r="G1468" t="str">
        <f>_xlfn.IFNA(VLOOKUP(F1468,songs!$B$1:$C$1539, 2, FALSE),"")</f>
        <v>Loser</v>
      </c>
      <c r="H1468" t="s">
        <v>291</v>
      </c>
    </row>
    <row r="1469" spans="1:8" x14ac:dyDescent="0.25">
      <c r="A1469">
        <v>1468</v>
      </c>
      <c r="B1469" t="s">
        <v>1839</v>
      </c>
      <c r="C1469" t="s">
        <v>1013</v>
      </c>
      <c r="D1469" t="str">
        <f t="shared" si="50"/>
        <v/>
      </c>
      <c r="E1469" t="str">
        <f t="shared" si="49"/>
        <v>mr. charlie</v>
      </c>
      <c r="F1469" t="s">
        <v>6571</v>
      </c>
      <c r="G1469" t="str">
        <f>_xlfn.IFNA(VLOOKUP(F1469,songs!$B$1:$C$1539, 2, FALSE),"")</f>
        <v>Mr. Charlie</v>
      </c>
      <c r="H1469" t="s">
        <v>1013</v>
      </c>
    </row>
    <row r="1470" spans="1:8" x14ac:dyDescent="0.25">
      <c r="A1470">
        <v>1469</v>
      </c>
      <c r="B1470" t="s">
        <v>1840</v>
      </c>
      <c r="C1470" t="s">
        <v>199</v>
      </c>
      <c r="D1470" t="str">
        <f t="shared" si="50"/>
        <v/>
      </c>
      <c r="E1470" t="str">
        <f t="shared" si="49"/>
        <v>jack straw</v>
      </c>
      <c r="F1470" t="s">
        <v>6161</v>
      </c>
      <c r="G1470" t="str">
        <f>_xlfn.IFNA(VLOOKUP(F1470,songs!$B$1:$C$1539, 2, FALSE),"")</f>
        <v>Jack Straw</v>
      </c>
      <c r="H1470" t="s">
        <v>199</v>
      </c>
    </row>
    <row r="1471" spans="1:8" x14ac:dyDescent="0.25">
      <c r="A1471">
        <v>1470</v>
      </c>
      <c r="B1471" t="s">
        <v>1841</v>
      </c>
      <c r="C1471" t="s">
        <v>84</v>
      </c>
      <c r="D1471" t="str">
        <f t="shared" si="50"/>
        <v/>
      </c>
      <c r="E1471" t="str">
        <f t="shared" si="49"/>
        <v>china cat sunflower</v>
      </c>
      <c r="F1471" t="s">
        <v>5319</v>
      </c>
      <c r="G1471" t="str">
        <f>_xlfn.IFNA(VLOOKUP(F1471,songs!$B$1:$C$1539, 2, FALSE),"")</f>
        <v>China Cat Sunflower</v>
      </c>
      <c r="H1471" t="s">
        <v>84</v>
      </c>
    </row>
    <row r="1472" spans="1:8" x14ac:dyDescent="0.25">
      <c r="A1472">
        <v>1471</v>
      </c>
      <c r="B1472" t="s">
        <v>1842</v>
      </c>
      <c r="C1472" t="s">
        <v>86</v>
      </c>
      <c r="D1472" t="str">
        <f t="shared" si="50"/>
        <v/>
      </c>
      <c r="E1472" t="str">
        <f t="shared" si="49"/>
        <v>i know you rider</v>
      </c>
      <c r="F1472" t="s">
        <v>6020</v>
      </c>
      <c r="G1472" t="str">
        <f>_xlfn.IFNA(VLOOKUP(F1472,songs!$B$1:$C$1539, 2, FALSE),"")</f>
        <v>I Know You Rider</v>
      </c>
      <c r="H1472" t="s">
        <v>86</v>
      </c>
    </row>
    <row r="1473" spans="1:8" x14ac:dyDescent="0.25">
      <c r="A1473">
        <v>1472</v>
      </c>
      <c r="B1473" t="s">
        <v>1843</v>
      </c>
      <c r="C1473" t="s">
        <v>164</v>
      </c>
      <c r="D1473" t="str">
        <f t="shared" si="50"/>
        <v/>
      </c>
      <c r="E1473" t="str">
        <f t="shared" si="49"/>
        <v>tennessee jed</v>
      </c>
      <c r="F1473" t="s">
        <v>7234</v>
      </c>
      <c r="G1473" t="str">
        <f>_xlfn.IFNA(VLOOKUP(F1473,songs!$B$1:$C$1539, 2, FALSE),"")</f>
        <v>Tennessee Jed</v>
      </c>
      <c r="H1473" t="s">
        <v>164</v>
      </c>
    </row>
    <row r="1474" spans="1:8" x14ac:dyDescent="0.25">
      <c r="A1474">
        <v>1473</v>
      </c>
      <c r="B1474" t="s">
        <v>1844</v>
      </c>
      <c r="C1474" t="s">
        <v>186</v>
      </c>
      <c r="D1474" t="str">
        <f t="shared" si="50"/>
        <v/>
      </c>
      <c r="E1474" t="str">
        <f t="shared" si="49"/>
        <v>mexicali blues</v>
      </c>
      <c r="F1474" t="s">
        <v>6499</v>
      </c>
      <c r="G1474" t="str">
        <f>_xlfn.IFNA(VLOOKUP(F1474,songs!$B$1:$C$1539, 2, FALSE),"")</f>
        <v>Mexicali Blues</v>
      </c>
      <c r="H1474" t="s">
        <v>186</v>
      </c>
    </row>
    <row r="1475" spans="1:8" x14ac:dyDescent="0.25">
      <c r="A1475">
        <v>1474</v>
      </c>
      <c r="B1475" t="s">
        <v>1845</v>
      </c>
      <c r="C1475" t="s">
        <v>221</v>
      </c>
      <c r="D1475" t="str">
        <f t="shared" si="50"/>
        <v/>
      </c>
      <c r="E1475" t="str">
        <f t="shared" si="49"/>
        <v>black peter</v>
      </c>
      <c r="F1475" t="s">
        <v>5190</v>
      </c>
      <c r="G1475" t="str">
        <f>_xlfn.IFNA(VLOOKUP(F1475,songs!$B$1:$C$1539, 2, FALSE),"")</f>
        <v>Black Peter</v>
      </c>
      <c r="H1475" t="s">
        <v>221</v>
      </c>
    </row>
    <row r="1476" spans="1:8" x14ac:dyDescent="0.25">
      <c r="A1476">
        <v>1475</v>
      </c>
      <c r="B1476" t="s">
        <v>1846</v>
      </c>
      <c r="C1476" t="s">
        <v>81</v>
      </c>
      <c r="D1476" t="str">
        <f t="shared" si="50"/>
        <v/>
      </c>
      <c r="E1476" t="str">
        <f t="shared" ref="E1476:E1539" si="51">LOWER(TRIM(SUBSTITUTE(IF(RIGHT(TRIM(C1476),2)="-&gt;",LEFT(TRIM(C1476),LEN(TRIM(C1476))-2),IF(RIGHT(TRIM(C1476),1)="&gt;",LEFT(TRIM(C1476),LEN(TRIM(C1476))-1),C1476)),"//","")))</f>
        <v>casey jones</v>
      </c>
      <c r="F1476" t="s">
        <v>5290</v>
      </c>
      <c r="G1476" t="str">
        <f>_xlfn.IFNA(VLOOKUP(F1476,songs!$B$1:$C$1539, 2, FALSE),"")</f>
        <v>Casey Jones</v>
      </c>
      <c r="H1476" t="s">
        <v>81</v>
      </c>
    </row>
    <row r="1477" spans="1:8" x14ac:dyDescent="0.25">
      <c r="A1477">
        <v>1476</v>
      </c>
      <c r="B1477" t="s">
        <v>1847</v>
      </c>
      <c r="C1477" t="s">
        <v>9</v>
      </c>
      <c r="D1477" t="str">
        <f t="shared" si="50"/>
        <v/>
      </c>
      <c r="E1477" t="str">
        <f t="shared" si="51"/>
        <v>big railroad blues</v>
      </c>
      <c r="F1477" t="s">
        <v>5174</v>
      </c>
      <c r="G1477" t="str">
        <f>_xlfn.IFNA(VLOOKUP(F1477,songs!$B$1:$C$1539, 2, FALSE),"")</f>
        <v>Big Railroad Blues</v>
      </c>
      <c r="H1477" t="s">
        <v>9</v>
      </c>
    </row>
    <row r="1478" spans="1:8" x14ac:dyDescent="0.25">
      <c r="A1478">
        <v>1517</v>
      </c>
      <c r="B1478" t="s">
        <v>1891</v>
      </c>
      <c r="C1478" t="s">
        <v>1892</v>
      </c>
      <c r="D1478" t="str">
        <f t="shared" si="50"/>
        <v/>
      </c>
      <c r="E1478" t="str">
        <f t="shared" si="51"/>
        <v>peggy o</v>
      </c>
      <c r="F1478" t="s">
        <v>6749</v>
      </c>
      <c r="G1478" t="str">
        <f>_xlfn.IFNA(VLOOKUP(F1478,songs!$B$1:$C$1539, 2, FALSE),"")</f>
        <v>Peggy-O</v>
      </c>
      <c r="H1478" t="s">
        <v>7867</v>
      </c>
    </row>
    <row r="1479" spans="1:8" x14ac:dyDescent="0.25">
      <c r="A1479">
        <v>1478</v>
      </c>
      <c r="B1479" t="s">
        <v>1849</v>
      </c>
      <c r="C1479" t="s">
        <v>436</v>
      </c>
      <c r="D1479" t="str">
        <f t="shared" si="50"/>
        <v/>
      </c>
      <c r="E1479" t="str">
        <f t="shared" si="51"/>
        <v>ramble on rose</v>
      </c>
      <c r="F1479" t="s">
        <v>6827</v>
      </c>
      <c r="G1479" t="str">
        <f>_xlfn.IFNA(VLOOKUP(F1479,songs!$B$1:$C$1539, 2, FALSE),"")</f>
        <v>Ramble On Rose</v>
      </c>
      <c r="H1479" t="s">
        <v>436</v>
      </c>
    </row>
    <row r="1480" spans="1:8" x14ac:dyDescent="0.25">
      <c r="A1480">
        <v>1479</v>
      </c>
      <c r="B1480" t="s">
        <v>1850</v>
      </c>
      <c r="C1480" t="s">
        <v>419</v>
      </c>
      <c r="D1480" t="str">
        <f t="shared" si="50"/>
        <v/>
      </c>
      <c r="E1480" t="str">
        <f t="shared" si="51"/>
        <v>playing in the band</v>
      </c>
      <c r="F1480" t="s">
        <v>6769</v>
      </c>
      <c r="G1480" t="str">
        <f>_xlfn.IFNA(VLOOKUP(F1480,songs!$B$1:$C$1539, 2, FALSE),"")</f>
        <v>Playing In The Band</v>
      </c>
      <c r="H1480" t="s">
        <v>419</v>
      </c>
    </row>
    <row r="1481" spans="1:8" x14ac:dyDescent="0.25">
      <c r="A1481">
        <v>1480</v>
      </c>
      <c r="B1481" t="s">
        <v>1851</v>
      </c>
      <c r="C1481" t="s">
        <v>233</v>
      </c>
      <c r="D1481" t="str">
        <f t="shared" si="50"/>
        <v/>
      </c>
      <c r="E1481" t="str">
        <f t="shared" si="51"/>
        <v>cryptical envelopment</v>
      </c>
      <c r="F1481" t="s">
        <v>5408</v>
      </c>
      <c r="G1481" t="str">
        <f>_xlfn.IFNA(VLOOKUP(F1481,songs!$B$1:$C$1539, 2, FALSE),"")</f>
        <v>Cryptical Envelopment</v>
      </c>
      <c r="H1481" t="s">
        <v>233</v>
      </c>
    </row>
    <row r="1482" spans="1:8" x14ac:dyDescent="0.25">
      <c r="A1482">
        <v>1481</v>
      </c>
      <c r="B1482" t="s">
        <v>1852</v>
      </c>
      <c r="C1482" t="s">
        <v>100</v>
      </c>
      <c r="D1482" t="str">
        <f t="shared" si="50"/>
        <v/>
      </c>
      <c r="E1482" t="str">
        <f t="shared" si="51"/>
        <v>drums</v>
      </c>
      <c r="F1482" t="s">
        <v>5568</v>
      </c>
      <c r="G1482" t="str">
        <f>_xlfn.IFNA(VLOOKUP(F1482,songs!$B$1:$C$1539, 2, FALSE),"")</f>
        <v>Drums</v>
      </c>
      <c r="H1482" t="s">
        <v>100</v>
      </c>
    </row>
    <row r="1483" spans="1:8" x14ac:dyDescent="0.25">
      <c r="A1483">
        <v>1482</v>
      </c>
      <c r="B1483" t="s">
        <v>1853</v>
      </c>
      <c r="C1483" t="s">
        <v>139</v>
      </c>
      <c r="D1483" t="str">
        <f t="shared" si="50"/>
        <v/>
      </c>
      <c r="E1483" t="str">
        <f t="shared" si="51"/>
        <v>the other one</v>
      </c>
      <c r="F1483" t="s">
        <v>7325</v>
      </c>
      <c r="G1483" t="str">
        <f>_xlfn.IFNA(VLOOKUP(F1483,songs!$B$1:$C$1539, 2, FALSE),"")</f>
        <v>The Other One</v>
      </c>
      <c r="H1483" t="s">
        <v>139</v>
      </c>
    </row>
    <row r="1484" spans="1:8" x14ac:dyDescent="0.25">
      <c r="A1484">
        <v>1531</v>
      </c>
      <c r="B1484" t="s">
        <v>1907</v>
      </c>
      <c r="C1484" t="s">
        <v>1113</v>
      </c>
      <c r="D1484" t="str">
        <f t="shared" si="50"/>
        <v>&gt;</v>
      </c>
      <c r="E1484" t="str">
        <f t="shared" si="51"/>
        <v>st. stephen</v>
      </c>
      <c r="F1484" t="s">
        <v>6910</v>
      </c>
      <c r="G1484" t="str">
        <f>_xlfn.IFNA(VLOOKUP(F1484,songs!$B$1:$C$1539, 2, FALSE),"")</f>
        <v>Saint Stephen</v>
      </c>
      <c r="H1484" t="s">
        <v>7867</v>
      </c>
    </row>
    <row r="1485" spans="1:8" x14ac:dyDescent="0.25">
      <c r="A1485">
        <v>1484</v>
      </c>
      <c r="B1485" t="s">
        <v>1856</v>
      </c>
      <c r="C1485" t="s">
        <v>139</v>
      </c>
      <c r="D1485" t="str">
        <f t="shared" si="50"/>
        <v/>
      </c>
      <c r="E1485" t="str">
        <f t="shared" si="51"/>
        <v>the other one</v>
      </c>
      <c r="F1485" t="s">
        <v>7325</v>
      </c>
      <c r="G1485" t="str">
        <f>_xlfn.IFNA(VLOOKUP(F1485,songs!$B$1:$C$1539, 2, FALSE),"")</f>
        <v>The Other One</v>
      </c>
      <c r="H1485" t="s">
        <v>139</v>
      </c>
    </row>
    <row r="1486" spans="1:8" x14ac:dyDescent="0.25">
      <c r="A1486">
        <v>1485</v>
      </c>
      <c r="B1486" t="s">
        <v>1857</v>
      </c>
      <c r="C1486" t="s">
        <v>73</v>
      </c>
      <c r="D1486" t="str">
        <f t="shared" si="50"/>
        <v/>
      </c>
      <c r="E1486" t="str">
        <f t="shared" si="51"/>
        <v>wharf rat</v>
      </c>
      <c r="F1486" t="s">
        <v>7664</v>
      </c>
      <c r="G1486" t="str">
        <f>_xlfn.IFNA(VLOOKUP(F1486,songs!$B$1:$C$1539, 2, FALSE),"")</f>
        <v>Wharf Rat</v>
      </c>
      <c r="H1486" t="s">
        <v>73</v>
      </c>
    </row>
    <row r="1487" spans="1:8" x14ac:dyDescent="0.25">
      <c r="A1487">
        <v>1486</v>
      </c>
      <c r="B1487" t="s">
        <v>1858</v>
      </c>
      <c r="C1487" t="s">
        <v>956</v>
      </c>
      <c r="D1487" t="str">
        <f t="shared" si="50"/>
        <v/>
      </c>
      <c r="E1487" t="str">
        <f t="shared" si="51"/>
        <v>one more saturday night</v>
      </c>
      <c r="F1487" t="s">
        <v>6702</v>
      </c>
      <c r="G1487" t="str">
        <f>_xlfn.IFNA(VLOOKUP(F1487,songs!$B$1:$C$1539, 2, FALSE),"")</f>
        <v>One More Saturday Night</v>
      </c>
      <c r="H1487" t="s">
        <v>956</v>
      </c>
    </row>
    <row r="1488" spans="1:8" x14ac:dyDescent="0.25">
      <c r="A1488">
        <v>1487</v>
      </c>
      <c r="B1488" t="s">
        <v>1859</v>
      </c>
      <c r="C1488" t="s">
        <v>133</v>
      </c>
      <c r="D1488" t="str">
        <f t="shared" si="50"/>
        <v/>
      </c>
      <c r="E1488" t="str">
        <f t="shared" si="51"/>
        <v>uncle john's band</v>
      </c>
      <c r="F1488" t="s">
        <v>7466</v>
      </c>
      <c r="G1488" t="str">
        <f>_xlfn.IFNA(VLOOKUP(F1488,songs!$B$1:$C$1539, 2, FALSE),"")</f>
        <v>Uncle John's Band</v>
      </c>
      <c r="H1488" t="s">
        <v>133</v>
      </c>
    </row>
    <row r="1489" spans="1:8" x14ac:dyDescent="0.25">
      <c r="A1489">
        <v>1548</v>
      </c>
      <c r="B1489" t="s">
        <v>1924</v>
      </c>
      <c r="C1489" t="s">
        <v>1925</v>
      </c>
      <c r="D1489" t="str">
        <f t="shared" si="50"/>
        <v/>
      </c>
      <c r="E1489" t="str">
        <f t="shared" si="51"/>
        <v>truckin</v>
      </c>
      <c r="F1489" t="s">
        <v>7436</v>
      </c>
      <c r="G1489" t="str">
        <f>_xlfn.IFNA(VLOOKUP(F1489,songs!$B$1:$C$1539, 2, FALSE),"")</f>
        <v>Truckin'</v>
      </c>
      <c r="H1489" t="s">
        <v>7867</v>
      </c>
    </row>
    <row r="1490" spans="1:8" x14ac:dyDescent="0.25">
      <c r="A1490">
        <v>1489</v>
      </c>
      <c r="B1490" t="s">
        <v>1861</v>
      </c>
      <c r="C1490" t="s">
        <v>431</v>
      </c>
      <c r="D1490" t="str">
        <f t="shared" si="50"/>
        <v/>
      </c>
      <c r="E1490" t="str">
        <f t="shared" si="51"/>
        <v>beat it on down the line</v>
      </c>
      <c r="F1490" t="s">
        <v>5149</v>
      </c>
      <c r="G1490" t="str">
        <f>_xlfn.IFNA(VLOOKUP(F1490,songs!$B$1:$C$1539, 2, FALSE),"")</f>
        <v>Beat It On Down The Line</v>
      </c>
      <c r="H1490" t="s">
        <v>431</v>
      </c>
    </row>
    <row r="1491" spans="1:8" x14ac:dyDescent="0.25">
      <c r="A1491">
        <v>1490</v>
      </c>
      <c r="B1491" t="s">
        <v>1862</v>
      </c>
      <c r="C1491" t="s">
        <v>1013</v>
      </c>
      <c r="D1491" t="str">
        <f t="shared" si="50"/>
        <v/>
      </c>
      <c r="E1491" t="str">
        <f t="shared" si="51"/>
        <v>mr. charlie</v>
      </c>
      <c r="F1491" t="s">
        <v>6571</v>
      </c>
      <c r="G1491" t="str">
        <f>_xlfn.IFNA(VLOOKUP(F1491,songs!$B$1:$C$1539, 2, FALSE),"")</f>
        <v>Mr. Charlie</v>
      </c>
      <c r="H1491" t="s">
        <v>1013</v>
      </c>
    </row>
    <row r="1492" spans="1:8" x14ac:dyDescent="0.25">
      <c r="A1492">
        <v>1491</v>
      </c>
      <c r="B1492" t="s">
        <v>1863</v>
      </c>
      <c r="C1492" t="s">
        <v>51</v>
      </c>
      <c r="D1492" t="str">
        <f t="shared" si="50"/>
        <v/>
      </c>
      <c r="E1492" t="str">
        <f t="shared" si="51"/>
        <v>sugaree</v>
      </c>
      <c r="F1492" t="s">
        <v>7151</v>
      </c>
      <c r="G1492" t="str">
        <f>_xlfn.IFNA(VLOOKUP(F1492,songs!$B$1:$C$1539, 2, FALSE),"")</f>
        <v>Sugaree</v>
      </c>
      <c r="H1492" t="s">
        <v>51</v>
      </c>
    </row>
    <row r="1493" spans="1:8" x14ac:dyDescent="0.25">
      <c r="A1493">
        <v>1492</v>
      </c>
      <c r="B1493" t="s">
        <v>1864</v>
      </c>
      <c r="C1493" t="s">
        <v>199</v>
      </c>
      <c r="D1493" t="str">
        <f t="shared" si="50"/>
        <v/>
      </c>
      <c r="E1493" t="str">
        <f t="shared" si="51"/>
        <v>jack straw</v>
      </c>
      <c r="F1493" t="s">
        <v>6161</v>
      </c>
      <c r="G1493" t="str">
        <f>_xlfn.IFNA(VLOOKUP(F1493,songs!$B$1:$C$1539, 2, FALSE),"")</f>
        <v>Jack Straw</v>
      </c>
      <c r="H1493" t="s">
        <v>199</v>
      </c>
    </row>
    <row r="1494" spans="1:8" x14ac:dyDescent="0.25">
      <c r="A1494">
        <v>1493</v>
      </c>
      <c r="B1494" t="s">
        <v>1865</v>
      </c>
      <c r="C1494" t="s">
        <v>1017</v>
      </c>
      <c r="D1494" t="str">
        <f t="shared" si="50"/>
        <v/>
      </c>
      <c r="E1494" t="str">
        <f t="shared" si="51"/>
        <v>next time you see me</v>
      </c>
      <c r="F1494" t="s">
        <v>6629</v>
      </c>
      <c r="G1494" t="str">
        <f>_xlfn.IFNA(VLOOKUP(F1494,songs!$B$1:$C$1539, 2, FALSE),"")</f>
        <v>Next Time You See Me</v>
      </c>
      <c r="H1494" t="s">
        <v>1017</v>
      </c>
    </row>
    <row r="1495" spans="1:8" x14ac:dyDescent="0.25">
      <c r="A1495">
        <v>1494</v>
      </c>
      <c r="B1495" t="s">
        <v>1866</v>
      </c>
      <c r="C1495" t="s">
        <v>164</v>
      </c>
      <c r="D1495" t="str">
        <f t="shared" si="50"/>
        <v/>
      </c>
      <c r="E1495" t="str">
        <f t="shared" si="51"/>
        <v>tennessee jed</v>
      </c>
      <c r="F1495" t="s">
        <v>7234</v>
      </c>
      <c r="G1495" t="str">
        <f>_xlfn.IFNA(VLOOKUP(F1495,songs!$B$1:$C$1539, 2, FALSE),"")</f>
        <v>Tennessee Jed</v>
      </c>
      <c r="H1495" t="s">
        <v>164</v>
      </c>
    </row>
    <row r="1496" spans="1:8" x14ac:dyDescent="0.25">
      <c r="A1496">
        <v>1495</v>
      </c>
      <c r="B1496" t="s">
        <v>1867</v>
      </c>
      <c r="C1496" t="s">
        <v>327</v>
      </c>
      <c r="D1496" t="str">
        <f t="shared" si="50"/>
        <v/>
      </c>
      <c r="E1496" t="str">
        <f t="shared" si="51"/>
        <v>el paso</v>
      </c>
      <c r="F1496" t="s">
        <v>5600</v>
      </c>
      <c r="G1496" t="str">
        <f>_xlfn.IFNA(VLOOKUP(F1496,songs!$B$1:$C$1539, 2, FALSE),"")</f>
        <v>El Paso</v>
      </c>
      <c r="H1496" t="s">
        <v>327</v>
      </c>
    </row>
    <row r="1497" spans="1:8" x14ac:dyDescent="0.25">
      <c r="A1497">
        <v>1496</v>
      </c>
      <c r="B1497" t="s">
        <v>1868</v>
      </c>
      <c r="C1497" t="s">
        <v>145</v>
      </c>
      <c r="D1497" t="str">
        <f t="shared" si="50"/>
        <v/>
      </c>
      <c r="E1497" t="str">
        <f t="shared" si="51"/>
        <v>brokedown palace</v>
      </c>
      <c r="F1497" t="s">
        <v>5250</v>
      </c>
      <c r="G1497" t="str">
        <f>_xlfn.IFNA(VLOOKUP(F1497,songs!$B$1:$C$1539, 2, FALSE),"")</f>
        <v>Brokedown Palace</v>
      </c>
      <c r="H1497" t="s">
        <v>145</v>
      </c>
    </row>
    <row r="1498" spans="1:8" x14ac:dyDescent="0.25">
      <c r="A1498">
        <v>1497</v>
      </c>
      <c r="B1498" t="s">
        <v>1869</v>
      </c>
      <c r="C1498" t="s">
        <v>1870</v>
      </c>
      <c r="D1498" t="str">
        <f t="shared" si="50"/>
        <v/>
      </c>
      <c r="E1498" t="str">
        <f t="shared" si="51"/>
        <v>run rudolph run</v>
      </c>
      <c r="F1498" t="s">
        <v>6898</v>
      </c>
      <c r="G1498" t="str">
        <f>_xlfn.IFNA(VLOOKUP(F1498,songs!$B$1:$C$1539, 2, FALSE),"")</f>
        <v>Run Rudolph Run</v>
      </c>
      <c r="H1498" t="s">
        <v>1870</v>
      </c>
    </row>
    <row r="1499" spans="1:8" x14ac:dyDescent="0.25">
      <c r="A1499">
        <v>1498</v>
      </c>
      <c r="B1499" t="s">
        <v>1871</v>
      </c>
      <c r="C1499" t="s">
        <v>1011</v>
      </c>
      <c r="D1499" t="str">
        <f t="shared" si="50"/>
        <v/>
      </c>
      <c r="E1499" t="str">
        <f t="shared" si="51"/>
        <v>you win again</v>
      </c>
      <c r="F1499" t="s">
        <v>7793</v>
      </c>
      <c r="G1499" t="str">
        <f>_xlfn.IFNA(VLOOKUP(F1499,songs!$B$1:$C$1539, 2, FALSE),"")</f>
        <v>You Win Again</v>
      </c>
      <c r="H1499" t="s">
        <v>1011</v>
      </c>
    </row>
    <row r="1500" spans="1:8" x14ac:dyDescent="0.25">
      <c r="A1500">
        <v>1499</v>
      </c>
      <c r="B1500" t="s">
        <v>1872</v>
      </c>
      <c r="C1500" t="s">
        <v>225</v>
      </c>
      <c r="D1500" t="str">
        <f t="shared" si="50"/>
        <v/>
      </c>
      <c r="E1500" t="str">
        <f t="shared" si="51"/>
        <v>cumberland blues</v>
      </c>
      <c r="F1500" t="s">
        <v>5411</v>
      </c>
      <c r="G1500" t="str">
        <f>_xlfn.IFNA(VLOOKUP(F1500,songs!$B$1:$C$1539, 2, FALSE),"")</f>
        <v>Cumberland Blues</v>
      </c>
      <c r="H1500" t="s">
        <v>225</v>
      </c>
    </row>
    <row r="1501" spans="1:8" x14ac:dyDescent="0.25">
      <c r="A1501">
        <v>1500</v>
      </c>
      <c r="B1501" t="s">
        <v>1873</v>
      </c>
      <c r="C1501" t="s">
        <v>81</v>
      </c>
      <c r="D1501" t="str">
        <f t="shared" si="50"/>
        <v/>
      </c>
      <c r="E1501" t="str">
        <f t="shared" si="51"/>
        <v>casey jones</v>
      </c>
      <c r="F1501" t="s">
        <v>5290</v>
      </c>
      <c r="G1501" t="str">
        <f>_xlfn.IFNA(VLOOKUP(F1501,songs!$B$1:$C$1539, 2, FALSE),"")</f>
        <v>Casey Jones</v>
      </c>
      <c r="H1501" t="s">
        <v>81</v>
      </c>
    </row>
    <row r="1502" spans="1:8" x14ac:dyDescent="0.25">
      <c r="A1502">
        <v>1501</v>
      </c>
      <c r="B1502" t="s">
        <v>1874</v>
      </c>
      <c r="C1502" t="s">
        <v>30</v>
      </c>
      <c r="D1502" t="str">
        <f t="shared" si="50"/>
        <v/>
      </c>
      <c r="E1502" t="str">
        <f t="shared" si="51"/>
        <v>sugar magnolia</v>
      </c>
      <c r="F1502" t="s">
        <v>7150</v>
      </c>
      <c r="G1502" t="str">
        <f>_xlfn.IFNA(VLOOKUP(F1502,songs!$B$1:$C$1539, 2, FALSE),"")</f>
        <v>Sugar Magnolia</v>
      </c>
      <c r="H1502" t="s">
        <v>30</v>
      </c>
    </row>
    <row r="1503" spans="1:8" x14ac:dyDescent="0.25">
      <c r="A1503">
        <v>1502</v>
      </c>
      <c r="B1503" t="s">
        <v>1875</v>
      </c>
      <c r="C1503" t="s">
        <v>436</v>
      </c>
      <c r="D1503" t="str">
        <f t="shared" si="50"/>
        <v/>
      </c>
      <c r="E1503" t="str">
        <f t="shared" si="51"/>
        <v>ramble on rose</v>
      </c>
      <c r="F1503" t="s">
        <v>6827</v>
      </c>
      <c r="G1503" t="str">
        <f>_xlfn.IFNA(VLOOKUP(F1503,songs!$B$1:$C$1539, 2, FALSE),"")</f>
        <v>Ramble On Rose</v>
      </c>
      <c r="H1503" t="s">
        <v>436</v>
      </c>
    </row>
    <row r="1504" spans="1:8" x14ac:dyDescent="0.25">
      <c r="A1504">
        <v>1503</v>
      </c>
      <c r="B1504" t="s">
        <v>1876</v>
      </c>
      <c r="C1504" t="s">
        <v>1196</v>
      </c>
      <c r="D1504" t="str">
        <f t="shared" si="50"/>
        <v/>
      </c>
      <c r="E1504" t="str">
        <f t="shared" si="51"/>
        <v>big boss man</v>
      </c>
      <c r="F1504" t="s">
        <v>5163</v>
      </c>
      <c r="G1504" t="str">
        <f>_xlfn.IFNA(VLOOKUP(F1504,songs!$B$1:$C$1539, 2, FALSE),"")</f>
        <v>Big Boss Man</v>
      </c>
      <c r="H1504" t="s">
        <v>1196</v>
      </c>
    </row>
    <row r="1505" spans="1:8" x14ac:dyDescent="0.25">
      <c r="A1505">
        <v>1504</v>
      </c>
      <c r="B1505" t="s">
        <v>1877</v>
      </c>
      <c r="C1505" t="s">
        <v>186</v>
      </c>
      <c r="D1505" t="str">
        <f t="shared" si="50"/>
        <v/>
      </c>
      <c r="E1505" t="str">
        <f t="shared" si="51"/>
        <v>mexicali blues</v>
      </c>
      <c r="F1505" t="s">
        <v>6499</v>
      </c>
      <c r="G1505" t="str">
        <f>_xlfn.IFNA(VLOOKUP(F1505,songs!$B$1:$C$1539, 2, FALSE),"")</f>
        <v>Mexicali Blues</v>
      </c>
      <c r="H1505" t="s">
        <v>186</v>
      </c>
    </row>
    <row r="1506" spans="1:8" x14ac:dyDescent="0.25">
      <c r="A1506">
        <v>1553</v>
      </c>
      <c r="B1506" t="s">
        <v>1930</v>
      </c>
      <c r="C1506" t="s">
        <v>1931</v>
      </c>
      <c r="D1506" t="str">
        <f t="shared" si="50"/>
        <v/>
      </c>
      <c r="E1506" t="str">
        <f t="shared" si="51"/>
        <v>mississippi half-step uptown toodleoo</v>
      </c>
      <c r="F1506" t="s">
        <v>6531</v>
      </c>
      <c r="G1506" t="str">
        <f>_xlfn.IFNA(VLOOKUP(F1506,songs!$B$1:$C$1539, 2, FALSE),"")</f>
        <v>Mississippi Half-Step Uptown Toodeloo</v>
      </c>
      <c r="H1506" t="s">
        <v>7867</v>
      </c>
    </row>
    <row r="1507" spans="1:8" x14ac:dyDescent="0.25">
      <c r="A1507">
        <v>1559</v>
      </c>
      <c r="B1507" t="s">
        <v>1937</v>
      </c>
      <c r="C1507" t="s">
        <v>122</v>
      </c>
      <c r="D1507" t="str">
        <f t="shared" si="50"/>
        <v/>
      </c>
      <c r="E1507" t="str">
        <f t="shared" si="51"/>
        <v>new minglewood blues</v>
      </c>
      <c r="F1507" t="s">
        <v>7869</v>
      </c>
      <c r="G1507" t="str">
        <f>_xlfn.IFNA(VLOOKUP(F1507,songs!$B$1:$C$1539, 2, FALSE),"")</f>
        <v>Minglewood Blues</v>
      </c>
      <c r="H1507" t="s">
        <v>7867</v>
      </c>
    </row>
    <row r="1508" spans="1:8" x14ac:dyDescent="0.25">
      <c r="A1508">
        <v>1507</v>
      </c>
      <c r="B1508" t="s">
        <v>1880</v>
      </c>
      <c r="C1508" t="s">
        <v>1881</v>
      </c>
      <c r="D1508" t="str">
        <f t="shared" si="50"/>
        <v/>
      </c>
      <c r="E1508" t="str">
        <f t="shared" si="51"/>
        <v>smokestack lightning</v>
      </c>
      <c r="F1508" t="s">
        <v>7050</v>
      </c>
      <c r="G1508" t="str">
        <f>_xlfn.IFNA(VLOOKUP(F1508,songs!$B$1:$C$1539, 2, FALSE),"")</f>
        <v>Smokestack Lightning</v>
      </c>
      <c r="H1508" t="s">
        <v>1881</v>
      </c>
    </row>
    <row r="1509" spans="1:8" x14ac:dyDescent="0.25">
      <c r="A1509">
        <v>1508</v>
      </c>
      <c r="B1509" t="s">
        <v>1882</v>
      </c>
      <c r="C1509" t="s">
        <v>264</v>
      </c>
      <c r="D1509" t="str">
        <f t="shared" si="50"/>
        <v/>
      </c>
      <c r="E1509" t="str">
        <f t="shared" si="51"/>
        <v>deal</v>
      </c>
      <c r="F1509" t="s">
        <v>5461</v>
      </c>
      <c r="G1509" t="str">
        <f>_xlfn.IFNA(VLOOKUP(F1509,songs!$B$1:$C$1539, 2, FALSE),"")</f>
        <v>Deal</v>
      </c>
      <c r="H1509" t="s">
        <v>264</v>
      </c>
    </row>
    <row r="1510" spans="1:8" x14ac:dyDescent="0.25">
      <c r="A1510">
        <v>1509</v>
      </c>
      <c r="B1510" t="s">
        <v>1883</v>
      </c>
      <c r="C1510" t="s">
        <v>15</v>
      </c>
      <c r="D1510" t="str">
        <f t="shared" si="50"/>
        <v/>
      </c>
      <c r="E1510" t="str">
        <f t="shared" si="51"/>
        <v>truckin'</v>
      </c>
      <c r="F1510" t="s">
        <v>7436</v>
      </c>
      <c r="G1510" t="str">
        <f>_xlfn.IFNA(VLOOKUP(F1510,songs!$B$1:$C$1539, 2, FALSE),"")</f>
        <v>Truckin'</v>
      </c>
      <c r="H1510" t="s">
        <v>15</v>
      </c>
    </row>
    <row r="1511" spans="1:8" x14ac:dyDescent="0.25">
      <c r="A1511">
        <v>1510</v>
      </c>
      <c r="B1511" t="s">
        <v>1884</v>
      </c>
      <c r="C1511" t="s">
        <v>34</v>
      </c>
      <c r="D1511" t="str">
        <f t="shared" si="50"/>
        <v/>
      </c>
      <c r="E1511" t="str">
        <f t="shared" si="51"/>
        <v>not fade away</v>
      </c>
      <c r="F1511" t="s">
        <v>6651</v>
      </c>
      <c r="G1511" t="str">
        <f>_xlfn.IFNA(VLOOKUP(F1511,songs!$B$1:$C$1539, 2, FALSE),"")</f>
        <v>Not Fade Away</v>
      </c>
      <c r="H1511" t="s">
        <v>34</v>
      </c>
    </row>
    <row r="1512" spans="1:8" x14ac:dyDescent="0.25">
      <c r="A1512">
        <v>1569</v>
      </c>
      <c r="B1512" t="s">
        <v>1947</v>
      </c>
      <c r="C1512" t="s">
        <v>32</v>
      </c>
      <c r="D1512" t="str">
        <f t="shared" si="50"/>
        <v/>
      </c>
      <c r="E1512" t="str">
        <f t="shared" si="51"/>
        <v>st. stephen</v>
      </c>
      <c r="F1512" t="s">
        <v>6910</v>
      </c>
      <c r="G1512" t="str">
        <f>_xlfn.IFNA(VLOOKUP(F1512,songs!$B$1:$C$1539, 2, FALSE),"")</f>
        <v>Saint Stephen</v>
      </c>
      <c r="H1512" t="s">
        <v>7867</v>
      </c>
    </row>
    <row r="1513" spans="1:8" x14ac:dyDescent="0.25">
      <c r="A1513">
        <v>1512</v>
      </c>
      <c r="B1513" t="s">
        <v>1886</v>
      </c>
      <c r="C1513" t="s">
        <v>34</v>
      </c>
      <c r="D1513" t="str">
        <f t="shared" si="50"/>
        <v/>
      </c>
      <c r="E1513" t="str">
        <f t="shared" si="51"/>
        <v>not fade away</v>
      </c>
      <c r="F1513" t="s">
        <v>6651</v>
      </c>
      <c r="G1513" t="str">
        <f>_xlfn.IFNA(VLOOKUP(F1513,songs!$B$1:$C$1539, 2, FALSE),"")</f>
        <v>Not Fade Away</v>
      </c>
      <c r="H1513" t="s">
        <v>34</v>
      </c>
    </row>
    <row r="1514" spans="1:8" x14ac:dyDescent="0.25">
      <c r="A1514">
        <v>1513</v>
      </c>
      <c r="B1514" t="s">
        <v>1887</v>
      </c>
      <c r="C1514" t="s">
        <v>956</v>
      </c>
      <c r="D1514" t="str">
        <f t="shared" si="50"/>
        <v/>
      </c>
      <c r="E1514" t="str">
        <f t="shared" si="51"/>
        <v>one more saturday night</v>
      </c>
      <c r="F1514" t="s">
        <v>6702</v>
      </c>
      <c r="G1514" t="str">
        <f>_xlfn.IFNA(VLOOKUP(F1514,songs!$B$1:$C$1539, 2, FALSE),"")</f>
        <v>One More Saturday Night</v>
      </c>
      <c r="H1514" t="s">
        <v>956</v>
      </c>
    </row>
    <row r="1515" spans="1:8" x14ac:dyDescent="0.25">
      <c r="A1515">
        <v>1573</v>
      </c>
      <c r="B1515" t="s">
        <v>1951</v>
      </c>
      <c r="C1515" t="s">
        <v>32</v>
      </c>
      <c r="D1515" t="str">
        <f t="shared" si="50"/>
        <v/>
      </c>
      <c r="E1515" t="str">
        <f t="shared" si="51"/>
        <v>st. stephen</v>
      </c>
      <c r="F1515" t="s">
        <v>6910</v>
      </c>
      <c r="G1515" t="str">
        <f>_xlfn.IFNA(VLOOKUP(F1515,songs!$B$1:$C$1539, 2, FALSE),"")</f>
        <v>Saint Stephen</v>
      </c>
      <c r="H1515" t="s">
        <v>7867</v>
      </c>
    </row>
    <row r="1516" spans="1:8" x14ac:dyDescent="0.25">
      <c r="A1516">
        <v>1515</v>
      </c>
      <c r="B1516" t="s">
        <v>1889</v>
      </c>
      <c r="C1516" t="s">
        <v>90</v>
      </c>
      <c r="D1516" t="str">
        <f t="shared" si="50"/>
        <v/>
      </c>
      <c r="E1516" t="str">
        <f t="shared" si="51"/>
        <v>dire wolf</v>
      </c>
      <c r="F1516" t="s">
        <v>5497</v>
      </c>
      <c r="G1516" t="str">
        <f>_xlfn.IFNA(VLOOKUP(F1516,songs!$B$1:$C$1539, 2, FALSE),"")</f>
        <v>Dire Wolf</v>
      </c>
      <c r="H1516" t="s">
        <v>90</v>
      </c>
    </row>
    <row r="1517" spans="1:8" x14ac:dyDescent="0.25">
      <c r="A1517">
        <v>1516</v>
      </c>
      <c r="B1517" t="s">
        <v>1890</v>
      </c>
      <c r="C1517" t="s">
        <v>262</v>
      </c>
      <c r="D1517" t="str">
        <f t="shared" si="50"/>
        <v/>
      </c>
      <c r="E1517" t="str">
        <f t="shared" si="51"/>
        <v>cassidy</v>
      </c>
      <c r="F1517" t="s">
        <v>5291</v>
      </c>
      <c r="G1517" t="str">
        <f>_xlfn.IFNA(VLOOKUP(F1517,songs!$B$1:$C$1539, 2, FALSE),"")</f>
        <v>Cassidy</v>
      </c>
      <c r="H1517" t="s">
        <v>262</v>
      </c>
    </row>
    <row r="1518" spans="1:8" x14ac:dyDescent="0.25">
      <c r="A1518">
        <v>1599</v>
      </c>
      <c r="B1518" t="s">
        <v>1977</v>
      </c>
      <c r="C1518" t="s">
        <v>36</v>
      </c>
      <c r="D1518" t="str">
        <f t="shared" si="50"/>
        <v/>
      </c>
      <c r="E1518" t="str">
        <f t="shared" si="51"/>
        <v>goin' down the road feeling bad</v>
      </c>
      <c r="F1518" t="s">
        <v>5783</v>
      </c>
      <c r="G1518" t="str">
        <f>_xlfn.IFNA(VLOOKUP(F1518,songs!$B$1:$C$1539, 2, FALSE),"")</f>
        <v>Goin' Down The Road Feelin' Bad</v>
      </c>
      <c r="H1518" t="s">
        <v>7867</v>
      </c>
    </row>
    <row r="1519" spans="1:8" x14ac:dyDescent="0.25">
      <c r="A1519">
        <v>1518</v>
      </c>
      <c r="B1519" t="s">
        <v>1893</v>
      </c>
      <c r="C1519" t="s">
        <v>327</v>
      </c>
      <c r="D1519" t="str">
        <f t="shared" si="50"/>
        <v/>
      </c>
      <c r="E1519" t="str">
        <f t="shared" si="51"/>
        <v>el paso</v>
      </c>
      <c r="F1519" t="s">
        <v>5600</v>
      </c>
      <c r="G1519" t="str">
        <f>_xlfn.IFNA(VLOOKUP(F1519,songs!$B$1:$C$1539, 2, FALSE),"")</f>
        <v>El Paso</v>
      </c>
      <c r="H1519" t="s">
        <v>327</v>
      </c>
    </row>
    <row r="1520" spans="1:8" x14ac:dyDescent="0.25">
      <c r="A1520">
        <v>1519</v>
      </c>
      <c r="B1520" t="s">
        <v>1894</v>
      </c>
      <c r="C1520" t="s">
        <v>164</v>
      </c>
      <c r="D1520" t="str">
        <f t="shared" si="50"/>
        <v/>
      </c>
      <c r="E1520" t="str">
        <f t="shared" si="51"/>
        <v>tennessee jed</v>
      </c>
      <c r="F1520" t="s">
        <v>7234</v>
      </c>
      <c r="G1520" t="str">
        <f>_xlfn.IFNA(VLOOKUP(F1520,songs!$B$1:$C$1539, 2, FALSE),"")</f>
        <v>Tennessee Jed</v>
      </c>
      <c r="H1520" t="s">
        <v>164</v>
      </c>
    </row>
    <row r="1521" spans="1:8" x14ac:dyDescent="0.25">
      <c r="A1521">
        <v>1520</v>
      </c>
      <c r="B1521" t="s">
        <v>1895</v>
      </c>
      <c r="C1521" t="s">
        <v>199</v>
      </c>
      <c r="D1521" t="str">
        <f t="shared" si="50"/>
        <v/>
      </c>
      <c r="E1521" t="str">
        <f t="shared" si="51"/>
        <v>jack straw</v>
      </c>
      <c r="F1521" t="s">
        <v>6161</v>
      </c>
      <c r="G1521" t="str">
        <f>_xlfn.IFNA(VLOOKUP(F1521,songs!$B$1:$C$1539, 2, FALSE),"")</f>
        <v>Jack Straw</v>
      </c>
      <c r="H1521" t="s">
        <v>199</v>
      </c>
    </row>
    <row r="1522" spans="1:8" x14ac:dyDescent="0.25">
      <c r="A1522">
        <v>1521</v>
      </c>
      <c r="B1522" t="s">
        <v>1896</v>
      </c>
      <c r="C1522" t="s">
        <v>188</v>
      </c>
      <c r="D1522" t="str">
        <f t="shared" si="50"/>
        <v/>
      </c>
      <c r="E1522" t="str">
        <f t="shared" si="51"/>
        <v>row jimmy</v>
      </c>
      <c r="F1522" t="s">
        <v>6893</v>
      </c>
      <c r="G1522" t="str">
        <f>_xlfn.IFNA(VLOOKUP(F1522,songs!$B$1:$C$1539, 2, FALSE),"")</f>
        <v>Row Jimmy</v>
      </c>
      <c r="H1522" t="s">
        <v>188</v>
      </c>
    </row>
    <row r="1523" spans="1:8" x14ac:dyDescent="0.25">
      <c r="A1523">
        <v>1522</v>
      </c>
      <c r="B1523" t="s">
        <v>1897</v>
      </c>
      <c r="C1523" t="s">
        <v>49</v>
      </c>
      <c r="D1523" t="str">
        <f t="shared" si="50"/>
        <v/>
      </c>
      <c r="E1523" t="str">
        <f t="shared" si="51"/>
        <v>the music never stopped</v>
      </c>
      <c r="F1523" t="s">
        <v>7316</v>
      </c>
      <c r="G1523" t="str">
        <f>_xlfn.IFNA(VLOOKUP(F1523,songs!$B$1:$C$1539, 2, FALSE),"")</f>
        <v>The Music Never Stopped</v>
      </c>
      <c r="H1523" t="s">
        <v>49</v>
      </c>
    </row>
    <row r="1524" spans="1:8" x14ac:dyDescent="0.25">
      <c r="A1524">
        <v>1523</v>
      </c>
      <c r="B1524" t="s">
        <v>1898</v>
      </c>
      <c r="C1524" t="s">
        <v>789</v>
      </c>
      <c r="D1524" t="str">
        <f t="shared" si="50"/>
        <v>&gt;</v>
      </c>
      <c r="E1524" t="str">
        <f t="shared" si="51"/>
        <v>bertha</v>
      </c>
      <c r="F1524" t="s">
        <v>5158</v>
      </c>
      <c r="G1524" t="str">
        <f>_xlfn.IFNA(VLOOKUP(F1524,songs!$B$1:$C$1539, 2, FALSE),"")</f>
        <v>Bertha</v>
      </c>
      <c r="H1524" t="s">
        <v>298</v>
      </c>
    </row>
    <row r="1525" spans="1:8" x14ac:dyDescent="0.25">
      <c r="A1525">
        <v>1524</v>
      </c>
      <c r="B1525" t="s">
        <v>1899</v>
      </c>
      <c r="C1525" t="s">
        <v>242</v>
      </c>
      <c r="D1525" t="str">
        <f t="shared" si="50"/>
        <v/>
      </c>
      <c r="E1525" t="str">
        <f t="shared" si="51"/>
        <v>good lovin'</v>
      </c>
      <c r="F1525" t="s">
        <v>5810</v>
      </c>
      <c r="G1525" t="str">
        <f>_xlfn.IFNA(VLOOKUP(F1525,songs!$B$1:$C$1539, 2, FALSE),"")</f>
        <v>Good Lovin'</v>
      </c>
      <c r="H1525" t="s">
        <v>242</v>
      </c>
    </row>
    <row r="1526" spans="1:8" x14ac:dyDescent="0.25">
      <c r="A1526">
        <v>1525</v>
      </c>
      <c r="B1526" t="s">
        <v>1900</v>
      </c>
      <c r="C1526" t="s">
        <v>377</v>
      </c>
      <c r="D1526" t="str">
        <f t="shared" ref="D1526:D1589" si="52">IF(RIGHT(TRIM(C1526),2)="-&gt;","&gt;",IF(RIGHT(TRIM(C1526),1)="&gt;","&gt;",""))</f>
        <v/>
      </c>
      <c r="E1526" t="str">
        <f t="shared" si="51"/>
        <v>ship of fools</v>
      </c>
      <c r="F1526" t="s">
        <v>6999</v>
      </c>
      <c r="G1526" t="str">
        <f>_xlfn.IFNA(VLOOKUP(F1526,songs!$B$1:$C$1539, 2, FALSE),"")</f>
        <v>Ship Of Fools</v>
      </c>
      <c r="H1526" t="s">
        <v>866</v>
      </c>
    </row>
    <row r="1527" spans="1:8" x14ac:dyDescent="0.25">
      <c r="A1527">
        <v>1526</v>
      </c>
      <c r="B1527" t="s">
        <v>1901</v>
      </c>
      <c r="C1527" t="s">
        <v>65</v>
      </c>
      <c r="D1527" t="str">
        <f t="shared" si="52"/>
        <v/>
      </c>
      <c r="E1527" t="str">
        <f t="shared" si="51"/>
        <v>samson and delilah</v>
      </c>
      <c r="F1527" t="s">
        <v>6925</v>
      </c>
      <c r="G1527" t="str">
        <f>_xlfn.IFNA(VLOOKUP(F1527,songs!$B$1:$C$1539, 2, FALSE),"")</f>
        <v>Samson And Delilah</v>
      </c>
      <c r="H1527" t="s">
        <v>266</v>
      </c>
    </row>
    <row r="1528" spans="1:8" x14ac:dyDescent="0.25">
      <c r="A1528">
        <v>1527</v>
      </c>
      <c r="B1528" t="s">
        <v>1902</v>
      </c>
      <c r="C1528" t="s">
        <v>1903</v>
      </c>
      <c r="D1528" t="str">
        <f t="shared" si="52"/>
        <v>&gt;</v>
      </c>
      <c r="E1528" t="str">
        <f t="shared" si="51"/>
        <v>terrapin station</v>
      </c>
      <c r="F1528" t="s">
        <v>7237</v>
      </c>
      <c r="G1528" t="str">
        <f>_xlfn.IFNA(VLOOKUP(F1528,songs!$B$1:$C$1539, 2, FALSE),"")</f>
        <v>Terrapin Station</v>
      </c>
      <c r="H1528" t="s">
        <v>75</v>
      </c>
    </row>
    <row r="1529" spans="1:8" x14ac:dyDescent="0.25">
      <c r="A1529">
        <v>1528</v>
      </c>
      <c r="B1529" t="s">
        <v>1904</v>
      </c>
      <c r="C1529" t="s">
        <v>275</v>
      </c>
      <c r="D1529" t="str">
        <f t="shared" si="52"/>
        <v>&gt;</v>
      </c>
      <c r="E1529" t="str">
        <f t="shared" si="51"/>
        <v>drums</v>
      </c>
      <c r="F1529" t="s">
        <v>5568</v>
      </c>
      <c r="G1529" t="str">
        <f>_xlfn.IFNA(VLOOKUP(F1529,songs!$B$1:$C$1539, 2, FALSE),"")</f>
        <v>Drums</v>
      </c>
      <c r="H1529" t="s">
        <v>100</v>
      </c>
    </row>
    <row r="1530" spans="1:8" x14ac:dyDescent="0.25">
      <c r="A1530">
        <v>1529</v>
      </c>
      <c r="B1530" t="s">
        <v>1905</v>
      </c>
      <c r="C1530" t="s">
        <v>747</v>
      </c>
      <c r="D1530" t="str">
        <f t="shared" si="52"/>
        <v>&gt;</v>
      </c>
      <c r="E1530" t="str">
        <f t="shared" si="51"/>
        <v>the other one</v>
      </c>
      <c r="F1530" t="s">
        <v>7325</v>
      </c>
      <c r="G1530" t="str">
        <f>_xlfn.IFNA(VLOOKUP(F1530,songs!$B$1:$C$1539, 2, FALSE),"")</f>
        <v>The Other One</v>
      </c>
      <c r="H1530" t="s">
        <v>139</v>
      </c>
    </row>
    <row r="1531" spans="1:8" x14ac:dyDescent="0.25">
      <c r="A1531">
        <v>1530</v>
      </c>
      <c r="B1531" t="s">
        <v>1906</v>
      </c>
      <c r="C1531" t="s">
        <v>689</v>
      </c>
      <c r="D1531" t="str">
        <f t="shared" si="52"/>
        <v>&gt;</v>
      </c>
      <c r="E1531" t="str">
        <f t="shared" si="51"/>
        <v>space</v>
      </c>
      <c r="F1531" t="s">
        <v>7091</v>
      </c>
      <c r="G1531" t="str">
        <f>_xlfn.IFNA(VLOOKUP(F1531,songs!$B$1:$C$1539, 2, FALSE),"")</f>
        <v>Space</v>
      </c>
      <c r="H1531" t="s">
        <v>277</v>
      </c>
    </row>
    <row r="1532" spans="1:8" x14ac:dyDescent="0.25">
      <c r="A1532">
        <v>1604</v>
      </c>
      <c r="B1532" t="s">
        <v>1982</v>
      </c>
      <c r="C1532" t="s">
        <v>1983</v>
      </c>
      <c r="D1532" t="str">
        <f t="shared" si="52"/>
        <v/>
      </c>
      <c r="E1532" t="str">
        <f t="shared" si="51"/>
        <v>they loved each other</v>
      </c>
      <c r="F1532" t="s">
        <v>7358</v>
      </c>
      <c r="G1532" t="str">
        <f>_xlfn.IFNA(VLOOKUP(F1532,songs!$B$1:$C$1539, 2, FALSE),"")</f>
        <v>They Love Each Other</v>
      </c>
      <c r="H1532" t="s">
        <v>7867</v>
      </c>
    </row>
    <row r="1533" spans="1:8" x14ac:dyDescent="0.25">
      <c r="A1533">
        <v>1532</v>
      </c>
      <c r="B1533" t="s">
        <v>1908</v>
      </c>
      <c r="C1533" t="s">
        <v>905</v>
      </c>
      <c r="D1533" t="str">
        <f t="shared" si="52"/>
        <v>&gt;</v>
      </c>
      <c r="E1533" t="str">
        <f t="shared" si="51"/>
        <v>not fade away</v>
      </c>
      <c r="F1533" t="s">
        <v>6651</v>
      </c>
      <c r="G1533" t="str">
        <f>_xlfn.IFNA(VLOOKUP(F1533,songs!$B$1:$C$1539, 2, FALSE),"")</f>
        <v>Not Fade Away</v>
      </c>
      <c r="H1533" t="s">
        <v>34</v>
      </c>
    </row>
    <row r="1534" spans="1:8" x14ac:dyDescent="0.25">
      <c r="A1534">
        <v>1533</v>
      </c>
      <c r="B1534" t="s">
        <v>1909</v>
      </c>
      <c r="C1534" t="s">
        <v>26</v>
      </c>
      <c r="D1534" t="str">
        <f t="shared" si="52"/>
        <v/>
      </c>
      <c r="E1534" t="str">
        <f t="shared" si="51"/>
        <v>around and around</v>
      </c>
      <c r="F1534" t="s">
        <v>5103</v>
      </c>
      <c r="G1534" t="str">
        <f>_xlfn.IFNA(VLOOKUP(F1534,songs!$B$1:$C$1539, 2, FALSE),"")</f>
        <v>Around And Around</v>
      </c>
      <c r="H1534" t="s">
        <v>579</v>
      </c>
    </row>
    <row r="1535" spans="1:8" x14ac:dyDescent="0.25">
      <c r="A1535">
        <v>1534</v>
      </c>
      <c r="B1535" t="s">
        <v>1910</v>
      </c>
      <c r="C1535" t="s">
        <v>183</v>
      </c>
      <c r="D1535" t="str">
        <f t="shared" si="52"/>
        <v/>
      </c>
      <c r="E1535" t="str">
        <f t="shared" si="51"/>
        <v>u.s. blues</v>
      </c>
      <c r="F1535" t="s">
        <v>7464</v>
      </c>
      <c r="G1535" t="str">
        <f>_xlfn.IFNA(VLOOKUP(F1535,songs!$B$1:$C$1539, 2, FALSE),"")</f>
        <v>U.S. Blues</v>
      </c>
      <c r="H1535" t="s">
        <v>183</v>
      </c>
    </row>
    <row r="1536" spans="1:8" x14ac:dyDescent="0.25">
      <c r="A1536">
        <v>1535</v>
      </c>
      <c r="B1536" t="s">
        <v>1911</v>
      </c>
      <c r="C1536" t="s">
        <v>429</v>
      </c>
      <c r="D1536" t="str">
        <f t="shared" si="52"/>
        <v/>
      </c>
      <c r="E1536" t="str">
        <f t="shared" si="51"/>
        <v>cold rain and snow</v>
      </c>
      <c r="F1536" t="s">
        <v>5347</v>
      </c>
      <c r="G1536" t="str">
        <f>_xlfn.IFNA(VLOOKUP(F1536,songs!$B$1:$C$1539, 2, FALSE),"")</f>
        <v>Cold Rain And Snow</v>
      </c>
      <c r="H1536" t="s">
        <v>429</v>
      </c>
    </row>
    <row r="1537" spans="1:8" x14ac:dyDescent="0.25">
      <c r="A1537">
        <v>1536</v>
      </c>
      <c r="B1537" t="s">
        <v>1912</v>
      </c>
      <c r="C1537" t="s">
        <v>1244</v>
      </c>
      <c r="D1537" t="str">
        <f t="shared" si="52"/>
        <v/>
      </c>
      <c r="E1537" t="str">
        <f t="shared" si="51"/>
        <v>black throated wind</v>
      </c>
      <c r="F1537" t="s">
        <v>5193</v>
      </c>
      <c r="G1537" t="str">
        <f>_xlfn.IFNA(VLOOKUP(F1537,songs!$B$1:$C$1539, 2, FALSE),"")</f>
        <v>Black Throated Wind</v>
      </c>
      <c r="H1537" t="s">
        <v>1244</v>
      </c>
    </row>
    <row r="1538" spans="1:8" x14ac:dyDescent="0.25">
      <c r="A1538">
        <v>1537</v>
      </c>
      <c r="B1538" t="s">
        <v>1913</v>
      </c>
      <c r="C1538" t="s">
        <v>13</v>
      </c>
      <c r="D1538" t="str">
        <f t="shared" si="52"/>
        <v/>
      </c>
      <c r="E1538" t="str">
        <f t="shared" si="51"/>
        <v>he's gone</v>
      </c>
      <c r="F1538" t="s">
        <v>5903</v>
      </c>
      <c r="G1538" t="str">
        <f>_xlfn.IFNA(VLOOKUP(F1538,songs!$B$1:$C$1539, 2, FALSE),"")</f>
        <v>He's Gone</v>
      </c>
      <c r="H1538" t="s">
        <v>13</v>
      </c>
    </row>
    <row r="1539" spans="1:8" x14ac:dyDescent="0.25">
      <c r="A1539">
        <v>1538</v>
      </c>
      <c r="B1539" t="s">
        <v>1914</v>
      </c>
      <c r="C1539" t="s">
        <v>431</v>
      </c>
      <c r="D1539" t="str">
        <f t="shared" si="52"/>
        <v/>
      </c>
      <c r="E1539" t="str">
        <f t="shared" si="51"/>
        <v>beat it on down the line</v>
      </c>
      <c r="F1539" t="s">
        <v>5149</v>
      </c>
      <c r="G1539" t="str">
        <f>_xlfn.IFNA(VLOOKUP(F1539,songs!$B$1:$C$1539, 2, FALSE),"")</f>
        <v>Beat It On Down The Line</v>
      </c>
      <c r="H1539" t="s">
        <v>431</v>
      </c>
    </row>
    <row r="1540" spans="1:8" x14ac:dyDescent="0.25">
      <c r="A1540">
        <v>1539</v>
      </c>
      <c r="B1540" t="s">
        <v>1915</v>
      </c>
      <c r="C1540" t="s">
        <v>291</v>
      </c>
      <c r="D1540" t="str">
        <f t="shared" si="52"/>
        <v/>
      </c>
      <c r="E1540" t="str">
        <f t="shared" ref="E1540:E1603" si="53">LOWER(TRIM(SUBSTITUTE(IF(RIGHT(TRIM(C1540),2)="-&gt;",LEFT(TRIM(C1540),LEN(TRIM(C1540))-2),IF(RIGHT(TRIM(C1540),1)="&gt;",LEFT(TRIM(C1540),LEN(TRIM(C1540))-1),C1540)),"//","")))</f>
        <v>loser</v>
      </c>
      <c r="F1540" t="s">
        <v>6400</v>
      </c>
      <c r="G1540" t="str">
        <f>_xlfn.IFNA(VLOOKUP(F1540,songs!$B$1:$C$1539, 2, FALSE),"")</f>
        <v>Loser</v>
      </c>
      <c r="H1540" t="s">
        <v>291</v>
      </c>
    </row>
    <row r="1541" spans="1:8" x14ac:dyDescent="0.25">
      <c r="A1541">
        <v>1540</v>
      </c>
      <c r="B1541" t="s">
        <v>1916</v>
      </c>
      <c r="C1541" t="s">
        <v>327</v>
      </c>
      <c r="D1541" t="str">
        <f t="shared" si="52"/>
        <v/>
      </c>
      <c r="E1541" t="str">
        <f t="shared" si="53"/>
        <v>el paso</v>
      </c>
      <c r="F1541" t="s">
        <v>5600</v>
      </c>
      <c r="G1541" t="str">
        <f>_xlfn.IFNA(VLOOKUP(F1541,songs!$B$1:$C$1539, 2, FALSE),"")</f>
        <v>El Paso</v>
      </c>
      <c r="H1541" t="s">
        <v>327</v>
      </c>
    </row>
    <row r="1542" spans="1:8" x14ac:dyDescent="0.25">
      <c r="A1542">
        <v>1541</v>
      </c>
      <c r="B1542" t="s">
        <v>1917</v>
      </c>
      <c r="C1542" t="s">
        <v>221</v>
      </c>
      <c r="D1542" t="str">
        <f t="shared" si="52"/>
        <v/>
      </c>
      <c r="E1542" t="str">
        <f t="shared" si="53"/>
        <v>black peter</v>
      </c>
      <c r="F1542" t="s">
        <v>5190</v>
      </c>
      <c r="G1542" t="str">
        <f>_xlfn.IFNA(VLOOKUP(F1542,songs!$B$1:$C$1539, 2, FALSE),"")</f>
        <v>Black Peter</v>
      </c>
      <c r="H1542" t="s">
        <v>221</v>
      </c>
    </row>
    <row r="1543" spans="1:8" x14ac:dyDescent="0.25">
      <c r="A1543">
        <v>1542</v>
      </c>
      <c r="B1543" t="s">
        <v>1918</v>
      </c>
      <c r="C1543" t="s">
        <v>199</v>
      </c>
      <c r="D1543" t="str">
        <f t="shared" si="52"/>
        <v/>
      </c>
      <c r="E1543" t="str">
        <f t="shared" si="53"/>
        <v>jack straw</v>
      </c>
      <c r="F1543" t="s">
        <v>6161</v>
      </c>
      <c r="G1543" t="str">
        <f>_xlfn.IFNA(VLOOKUP(F1543,songs!$B$1:$C$1539, 2, FALSE),"")</f>
        <v>Jack Straw</v>
      </c>
      <c r="H1543" t="s">
        <v>199</v>
      </c>
    </row>
    <row r="1544" spans="1:8" x14ac:dyDescent="0.25">
      <c r="A1544">
        <v>1543</v>
      </c>
      <c r="B1544" t="s">
        <v>1919</v>
      </c>
      <c r="C1544" t="s">
        <v>464</v>
      </c>
      <c r="D1544" t="str">
        <f t="shared" si="52"/>
        <v/>
      </c>
      <c r="E1544" t="str">
        <f t="shared" si="53"/>
        <v>friend of the devil</v>
      </c>
      <c r="F1544" t="s">
        <v>5721</v>
      </c>
      <c r="G1544" t="str">
        <f>_xlfn.IFNA(VLOOKUP(F1544,songs!$B$1:$C$1539, 2, FALSE),"")</f>
        <v>Friend Of The Devil</v>
      </c>
      <c r="H1544" t="s">
        <v>464</v>
      </c>
    </row>
    <row r="1545" spans="1:8" x14ac:dyDescent="0.25">
      <c r="A1545">
        <v>1544</v>
      </c>
      <c r="B1545" t="s">
        <v>1920</v>
      </c>
      <c r="C1545" t="s">
        <v>130</v>
      </c>
      <c r="D1545" t="str">
        <f t="shared" si="52"/>
        <v/>
      </c>
      <c r="E1545" t="str">
        <f t="shared" si="53"/>
        <v>promised land</v>
      </c>
      <c r="F1545" t="s">
        <v>6797</v>
      </c>
      <c r="G1545" t="str">
        <f>_xlfn.IFNA(VLOOKUP(F1545,songs!$B$1:$C$1539, 2, FALSE),"")</f>
        <v>Promised Land</v>
      </c>
      <c r="H1545" t="s">
        <v>130</v>
      </c>
    </row>
    <row r="1546" spans="1:8" x14ac:dyDescent="0.25">
      <c r="A1546">
        <v>1545</v>
      </c>
      <c r="B1546" t="s">
        <v>1921</v>
      </c>
      <c r="C1546" t="s">
        <v>323</v>
      </c>
      <c r="D1546" t="str">
        <f t="shared" si="52"/>
        <v/>
      </c>
      <c r="E1546" t="str">
        <f t="shared" si="53"/>
        <v>bird song</v>
      </c>
      <c r="F1546" t="s">
        <v>5184</v>
      </c>
      <c r="G1546" t="str">
        <f>_xlfn.IFNA(VLOOKUP(F1546,songs!$B$1:$C$1539, 2, FALSE),"")</f>
        <v>Bird Song</v>
      </c>
      <c r="H1546" t="s">
        <v>323</v>
      </c>
    </row>
    <row r="1547" spans="1:8" x14ac:dyDescent="0.25">
      <c r="A1547">
        <v>1546</v>
      </c>
      <c r="B1547" t="s">
        <v>1922</v>
      </c>
      <c r="C1547" t="s">
        <v>419</v>
      </c>
      <c r="D1547" t="str">
        <f t="shared" si="52"/>
        <v/>
      </c>
      <c r="E1547" t="str">
        <f t="shared" si="53"/>
        <v>playing in the band</v>
      </c>
      <c r="F1547" t="s">
        <v>6769</v>
      </c>
      <c r="G1547" t="str">
        <f>_xlfn.IFNA(VLOOKUP(F1547,songs!$B$1:$C$1539, 2, FALSE),"")</f>
        <v>Playing In The Band</v>
      </c>
      <c r="H1547" t="s">
        <v>419</v>
      </c>
    </row>
    <row r="1548" spans="1:8" x14ac:dyDescent="0.25">
      <c r="A1548">
        <v>1547</v>
      </c>
      <c r="B1548" t="s">
        <v>1923</v>
      </c>
      <c r="C1548" t="s">
        <v>298</v>
      </c>
      <c r="D1548" t="str">
        <f t="shared" si="52"/>
        <v/>
      </c>
      <c r="E1548" t="str">
        <f t="shared" si="53"/>
        <v>bertha</v>
      </c>
      <c r="F1548" t="s">
        <v>5158</v>
      </c>
      <c r="G1548" t="str">
        <f>_xlfn.IFNA(VLOOKUP(F1548,songs!$B$1:$C$1539, 2, FALSE),"")</f>
        <v>Bertha</v>
      </c>
      <c r="H1548" t="s">
        <v>298</v>
      </c>
    </row>
    <row r="1549" spans="1:8" x14ac:dyDescent="0.25">
      <c r="A1549">
        <v>1612</v>
      </c>
      <c r="B1549" t="s">
        <v>1991</v>
      </c>
      <c r="C1549" t="s">
        <v>1992</v>
      </c>
      <c r="D1549" t="str">
        <f t="shared" si="52"/>
        <v/>
      </c>
      <c r="E1549" t="str">
        <f t="shared" si="53"/>
        <v>help on the way ]</v>
      </c>
      <c r="F1549" t="s">
        <v>5895</v>
      </c>
      <c r="G1549" t="str">
        <f>_xlfn.IFNA(VLOOKUP(F1549,songs!$B$1:$C$1539, 2, FALSE),"")</f>
        <v>Help On The Way</v>
      </c>
      <c r="H1549" t="s">
        <v>7867</v>
      </c>
    </row>
    <row r="1550" spans="1:8" x14ac:dyDescent="0.25">
      <c r="A1550">
        <v>1549</v>
      </c>
      <c r="B1550" t="s">
        <v>1926</v>
      </c>
      <c r="C1550" t="s">
        <v>139</v>
      </c>
      <c r="D1550" t="str">
        <f t="shared" si="52"/>
        <v/>
      </c>
      <c r="E1550" t="str">
        <f t="shared" si="53"/>
        <v>the other one</v>
      </c>
      <c r="F1550" t="s">
        <v>7325</v>
      </c>
      <c r="G1550" t="str">
        <f>_xlfn.IFNA(VLOOKUP(F1550,songs!$B$1:$C$1539, 2, FALSE),"")</f>
        <v>The Other One</v>
      </c>
      <c r="H1550" t="s">
        <v>139</v>
      </c>
    </row>
    <row r="1551" spans="1:8" x14ac:dyDescent="0.25">
      <c r="A1551">
        <v>1550</v>
      </c>
      <c r="B1551" t="s">
        <v>1927</v>
      </c>
      <c r="C1551" t="s">
        <v>24</v>
      </c>
      <c r="D1551" t="str">
        <f t="shared" si="52"/>
        <v/>
      </c>
      <c r="E1551" t="str">
        <f t="shared" si="53"/>
        <v>stella blue</v>
      </c>
      <c r="F1551" t="s">
        <v>7123</v>
      </c>
      <c r="G1551" t="str">
        <f>_xlfn.IFNA(VLOOKUP(F1551,songs!$B$1:$C$1539, 2, FALSE),"")</f>
        <v>Stella Blue</v>
      </c>
      <c r="H1551" t="s">
        <v>24</v>
      </c>
    </row>
    <row r="1552" spans="1:8" x14ac:dyDescent="0.25">
      <c r="A1552">
        <v>1551</v>
      </c>
      <c r="B1552" t="s">
        <v>1928</v>
      </c>
      <c r="C1552" t="s">
        <v>956</v>
      </c>
      <c r="D1552" t="str">
        <f t="shared" si="52"/>
        <v/>
      </c>
      <c r="E1552" t="str">
        <f t="shared" si="53"/>
        <v>one more saturday night</v>
      </c>
      <c r="F1552" t="s">
        <v>6702</v>
      </c>
      <c r="G1552" t="str">
        <f>_xlfn.IFNA(VLOOKUP(F1552,songs!$B$1:$C$1539, 2, FALSE),"")</f>
        <v>One More Saturday Night</v>
      </c>
      <c r="H1552" t="s">
        <v>956</v>
      </c>
    </row>
    <row r="1553" spans="1:8" x14ac:dyDescent="0.25">
      <c r="A1553">
        <v>1552</v>
      </c>
      <c r="B1553" t="s">
        <v>1929</v>
      </c>
      <c r="C1553" t="s">
        <v>30</v>
      </c>
      <c r="D1553" t="str">
        <f t="shared" si="52"/>
        <v/>
      </c>
      <c r="E1553" t="str">
        <f t="shared" si="53"/>
        <v>sugar magnolia</v>
      </c>
      <c r="F1553" t="s">
        <v>7150</v>
      </c>
      <c r="G1553" t="str">
        <f>_xlfn.IFNA(VLOOKUP(F1553,songs!$B$1:$C$1539, 2, FALSE),"")</f>
        <v>Sugar Magnolia</v>
      </c>
      <c r="H1553" t="s">
        <v>30</v>
      </c>
    </row>
    <row r="1554" spans="1:8" x14ac:dyDescent="0.25">
      <c r="A1554">
        <v>1613</v>
      </c>
      <c r="B1554" t="s">
        <v>1993</v>
      </c>
      <c r="C1554" t="s">
        <v>1994</v>
      </c>
      <c r="D1554" t="str">
        <f t="shared" si="52"/>
        <v/>
      </c>
      <c r="E1554" t="str">
        <f t="shared" si="53"/>
        <v>slipknot! ]</v>
      </c>
      <c r="F1554" t="s">
        <v>7035</v>
      </c>
      <c r="G1554" t="str">
        <f>_xlfn.IFNA(VLOOKUP(F1554,songs!$B$1:$C$1539, 2, FALSE),"")</f>
        <v>Slipknot!</v>
      </c>
      <c r="H1554" t="s">
        <v>7867</v>
      </c>
    </row>
    <row r="1555" spans="1:8" x14ac:dyDescent="0.25">
      <c r="A1555">
        <v>1554</v>
      </c>
      <c r="B1555" t="s">
        <v>1932</v>
      </c>
      <c r="C1555" t="s">
        <v>199</v>
      </c>
      <c r="D1555" t="str">
        <f t="shared" si="52"/>
        <v/>
      </c>
      <c r="E1555" t="str">
        <f t="shared" si="53"/>
        <v>jack straw</v>
      </c>
      <c r="F1555" t="s">
        <v>6161</v>
      </c>
      <c r="G1555" t="str">
        <f>_xlfn.IFNA(VLOOKUP(F1555,songs!$B$1:$C$1539, 2, FALSE),"")</f>
        <v>Jack Straw</v>
      </c>
      <c r="H1555" t="s">
        <v>199</v>
      </c>
    </row>
    <row r="1556" spans="1:8" x14ac:dyDescent="0.25">
      <c r="A1556">
        <v>1555</v>
      </c>
      <c r="B1556" t="s">
        <v>1933</v>
      </c>
      <c r="C1556" t="s">
        <v>164</v>
      </c>
      <c r="D1556" t="str">
        <f t="shared" si="52"/>
        <v/>
      </c>
      <c r="E1556" t="str">
        <f t="shared" si="53"/>
        <v>tennessee jed</v>
      </c>
      <c r="F1556" t="s">
        <v>7234</v>
      </c>
      <c r="G1556" t="str">
        <f>_xlfn.IFNA(VLOOKUP(F1556,songs!$B$1:$C$1539, 2, FALSE),"")</f>
        <v>Tennessee Jed</v>
      </c>
      <c r="H1556" t="s">
        <v>164</v>
      </c>
    </row>
    <row r="1557" spans="1:8" x14ac:dyDescent="0.25">
      <c r="A1557">
        <v>1556</v>
      </c>
      <c r="B1557" t="s">
        <v>1934</v>
      </c>
      <c r="C1557" t="s">
        <v>186</v>
      </c>
      <c r="D1557" t="str">
        <f t="shared" si="52"/>
        <v/>
      </c>
      <c r="E1557" t="str">
        <f t="shared" si="53"/>
        <v>mexicali blues</v>
      </c>
      <c r="F1557" t="s">
        <v>6499</v>
      </c>
      <c r="G1557" t="str">
        <f>_xlfn.IFNA(VLOOKUP(F1557,songs!$B$1:$C$1539, 2, FALSE),"")</f>
        <v>Mexicali Blues</v>
      </c>
      <c r="H1557" t="s">
        <v>186</v>
      </c>
    </row>
    <row r="1558" spans="1:8" x14ac:dyDescent="0.25">
      <c r="A1558">
        <v>1557</v>
      </c>
      <c r="B1558" t="s">
        <v>1935</v>
      </c>
      <c r="C1558" t="s">
        <v>595</v>
      </c>
      <c r="D1558" t="str">
        <f t="shared" si="52"/>
        <v/>
      </c>
      <c r="E1558" t="str">
        <f t="shared" si="53"/>
        <v>me and my uncle</v>
      </c>
      <c r="F1558" t="s">
        <v>6486</v>
      </c>
      <c r="G1558" t="str">
        <f>_xlfn.IFNA(VLOOKUP(F1558,songs!$B$1:$C$1539, 2, FALSE),"")</f>
        <v>Me And My Uncle</v>
      </c>
      <c r="H1558" t="s">
        <v>903</v>
      </c>
    </row>
    <row r="1559" spans="1:8" x14ac:dyDescent="0.25">
      <c r="A1559">
        <v>1558</v>
      </c>
      <c r="B1559" t="s">
        <v>1936</v>
      </c>
      <c r="C1559" t="s">
        <v>464</v>
      </c>
      <c r="D1559" t="str">
        <f t="shared" si="52"/>
        <v/>
      </c>
      <c r="E1559" t="str">
        <f t="shared" si="53"/>
        <v>friend of the devil</v>
      </c>
      <c r="F1559" t="s">
        <v>5721</v>
      </c>
      <c r="G1559" t="str">
        <f>_xlfn.IFNA(VLOOKUP(F1559,songs!$B$1:$C$1539, 2, FALSE),"")</f>
        <v>Friend Of The Devil</v>
      </c>
      <c r="H1559" t="s">
        <v>464</v>
      </c>
    </row>
    <row r="1560" spans="1:8" x14ac:dyDescent="0.25">
      <c r="A1560">
        <v>1614</v>
      </c>
      <c r="B1560" t="s">
        <v>1995</v>
      </c>
      <c r="C1560" t="s">
        <v>1996</v>
      </c>
      <c r="D1560" t="str">
        <f t="shared" si="52"/>
        <v/>
      </c>
      <c r="E1560" t="str">
        <f t="shared" si="53"/>
        <v>franklin's tower ]</v>
      </c>
      <c r="F1560" t="s">
        <v>5712</v>
      </c>
      <c r="G1560" t="str">
        <f>_xlfn.IFNA(VLOOKUP(F1560,songs!$B$1:$C$1539, 2, FALSE),"")</f>
        <v>Franklin's Tower</v>
      </c>
      <c r="H1560" t="s">
        <v>7867</v>
      </c>
    </row>
    <row r="1561" spans="1:8" x14ac:dyDescent="0.25">
      <c r="A1561">
        <v>1560</v>
      </c>
      <c r="B1561" t="s">
        <v>1938</v>
      </c>
      <c r="C1561" t="s">
        <v>556</v>
      </c>
      <c r="D1561" t="str">
        <f t="shared" si="52"/>
        <v/>
      </c>
      <c r="E1561" t="str">
        <f t="shared" si="53"/>
        <v>dupree's diamond blues</v>
      </c>
      <c r="F1561" t="s">
        <v>5573</v>
      </c>
      <c r="G1561" t="str">
        <f>_xlfn.IFNA(VLOOKUP(F1561,songs!$B$1:$C$1539, 2, FALSE),"")</f>
        <v>Dupree's Diamond Blues</v>
      </c>
      <c r="H1561" t="s">
        <v>556</v>
      </c>
    </row>
    <row r="1562" spans="1:8" x14ac:dyDescent="0.25">
      <c r="A1562">
        <v>1561</v>
      </c>
      <c r="B1562" t="s">
        <v>1939</v>
      </c>
      <c r="C1562" t="s">
        <v>560</v>
      </c>
      <c r="D1562" t="str">
        <f t="shared" si="52"/>
        <v/>
      </c>
      <c r="E1562" t="str">
        <f t="shared" si="53"/>
        <v>passenger</v>
      </c>
      <c r="F1562" t="s">
        <v>6738</v>
      </c>
      <c r="G1562" t="str">
        <f>_xlfn.IFNA(VLOOKUP(F1562,songs!$B$1:$C$1539, 2, FALSE),"")</f>
        <v>Passenger</v>
      </c>
      <c r="H1562" t="s">
        <v>560</v>
      </c>
    </row>
    <row r="1563" spans="1:8" x14ac:dyDescent="0.25">
      <c r="A1563">
        <v>1562</v>
      </c>
      <c r="B1563" t="s">
        <v>1940</v>
      </c>
      <c r="C1563" t="s">
        <v>90</v>
      </c>
      <c r="D1563" t="str">
        <f t="shared" si="52"/>
        <v/>
      </c>
      <c r="E1563" t="str">
        <f t="shared" si="53"/>
        <v>dire wolf</v>
      </c>
      <c r="F1563" t="s">
        <v>5497</v>
      </c>
      <c r="G1563" t="str">
        <f>_xlfn.IFNA(VLOOKUP(F1563,songs!$B$1:$C$1539, 2, FALSE),"")</f>
        <v>Dire Wolf</v>
      </c>
      <c r="H1563" t="s">
        <v>90</v>
      </c>
    </row>
    <row r="1564" spans="1:8" x14ac:dyDescent="0.25">
      <c r="A1564">
        <v>1563</v>
      </c>
      <c r="B1564" t="s">
        <v>1941</v>
      </c>
      <c r="C1564" t="s">
        <v>49</v>
      </c>
      <c r="D1564" t="str">
        <f t="shared" si="52"/>
        <v/>
      </c>
      <c r="E1564" t="str">
        <f t="shared" si="53"/>
        <v>the music never stopped</v>
      </c>
      <c r="F1564" t="s">
        <v>7316</v>
      </c>
      <c r="G1564" t="str">
        <f>_xlfn.IFNA(VLOOKUP(F1564,songs!$B$1:$C$1539, 2, FALSE),"")</f>
        <v>The Music Never Stopped</v>
      </c>
      <c r="H1564" t="s">
        <v>49</v>
      </c>
    </row>
    <row r="1565" spans="1:8" x14ac:dyDescent="0.25">
      <c r="A1565">
        <v>1564</v>
      </c>
      <c r="B1565" t="s">
        <v>1942</v>
      </c>
      <c r="C1565" t="s">
        <v>266</v>
      </c>
      <c r="D1565" t="str">
        <f t="shared" si="52"/>
        <v/>
      </c>
      <c r="E1565" t="str">
        <f t="shared" si="53"/>
        <v>samson and delilah</v>
      </c>
      <c r="F1565" t="s">
        <v>6925</v>
      </c>
      <c r="G1565" t="str">
        <f>_xlfn.IFNA(VLOOKUP(F1565,songs!$B$1:$C$1539, 2, FALSE),"")</f>
        <v>Samson And Delilah</v>
      </c>
      <c r="H1565" t="s">
        <v>266</v>
      </c>
    </row>
    <row r="1566" spans="1:8" x14ac:dyDescent="0.25">
      <c r="A1566">
        <v>1565</v>
      </c>
      <c r="B1566" t="s">
        <v>1943</v>
      </c>
      <c r="C1566" t="s">
        <v>67</v>
      </c>
      <c r="D1566" t="str">
        <f t="shared" si="52"/>
        <v/>
      </c>
      <c r="E1566" t="str">
        <f t="shared" si="53"/>
        <v>sunrise</v>
      </c>
      <c r="F1566" t="s">
        <v>7156</v>
      </c>
      <c r="G1566" t="str">
        <f>_xlfn.IFNA(VLOOKUP(F1566,songs!$B$1:$C$1539, 2, FALSE),"")</f>
        <v>Sunrise</v>
      </c>
      <c r="H1566" t="s">
        <v>67</v>
      </c>
    </row>
    <row r="1567" spans="1:8" x14ac:dyDescent="0.25">
      <c r="A1567">
        <v>1566</v>
      </c>
      <c r="B1567" t="s">
        <v>1944</v>
      </c>
      <c r="C1567" t="s">
        <v>170</v>
      </c>
      <c r="D1567" t="str">
        <f t="shared" si="52"/>
        <v/>
      </c>
      <c r="E1567" t="str">
        <f t="shared" si="53"/>
        <v>scarlet begonias</v>
      </c>
      <c r="F1567" t="s">
        <v>6944</v>
      </c>
      <c r="G1567" t="str">
        <f>_xlfn.IFNA(VLOOKUP(F1567,songs!$B$1:$C$1539, 2, FALSE),"")</f>
        <v>Scarlet Begonias</v>
      </c>
      <c r="H1567" t="s">
        <v>170</v>
      </c>
    </row>
    <row r="1568" spans="1:8" x14ac:dyDescent="0.25">
      <c r="A1568">
        <v>1567</v>
      </c>
      <c r="B1568" t="s">
        <v>1945</v>
      </c>
      <c r="C1568" t="s">
        <v>573</v>
      </c>
      <c r="D1568" t="str">
        <f t="shared" si="52"/>
        <v/>
      </c>
      <c r="E1568" t="str">
        <f t="shared" si="53"/>
        <v>fire on the mountain</v>
      </c>
      <c r="F1568" t="s">
        <v>5675</v>
      </c>
      <c r="G1568" t="str">
        <f>_xlfn.IFNA(VLOOKUP(F1568,songs!$B$1:$C$1539, 2, FALSE),"")</f>
        <v>Fire On The Mountain</v>
      </c>
      <c r="H1568" t="s">
        <v>573</v>
      </c>
    </row>
    <row r="1569" spans="1:8" x14ac:dyDescent="0.25">
      <c r="A1569">
        <v>1568</v>
      </c>
      <c r="B1569" t="s">
        <v>1946</v>
      </c>
      <c r="C1569" t="s">
        <v>242</v>
      </c>
      <c r="D1569" t="str">
        <f t="shared" si="52"/>
        <v/>
      </c>
      <c r="E1569" t="str">
        <f t="shared" si="53"/>
        <v>good lovin'</v>
      </c>
      <c r="F1569" t="s">
        <v>5810</v>
      </c>
      <c r="G1569" t="str">
        <f>_xlfn.IFNA(VLOOKUP(F1569,songs!$B$1:$C$1539, 2, FALSE),"")</f>
        <v>Good Lovin'</v>
      </c>
      <c r="H1569" t="s">
        <v>242</v>
      </c>
    </row>
    <row r="1570" spans="1:8" x14ac:dyDescent="0.25">
      <c r="A1570">
        <v>1615</v>
      </c>
      <c r="B1570" t="s">
        <v>1997</v>
      </c>
      <c r="C1570" t="s">
        <v>1998</v>
      </c>
      <c r="D1570" t="str">
        <f t="shared" si="52"/>
        <v/>
      </c>
      <c r="E1570" t="str">
        <f t="shared" si="53"/>
        <v>dancing in the street ]</v>
      </c>
      <c r="F1570" t="s">
        <v>5418</v>
      </c>
      <c r="G1570" t="str">
        <f>_xlfn.IFNA(VLOOKUP(F1570,songs!$B$1:$C$1539, 2, FALSE),"")</f>
        <v>Dancin' In The Streets</v>
      </c>
      <c r="H1570" t="s">
        <v>7867</v>
      </c>
    </row>
    <row r="1571" spans="1:8" x14ac:dyDescent="0.25">
      <c r="A1571">
        <v>1570</v>
      </c>
      <c r="B1571" t="s">
        <v>1948</v>
      </c>
      <c r="C1571" t="s">
        <v>100</v>
      </c>
      <c r="D1571" t="str">
        <f t="shared" si="52"/>
        <v/>
      </c>
      <c r="E1571" t="str">
        <f t="shared" si="53"/>
        <v>drums</v>
      </c>
      <c r="F1571" t="s">
        <v>5568</v>
      </c>
      <c r="G1571" t="str">
        <f>_xlfn.IFNA(VLOOKUP(F1571,songs!$B$1:$C$1539, 2, FALSE),"")</f>
        <v>Drums</v>
      </c>
      <c r="H1571" t="s">
        <v>100</v>
      </c>
    </row>
    <row r="1572" spans="1:8" x14ac:dyDescent="0.25">
      <c r="A1572">
        <v>1571</v>
      </c>
      <c r="B1572" t="s">
        <v>1949</v>
      </c>
      <c r="C1572" t="s">
        <v>34</v>
      </c>
      <c r="D1572" t="str">
        <f t="shared" si="52"/>
        <v/>
      </c>
      <c r="E1572" t="str">
        <f t="shared" si="53"/>
        <v>not fade away</v>
      </c>
      <c r="F1572" t="s">
        <v>6651</v>
      </c>
      <c r="G1572" t="str">
        <f>_xlfn.IFNA(VLOOKUP(F1572,songs!$B$1:$C$1539, 2, FALSE),"")</f>
        <v>Not Fade Away</v>
      </c>
      <c r="H1572" t="s">
        <v>34</v>
      </c>
    </row>
    <row r="1573" spans="1:8" x14ac:dyDescent="0.25">
      <c r="A1573">
        <v>1572</v>
      </c>
      <c r="B1573" t="s">
        <v>1950</v>
      </c>
      <c r="C1573" t="s">
        <v>73</v>
      </c>
      <c r="D1573" t="str">
        <f t="shared" si="52"/>
        <v/>
      </c>
      <c r="E1573" t="str">
        <f t="shared" si="53"/>
        <v>wharf rat</v>
      </c>
      <c r="F1573" t="s">
        <v>7664</v>
      </c>
      <c r="G1573" t="str">
        <f>_xlfn.IFNA(VLOOKUP(F1573,songs!$B$1:$C$1539, 2, FALSE),"")</f>
        <v>Wharf Rat</v>
      </c>
      <c r="H1573" t="s">
        <v>73</v>
      </c>
    </row>
    <row r="1574" spans="1:8" x14ac:dyDescent="0.25">
      <c r="A1574">
        <v>1618</v>
      </c>
      <c r="B1574" t="s">
        <v>2001</v>
      </c>
      <c r="C1574" t="s">
        <v>1275</v>
      </c>
      <c r="D1574" t="str">
        <f t="shared" si="52"/>
        <v/>
      </c>
      <c r="E1574" t="str">
        <f t="shared" si="53"/>
        <v>lazy lightning ]</v>
      </c>
      <c r="F1574" t="s">
        <v>6293</v>
      </c>
      <c r="G1574" t="str">
        <f>_xlfn.IFNA(VLOOKUP(F1574,songs!$B$1:$C$1539, 2, FALSE),"")</f>
        <v>Lazy Lightning</v>
      </c>
      <c r="H1574" t="s">
        <v>7867</v>
      </c>
    </row>
    <row r="1575" spans="1:8" x14ac:dyDescent="0.25">
      <c r="A1575">
        <v>1574</v>
      </c>
      <c r="B1575" t="s">
        <v>1952</v>
      </c>
      <c r="C1575" t="s">
        <v>15</v>
      </c>
      <c r="D1575" t="str">
        <f t="shared" si="52"/>
        <v/>
      </c>
      <c r="E1575" t="str">
        <f t="shared" si="53"/>
        <v>truckin'</v>
      </c>
      <c r="F1575" t="s">
        <v>7436</v>
      </c>
      <c r="G1575" t="str">
        <f>_xlfn.IFNA(VLOOKUP(F1575,songs!$B$1:$C$1539, 2, FALSE),"")</f>
        <v>Truckin'</v>
      </c>
      <c r="H1575" t="s">
        <v>15</v>
      </c>
    </row>
    <row r="1576" spans="1:8" x14ac:dyDescent="0.25">
      <c r="A1576">
        <v>1575</v>
      </c>
      <c r="B1576" t="s">
        <v>1953</v>
      </c>
      <c r="C1576" t="s">
        <v>148</v>
      </c>
      <c r="D1576" t="str">
        <f t="shared" si="52"/>
        <v/>
      </c>
      <c r="E1576" t="str">
        <f t="shared" si="53"/>
        <v>johnny b. goode</v>
      </c>
      <c r="F1576" t="s">
        <v>6192</v>
      </c>
      <c r="G1576" t="str">
        <f>_xlfn.IFNA(VLOOKUP(F1576,songs!$B$1:$C$1539, 2, FALSE),"")</f>
        <v>Johnny B. Goode</v>
      </c>
      <c r="H1576" t="s">
        <v>148</v>
      </c>
    </row>
    <row r="1577" spans="1:8" x14ac:dyDescent="0.25">
      <c r="A1577">
        <v>1576</v>
      </c>
      <c r="B1577" t="s">
        <v>1954</v>
      </c>
      <c r="C1577" t="s">
        <v>15</v>
      </c>
      <c r="D1577" t="str">
        <f t="shared" si="52"/>
        <v/>
      </c>
      <c r="E1577" t="str">
        <f t="shared" si="53"/>
        <v>truckin'</v>
      </c>
      <c r="F1577" t="s">
        <v>7436</v>
      </c>
      <c r="G1577" t="str">
        <f>_xlfn.IFNA(VLOOKUP(F1577,songs!$B$1:$C$1539, 2, FALSE),"")</f>
        <v>Truckin'</v>
      </c>
      <c r="H1577" t="s">
        <v>15</v>
      </c>
    </row>
    <row r="1578" spans="1:8" x14ac:dyDescent="0.25">
      <c r="A1578">
        <v>1577</v>
      </c>
      <c r="B1578" t="s">
        <v>1955</v>
      </c>
      <c r="C1578" t="s">
        <v>51</v>
      </c>
      <c r="D1578" t="str">
        <f t="shared" si="52"/>
        <v/>
      </c>
      <c r="E1578" t="str">
        <f t="shared" si="53"/>
        <v>sugaree</v>
      </c>
      <c r="F1578" t="s">
        <v>7151</v>
      </c>
      <c r="G1578" t="str">
        <f>_xlfn.IFNA(VLOOKUP(F1578,songs!$B$1:$C$1539, 2, FALSE),"")</f>
        <v>Sugaree</v>
      </c>
      <c r="H1578" t="s">
        <v>51</v>
      </c>
    </row>
    <row r="1579" spans="1:8" x14ac:dyDescent="0.25">
      <c r="A1579">
        <v>1578</v>
      </c>
      <c r="B1579" t="s">
        <v>1956</v>
      </c>
      <c r="C1579" t="s">
        <v>431</v>
      </c>
      <c r="D1579" t="str">
        <f t="shared" si="52"/>
        <v/>
      </c>
      <c r="E1579" t="str">
        <f t="shared" si="53"/>
        <v>beat it on down the line</v>
      </c>
      <c r="F1579" t="s">
        <v>5149</v>
      </c>
      <c r="G1579" t="str">
        <f>_xlfn.IFNA(VLOOKUP(F1579,songs!$B$1:$C$1539, 2, FALSE),"")</f>
        <v>Beat It On Down The Line</v>
      </c>
      <c r="H1579" t="s">
        <v>431</v>
      </c>
    </row>
    <row r="1580" spans="1:8" x14ac:dyDescent="0.25">
      <c r="A1580">
        <v>1579</v>
      </c>
      <c r="B1580" t="s">
        <v>1957</v>
      </c>
      <c r="C1580" t="s">
        <v>164</v>
      </c>
      <c r="D1580" t="str">
        <f t="shared" si="52"/>
        <v/>
      </c>
      <c r="E1580" t="str">
        <f t="shared" si="53"/>
        <v>tennessee jed</v>
      </c>
      <c r="F1580" t="s">
        <v>7234</v>
      </c>
      <c r="G1580" t="str">
        <f>_xlfn.IFNA(VLOOKUP(F1580,songs!$B$1:$C$1539, 2, FALSE),"")</f>
        <v>Tennessee Jed</v>
      </c>
      <c r="H1580" t="s">
        <v>164</v>
      </c>
    </row>
    <row r="1581" spans="1:8" x14ac:dyDescent="0.25">
      <c r="A1581">
        <v>1580</v>
      </c>
      <c r="B1581" t="s">
        <v>1958</v>
      </c>
      <c r="C1581" t="s">
        <v>327</v>
      </c>
      <c r="D1581" t="str">
        <f t="shared" si="52"/>
        <v/>
      </c>
      <c r="E1581" t="str">
        <f t="shared" si="53"/>
        <v>el paso</v>
      </c>
      <c r="F1581" t="s">
        <v>5600</v>
      </c>
      <c r="G1581" t="str">
        <f>_xlfn.IFNA(VLOOKUP(F1581,songs!$B$1:$C$1539, 2, FALSE),"")</f>
        <v>El Paso</v>
      </c>
      <c r="H1581" t="s">
        <v>327</v>
      </c>
    </row>
    <row r="1582" spans="1:8" x14ac:dyDescent="0.25">
      <c r="A1582">
        <v>1581</v>
      </c>
      <c r="B1582" t="s">
        <v>1959</v>
      </c>
      <c r="C1582" t="s">
        <v>9</v>
      </c>
      <c r="D1582" t="str">
        <f t="shared" si="52"/>
        <v/>
      </c>
      <c r="E1582" t="str">
        <f t="shared" si="53"/>
        <v>big railroad blues</v>
      </c>
      <c r="F1582" t="s">
        <v>5174</v>
      </c>
      <c r="G1582" t="str">
        <f>_xlfn.IFNA(VLOOKUP(F1582,songs!$B$1:$C$1539, 2, FALSE),"")</f>
        <v>Big Railroad Blues</v>
      </c>
      <c r="H1582" t="s">
        <v>9</v>
      </c>
    </row>
    <row r="1583" spans="1:8" x14ac:dyDescent="0.25">
      <c r="A1583">
        <v>1582</v>
      </c>
      <c r="B1583" t="s">
        <v>1960</v>
      </c>
      <c r="C1583" t="s">
        <v>199</v>
      </c>
      <c r="D1583" t="str">
        <f t="shared" si="52"/>
        <v/>
      </c>
      <c r="E1583" t="str">
        <f t="shared" si="53"/>
        <v>jack straw</v>
      </c>
      <c r="F1583" t="s">
        <v>6161</v>
      </c>
      <c r="G1583" t="str">
        <f>_xlfn.IFNA(VLOOKUP(F1583,songs!$B$1:$C$1539, 2, FALSE),"")</f>
        <v>Jack Straw</v>
      </c>
      <c r="H1583" t="s">
        <v>199</v>
      </c>
    </row>
    <row r="1584" spans="1:8" x14ac:dyDescent="0.25">
      <c r="A1584">
        <v>1583</v>
      </c>
      <c r="B1584" t="s">
        <v>1961</v>
      </c>
      <c r="C1584" t="s">
        <v>264</v>
      </c>
      <c r="D1584" t="str">
        <f t="shared" si="52"/>
        <v/>
      </c>
      <c r="E1584" t="str">
        <f t="shared" si="53"/>
        <v>deal</v>
      </c>
      <c r="F1584" t="s">
        <v>5461</v>
      </c>
      <c r="G1584" t="str">
        <f>_xlfn.IFNA(VLOOKUP(F1584,songs!$B$1:$C$1539, 2, FALSE),"")</f>
        <v>Deal</v>
      </c>
      <c r="H1584" t="s">
        <v>264</v>
      </c>
    </row>
    <row r="1585" spans="1:8" x14ac:dyDescent="0.25">
      <c r="A1585">
        <v>1584</v>
      </c>
      <c r="B1585" t="s">
        <v>1962</v>
      </c>
      <c r="C1585" t="s">
        <v>419</v>
      </c>
      <c r="D1585" t="str">
        <f t="shared" si="52"/>
        <v/>
      </c>
      <c r="E1585" t="str">
        <f t="shared" si="53"/>
        <v>playing in the band</v>
      </c>
      <c r="F1585" t="s">
        <v>6769</v>
      </c>
      <c r="G1585" t="str">
        <f>_xlfn.IFNA(VLOOKUP(F1585,songs!$B$1:$C$1539, 2, FALSE),"")</f>
        <v>Playing In The Band</v>
      </c>
      <c r="H1585" t="s">
        <v>419</v>
      </c>
    </row>
    <row r="1586" spans="1:8" x14ac:dyDescent="0.25">
      <c r="A1586">
        <v>1585</v>
      </c>
      <c r="B1586" t="s">
        <v>1963</v>
      </c>
      <c r="C1586" t="s">
        <v>225</v>
      </c>
      <c r="D1586" t="str">
        <f t="shared" si="52"/>
        <v/>
      </c>
      <c r="E1586" t="str">
        <f t="shared" si="53"/>
        <v>cumberland blues</v>
      </c>
      <c r="F1586" t="s">
        <v>5411</v>
      </c>
      <c r="G1586" t="str">
        <f>_xlfn.IFNA(VLOOKUP(F1586,songs!$B$1:$C$1539, 2, FALSE),"")</f>
        <v>Cumberland Blues</v>
      </c>
      <c r="H1586" t="s">
        <v>225</v>
      </c>
    </row>
    <row r="1587" spans="1:8" x14ac:dyDescent="0.25">
      <c r="A1587">
        <v>1586</v>
      </c>
      <c r="B1587" t="s">
        <v>1964</v>
      </c>
      <c r="C1587" t="s">
        <v>1228</v>
      </c>
      <c r="D1587" t="str">
        <f t="shared" si="52"/>
        <v/>
      </c>
      <c r="E1587" t="str">
        <f t="shared" si="53"/>
        <v>me and bobby mcgee</v>
      </c>
      <c r="F1587" t="s">
        <v>6483</v>
      </c>
      <c r="G1587" t="str">
        <f>_xlfn.IFNA(VLOOKUP(F1587,songs!$B$1:$C$1539, 2, FALSE),"")</f>
        <v>Me And Bobby McGee</v>
      </c>
      <c r="H1587" t="s">
        <v>1228</v>
      </c>
    </row>
    <row r="1588" spans="1:8" x14ac:dyDescent="0.25">
      <c r="A1588">
        <v>1587</v>
      </c>
      <c r="B1588" t="s">
        <v>1965</v>
      </c>
      <c r="C1588" t="s">
        <v>1011</v>
      </c>
      <c r="D1588" t="str">
        <f t="shared" si="52"/>
        <v/>
      </c>
      <c r="E1588" t="str">
        <f t="shared" si="53"/>
        <v>you win again</v>
      </c>
      <c r="F1588" t="s">
        <v>7793</v>
      </c>
      <c r="G1588" t="str">
        <f>_xlfn.IFNA(VLOOKUP(F1588,songs!$B$1:$C$1539, 2, FALSE),"")</f>
        <v>You Win Again</v>
      </c>
      <c r="H1588" t="s">
        <v>1011</v>
      </c>
    </row>
    <row r="1589" spans="1:8" x14ac:dyDescent="0.25">
      <c r="A1589">
        <v>1588</v>
      </c>
      <c r="B1589" t="s">
        <v>1966</v>
      </c>
      <c r="C1589" t="s">
        <v>186</v>
      </c>
      <c r="D1589" t="str">
        <f t="shared" si="52"/>
        <v/>
      </c>
      <c r="E1589" t="str">
        <f t="shared" si="53"/>
        <v>mexicali blues</v>
      </c>
      <c r="F1589" t="s">
        <v>6499</v>
      </c>
      <c r="G1589" t="str">
        <f>_xlfn.IFNA(VLOOKUP(F1589,songs!$B$1:$C$1539, 2, FALSE),"")</f>
        <v>Mexicali Blues</v>
      </c>
      <c r="H1589" t="s">
        <v>186</v>
      </c>
    </row>
    <row r="1590" spans="1:8" x14ac:dyDescent="0.25">
      <c r="A1590">
        <v>1589</v>
      </c>
      <c r="B1590" t="s">
        <v>1967</v>
      </c>
      <c r="C1590" t="s">
        <v>81</v>
      </c>
      <c r="D1590" t="str">
        <f t="shared" ref="D1590:D1653" si="54">IF(RIGHT(TRIM(C1590),2)="-&gt;","&gt;",IF(RIGHT(TRIM(C1590),1)="&gt;","&gt;",""))</f>
        <v/>
      </c>
      <c r="E1590" t="str">
        <f t="shared" si="53"/>
        <v>casey jones</v>
      </c>
      <c r="F1590" t="s">
        <v>5290</v>
      </c>
      <c r="G1590" t="str">
        <f>_xlfn.IFNA(VLOOKUP(F1590,songs!$B$1:$C$1539, 2, FALSE),"")</f>
        <v>Casey Jones</v>
      </c>
      <c r="H1590" t="s">
        <v>81</v>
      </c>
    </row>
    <row r="1591" spans="1:8" x14ac:dyDescent="0.25">
      <c r="A1591">
        <v>1590</v>
      </c>
      <c r="B1591" t="s">
        <v>1968</v>
      </c>
      <c r="C1591" t="s">
        <v>956</v>
      </c>
      <c r="D1591" t="str">
        <f t="shared" si="54"/>
        <v/>
      </c>
      <c r="E1591" t="str">
        <f t="shared" si="53"/>
        <v>one more saturday night</v>
      </c>
      <c r="F1591" t="s">
        <v>6702</v>
      </c>
      <c r="G1591" t="str">
        <f>_xlfn.IFNA(VLOOKUP(F1591,songs!$B$1:$C$1539, 2, FALSE),"")</f>
        <v>One More Saturday Night</v>
      </c>
      <c r="H1591" t="s">
        <v>956</v>
      </c>
    </row>
    <row r="1592" spans="1:8" x14ac:dyDescent="0.25">
      <c r="A1592">
        <v>1591</v>
      </c>
      <c r="B1592" t="s">
        <v>1969</v>
      </c>
      <c r="C1592" t="s">
        <v>30</v>
      </c>
      <c r="D1592" t="str">
        <f t="shared" si="54"/>
        <v/>
      </c>
      <c r="E1592" t="str">
        <f t="shared" si="53"/>
        <v>sugar magnolia</v>
      </c>
      <c r="F1592" t="s">
        <v>7150</v>
      </c>
      <c r="G1592" t="str">
        <f>_xlfn.IFNA(VLOOKUP(F1592,songs!$B$1:$C$1539, 2, FALSE),"")</f>
        <v>Sugar Magnolia</v>
      </c>
      <c r="H1592" t="s">
        <v>30</v>
      </c>
    </row>
    <row r="1593" spans="1:8" x14ac:dyDescent="0.25">
      <c r="A1593">
        <v>1592</v>
      </c>
      <c r="B1593" t="s">
        <v>1970</v>
      </c>
      <c r="C1593" t="s">
        <v>233</v>
      </c>
      <c r="D1593" t="str">
        <f t="shared" si="54"/>
        <v/>
      </c>
      <c r="E1593" t="str">
        <f t="shared" si="53"/>
        <v>cryptical envelopment</v>
      </c>
      <c r="F1593" t="s">
        <v>5408</v>
      </c>
      <c r="G1593" t="str">
        <f>_xlfn.IFNA(VLOOKUP(F1593,songs!$B$1:$C$1539, 2, FALSE),"")</f>
        <v>Cryptical Envelopment</v>
      </c>
      <c r="H1593" t="s">
        <v>233</v>
      </c>
    </row>
    <row r="1594" spans="1:8" x14ac:dyDescent="0.25">
      <c r="A1594">
        <v>1593</v>
      </c>
      <c r="B1594" t="s">
        <v>1971</v>
      </c>
      <c r="C1594" t="s">
        <v>100</v>
      </c>
      <c r="D1594" t="str">
        <f t="shared" si="54"/>
        <v/>
      </c>
      <c r="E1594" t="str">
        <f t="shared" si="53"/>
        <v>drums</v>
      </c>
      <c r="F1594" t="s">
        <v>5568</v>
      </c>
      <c r="G1594" t="str">
        <f>_xlfn.IFNA(VLOOKUP(F1594,songs!$B$1:$C$1539, 2, FALSE),"")</f>
        <v>Drums</v>
      </c>
      <c r="H1594" t="s">
        <v>100</v>
      </c>
    </row>
    <row r="1595" spans="1:8" x14ac:dyDescent="0.25">
      <c r="A1595">
        <v>1594</v>
      </c>
      <c r="B1595" t="s">
        <v>1972</v>
      </c>
      <c r="C1595" t="s">
        <v>139</v>
      </c>
      <c r="D1595" t="str">
        <f t="shared" si="54"/>
        <v/>
      </c>
      <c r="E1595" t="str">
        <f t="shared" si="53"/>
        <v>the other one</v>
      </c>
      <c r="F1595" t="s">
        <v>7325</v>
      </c>
      <c r="G1595" t="str">
        <f>_xlfn.IFNA(VLOOKUP(F1595,songs!$B$1:$C$1539, 2, FALSE),"")</f>
        <v>The Other One</v>
      </c>
      <c r="H1595" t="s">
        <v>139</v>
      </c>
    </row>
    <row r="1596" spans="1:8" x14ac:dyDescent="0.25">
      <c r="A1596">
        <v>1595</v>
      </c>
      <c r="B1596" t="s">
        <v>1973</v>
      </c>
      <c r="C1596" t="s">
        <v>595</v>
      </c>
      <c r="D1596" t="str">
        <f t="shared" si="54"/>
        <v/>
      </c>
      <c r="E1596" t="str">
        <f t="shared" si="53"/>
        <v>me and my uncle</v>
      </c>
      <c r="F1596" t="s">
        <v>6486</v>
      </c>
      <c r="G1596" t="str">
        <f>_xlfn.IFNA(VLOOKUP(F1596,songs!$B$1:$C$1539, 2, FALSE),"")</f>
        <v>Me And My Uncle</v>
      </c>
      <c r="H1596" t="s">
        <v>903</v>
      </c>
    </row>
    <row r="1597" spans="1:8" x14ac:dyDescent="0.25">
      <c r="A1597">
        <v>1596</v>
      </c>
      <c r="B1597" t="s">
        <v>1974</v>
      </c>
      <c r="C1597" t="s">
        <v>139</v>
      </c>
      <c r="D1597" t="str">
        <f t="shared" si="54"/>
        <v/>
      </c>
      <c r="E1597" t="str">
        <f t="shared" si="53"/>
        <v>the other one</v>
      </c>
      <c r="F1597" t="s">
        <v>7325</v>
      </c>
      <c r="G1597" t="str">
        <f>_xlfn.IFNA(VLOOKUP(F1597,songs!$B$1:$C$1539, 2, FALSE),"")</f>
        <v>The Other One</v>
      </c>
      <c r="H1597" t="s">
        <v>139</v>
      </c>
    </row>
    <row r="1598" spans="1:8" x14ac:dyDescent="0.25">
      <c r="A1598">
        <v>1597</v>
      </c>
      <c r="B1598" t="s">
        <v>1975</v>
      </c>
      <c r="C1598" t="s">
        <v>73</v>
      </c>
      <c r="D1598" t="str">
        <f t="shared" si="54"/>
        <v/>
      </c>
      <c r="E1598" t="str">
        <f t="shared" si="53"/>
        <v>wharf rat</v>
      </c>
      <c r="F1598" t="s">
        <v>7664</v>
      </c>
      <c r="G1598" t="str">
        <f>_xlfn.IFNA(VLOOKUP(F1598,songs!$B$1:$C$1539, 2, FALSE),"")</f>
        <v>Wharf Rat</v>
      </c>
      <c r="H1598" t="s">
        <v>73</v>
      </c>
    </row>
    <row r="1599" spans="1:8" x14ac:dyDescent="0.25">
      <c r="A1599">
        <v>1598</v>
      </c>
      <c r="B1599" t="s">
        <v>1976</v>
      </c>
      <c r="C1599" t="s">
        <v>34</v>
      </c>
      <c r="D1599" t="str">
        <f t="shared" si="54"/>
        <v/>
      </c>
      <c r="E1599" t="str">
        <f t="shared" si="53"/>
        <v>not fade away</v>
      </c>
      <c r="F1599" t="s">
        <v>6651</v>
      </c>
      <c r="G1599" t="str">
        <f>_xlfn.IFNA(VLOOKUP(F1599,songs!$B$1:$C$1539, 2, FALSE),"")</f>
        <v>Not Fade Away</v>
      </c>
      <c r="H1599" t="s">
        <v>34</v>
      </c>
    </row>
    <row r="1600" spans="1:8" x14ac:dyDescent="0.25">
      <c r="A1600">
        <v>1621</v>
      </c>
      <c r="B1600" t="s">
        <v>2004</v>
      </c>
      <c r="C1600" t="s">
        <v>2005</v>
      </c>
      <c r="D1600" t="str">
        <f t="shared" si="54"/>
        <v/>
      </c>
      <c r="E1600" t="str">
        <f t="shared" si="53"/>
        <v>let it grow ]</v>
      </c>
      <c r="F1600" t="s">
        <v>6308</v>
      </c>
      <c r="G1600" t="str">
        <f>_xlfn.IFNA(VLOOKUP(F1600,songs!$B$1:$C$1539, 2, FALSE),"")</f>
        <v>Let It Grow</v>
      </c>
      <c r="H1600" t="s">
        <v>7867</v>
      </c>
    </row>
    <row r="1601" spans="1:8" x14ac:dyDescent="0.25">
      <c r="A1601">
        <v>1600</v>
      </c>
      <c r="B1601" t="s">
        <v>1978</v>
      </c>
      <c r="C1601" t="s">
        <v>34</v>
      </c>
      <c r="D1601" t="str">
        <f t="shared" si="54"/>
        <v/>
      </c>
      <c r="E1601" t="str">
        <f t="shared" si="53"/>
        <v>not fade away</v>
      </c>
      <c r="F1601" t="s">
        <v>6651</v>
      </c>
      <c r="G1601" t="str">
        <f>_xlfn.IFNA(VLOOKUP(F1601,songs!$B$1:$C$1539, 2, FALSE),"")</f>
        <v>Not Fade Away</v>
      </c>
      <c r="H1601" t="s">
        <v>34</v>
      </c>
    </row>
    <row r="1602" spans="1:8" x14ac:dyDescent="0.25">
      <c r="A1602">
        <v>1601</v>
      </c>
      <c r="B1602" t="s">
        <v>1979</v>
      </c>
      <c r="C1602" t="s">
        <v>436</v>
      </c>
      <c r="D1602" t="str">
        <f t="shared" si="54"/>
        <v/>
      </c>
      <c r="E1602" t="str">
        <f t="shared" si="53"/>
        <v>ramble on rose</v>
      </c>
      <c r="F1602" t="s">
        <v>6827</v>
      </c>
      <c r="G1602" t="str">
        <f>_xlfn.IFNA(VLOOKUP(F1602,songs!$B$1:$C$1539, 2, FALSE),"")</f>
        <v>Ramble On Rose</v>
      </c>
      <c r="H1602" t="s">
        <v>436</v>
      </c>
    </row>
    <row r="1603" spans="1:8" x14ac:dyDescent="0.25">
      <c r="A1603">
        <v>1602</v>
      </c>
      <c r="B1603" t="s">
        <v>1980</v>
      </c>
      <c r="C1603" t="s">
        <v>429</v>
      </c>
      <c r="D1603" t="str">
        <f t="shared" si="54"/>
        <v/>
      </c>
      <c r="E1603" t="str">
        <f t="shared" si="53"/>
        <v>cold rain and snow</v>
      </c>
      <c r="F1603" t="s">
        <v>5347</v>
      </c>
      <c r="G1603" t="str">
        <f>_xlfn.IFNA(VLOOKUP(F1603,songs!$B$1:$C$1539, 2, FALSE),"")</f>
        <v>Cold Rain And Snow</v>
      </c>
      <c r="H1603" t="s">
        <v>429</v>
      </c>
    </row>
    <row r="1604" spans="1:8" x14ac:dyDescent="0.25">
      <c r="A1604">
        <v>1603</v>
      </c>
      <c r="B1604" t="s">
        <v>1981</v>
      </c>
      <c r="C1604" t="s">
        <v>3</v>
      </c>
      <c r="D1604" t="str">
        <f t="shared" si="54"/>
        <v/>
      </c>
      <c r="E1604" t="str">
        <f t="shared" ref="E1604:E1667" si="55">LOWER(TRIM(SUBSTITUTE(IF(RIGHT(TRIM(C1604),2)="-&gt;",LEFT(TRIM(C1604),LEN(TRIM(C1604))-2),IF(RIGHT(TRIM(C1604),1)="&gt;",LEFT(TRIM(C1604),LEN(TRIM(C1604))-1),C1604)),"//","")))</f>
        <v>big river</v>
      </c>
      <c r="F1604" t="s">
        <v>5175</v>
      </c>
      <c r="G1604" t="str">
        <f>_xlfn.IFNA(VLOOKUP(F1604,songs!$B$1:$C$1539, 2, FALSE),"")</f>
        <v>Big River</v>
      </c>
      <c r="H1604" t="s">
        <v>3</v>
      </c>
    </row>
    <row r="1605" spans="1:8" x14ac:dyDescent="0.25">
      <c r="A1605">
        <v>1622</v>
      </c>
      <c r="B1605" t="s">
        <v>2006</v>
      </c>
      <c r="C1605" t="s">
        <v>2007</v>
      </c>
      <c r="D1605" t="str">
        <f t="shared" si="54"/>
        <v/>
      </c>
      <c r="E1605" t="str">
        <f t="shared" si="55"/>
        <v>drums ]</v>
      </c>
      <c r="F1605" t="s">
        <v>5568</v>
      </c>
      <c r="G1605" t="str">
        <f>_xlfn.IFNA(VLOOKUP(F1605,songs!$B$1:$C$1539, 2, FALSE),"")</f>
        <v>Drums</v>
      </c>
      <c r="H1605" t="s">
        <v>7867</v>
      </c>
    </row>
    <row r="1606" spans="1:8" x14ac:dyDescent="0.25">
      <c r="A1606">
        <v>1605</v>
      </c>
      <c r="B1606" t="s">
        <v>1984</v>
      </c>
      <c r="C1606" t="s">
        <v>262</v>
      </c>
      <c r="D1606" t="str">
        <f t="shared" si="54"/>
        <v/>
      </c>
      <c r="E1606" t="str">
        <f t="shared" si="55"/>
        <v>cassidy</v>
      </c>
      <c r="F1606" t="s">
        <v>5291</v>
      </c>
      <c r="G1606" t="str">
        <f>_xlfn.IFNA(VLOOKUP(F1606,songs!$B$1:$C$1539, 2, FALSE),"")</f>
        <v>Cassidy</v>
      </c>
      <c r="H1606" t="s">
        <v>262</v>
      </c>
    </row>
    <row r="1607" spans="1:8" x14ac:dyDescent="0.25">
      <c r="A1607">
        <v>1606</v>
      </c>
      <c r="B1607" t="s">
        <v>1985</v>
      </c>
      <c r="C1607" t="s">
        <v>164</v>
      </c>
      <c r="D1607" t="str">
        <f t="shared" si="54"/>
        <v/>
      </c>
      <c r="E1607" t="str">
        <f t="shared" si="55"/>
        <v>tennessee jed</v>
      </c>
      <c r="F1607" t="s">
        <v>7234</v>
      </c>
      <c r="G1607" t="str">
        <f>_xlfn.IFNA(VLOOKUP(F1607,songs!$B$1:$C$1539, 2, FALSE),"")</f>
        <v>Tennessee Jed</v>
      </c>
      <c r="H1607" t="s">
        <v>164</v>
      </c>
    </row>
    <row r="1608" spans="1:8" x14ac:dyDescent="0.25">
      <c r="A1608">
        <v>1607</v>
      </c>
      <c r="B1608" t="s">
        <v>1986</v>
      </c>
      <c r="C1608" t="s">
        <v>126</v>
      </c>
      <c r="D1608" t="str">
        <f t="shared" si="54"/>
        <v/>
      </c>
      <c r="E1608" t="str">
        <f t="shared" si="55"/>
        <v>looks like rain</v>
      </c>
      <c r="F1608" t="s">
        <v>6398</v>
      </c>
      <c r="G1608" t="str">
        <f>_xlfn.IFNA(VLOOKUP(F1608,songs!$B$1:$C$1539, 2, FALSE),"")</f>
        <v>Looks Like Rain</v>
      </c>
      <c r="H1608" t="s">
        <v>126</v>
      </c>
    </row>
    <row r="1609" spans="1:8" x14ac:dyDescent="0.25">
      <c r="A1609">
        <v>1608</v>
      </c>
      <c r="B1609" t="s">
        <v>1987</v>
      </c>
      <c r="C1609" t="s">
        <v>188</v>
      </c>
      <c r="D1609" t="str">
        <f t="shared" si="54"/>
        <v/>
      </c>
      <c r="E1609" t="str">
        <f t="shared" si="55"/>
        <v>row jimmy</v>
      </c>
      <c r="F1609" t="s">
        <v>6893</v>
      </c>
      <c r="G1609" t="str">
        <f>_xlfn.IFNA(VLOOKUP(F1609,songs!$B$1:$C$1539, 2, FALSE),"")</f>
        <v>Row Jimmy</v>
      </c>
      <c r="H1609" t="s">
        <v>188</v>
      </c>
    </row>
    <row r="1610" spans="1:8" x14ac:dyDescent="0.25">
      <c r="A1610">
        <v>1609</v>
      </c>
      <c r="B1610" t="s">
        <v>1988</v>
      </c>
      <c r="C1610" t="s">
        <v>49</v>
      </c>
      <c r="D1610" t="str">
        <f t="shared" si="54"/>
        <v/>
      </c>
      <c r="E1610" t="str">
        <f t="shared" si="55"/>
        <v>the music never stopped</v>
      </c>
      <c r="F1610" t="s">
        <v>7316</v>
      </c>
      <c r="G1610" t="str">
        <f>_xlfn.IFNA(VLOOKUP(F1610,songs!$B$1:$C$1539, 2, FALSE),"")</f>
        <v>The Music Never Stopped</v>
      </c>
      <c r="H1610" t="s">
        <v>49</v>
      </c>
    </row>
    <row r="1611" spans="1:8" x14ac:dyDescent="0.25">
      <c r="A1611">
        <v>1610</v>
      </c>
      <c r="B1611" t="s">
        <v>1989</v>
      </c>
      <c r="C1611" t="s">
        <v>170</v>
      </c>
      <c r="D1611" t="str">
        <f t="shared" si="54"/>
        <v/>
      </c>
      <c r="E1611" t="str">
        <f t="shared" si="55"/>
        <v>scarlet begonias</v>
      </c>
      <c r="F1611" t="s">
        <v>6944</v>
      </c>
      <c r="G1611" t="str">
        <f>_xlfn.IFNA(VLOOKUP(F1611,songs!$B$1:$C$1539, 2, FALSE),"")</f>
        <v>Scarlet Begonias</v>
      </c>
      <c r="H1611" t="s">
        <v>170</v>
      </c>
    </row>
    <row r="1612" spans="1:8" x14ac:dyDescent="0.25">
      <c r="A1612">
        <v>1611</v>
      </c>
      <c r="B1612" t="s">
        <v>1990</v>
      </c>
      <c r="C1612" t="s">
        <v>130</v>
      </c>
      <c r="D1612" t="str">
        <f t="shared" si="54"/>
        <v/>
      </c>
      <c r="E1612" t="str">
        <f t="shared" si="55"/>
        <v>promised land</v>
      </c>
      <c r="F1612" t="s">
        <v>6797</v>
      </c>
      <c r="G1612" t="str">
        <f>_xlfn.IFNA(VLOOKUP(F1612,songs!$B$1:$C$1539, 2, FALSE),"")</f>
        <v>Promised Land</v>
      </c>
      <c r="H1612" t="s">
        <v>130</v>
      </c>
    </row>
    <row r="1613" spans="1:8" x14ac:dyDescent="0.25">
      <c r="A1613">
        <v>1623</v>
      </c>
      <c r="B1613" t="s">
        <v>2008</v>
      </c>
      <c r="C1613" t="s">
        <v>2005</v>
      </c>
      <c r="D1613" t="str">
        <f t="shared" si="54"/>
        <v/>
      </c>
      <c r="E1613" t="str">
        <f t="shared" si="55"/>
        <v>let it grow ]</v>
      </c>
      <c r="F1613" t="s">
        <v>6308</v>
      </c>
      <c r="G1613" t="str">
        <f>_xlfn.IFNA(VLOOKUP(F1613,songs!$B$1:$C$1539, 2, FALSE),"")</f>
        <v>Let It Grow</v>
      </c>
      <c r="H1613" t="s">
        <v>7867</v>
      </c>
    </row>
    <row r="1614" spans="1:8" x14ac:dyDescent="0.25">
      <c r="A1614">
        <v>1624</v>
      </c>
      <c r="B1614" t="s">
        <v>2009</v>
      </c>
      <c r="C1614" t="s">
        <v>1290</v>
      </c>
      <c r="D1614" t="str">
        <f t="shared" si="54"/>
        <v/>
      </c>
      <c r="E1614" t="str">
        <f t="shared" si="55"/>
        <v>wharf rat ]</v>
      </c>
      <c r="F1614" t="s">
        <v>7664</v>
      </c>
      <c r="G1614" t="str">
        <f>_xlfn.IFNA(VLOOKUP(F1614,songs!$B$1:$C$1539, 2, FALSE),"")</f>
        <v>Wharf Rat</v>
      </c>
      <c r="H1614" t="s">
        <v>7867</v>
      </c>
    </row>
    <row r="1615" spans="1:8" x14ac:dyDescent="0.25">
      <c r="A1615">
        <v>1626</v>
      </c>
      <c r="B1615" t="s">
        <v>2011</v>
      </c>
      <c r="C1615" t="s">
        <v>2012</v>
      </c>
      <c r="D1615" t="str">
        <f t="shared" si="54"/>
        <v/>
      </c>
      <c r="E1615" t="str">
        <f t="shared" si="55"/>
        <v>sugaree (6,23,76 tower theater)</v>
      </c>
      <c r="F1615" t="s">
        <v>7151</v>
      </c>
      <c r="G1615" t="str">
        <f>_xlfn.IFNA(VLOOKUP(F1615,songs!$B$1:$C$1539, 2, FALSE),"")</f>
        <v>Sugaree</v>
      </c>
      <c r="H1615" t="s">
        <v>7867</v>
      </c>
    </row>
    <row r="1616" spans="1:8" x14ac:dyDescent="0.25">
      <c r="A1616">
        <v>1627</v>
      </c>
      <c r="B1616" t="s">
        <v>2013</v>
      </c>
      <c r="C1616" t="s">
        <v>2014</v>
      </c>
      <c r="D1616" t="str">
        <f t="shared" si="54"/>
        <v/>
      </c>
      <c r="E1616" t="str">
        <f t="shared" si="55"/>
        <v>high time (6,28,76 auditorium theatre)</v>
      </c>
      <c r="F1616" t="s">
        <v>5920</v>
      </c>
      <c r="G1616" t="str">
        <f>_xlfn.IFNA(VLOOKUP(F1616,songs!$B$1:$C$1539, 2, FALSE),"")</f>
        <v>High Time</v>
      </c>
      <c r="H1616" t="s">
        <v>7867</v>
      </c>
    </row>
    <row r="1617" spans="1:8" x14ac:dyDescent="0.25">
      <c r="A1617">
        <v>1616</v>
      </c>
      <c r="B1617" t="s">
        <v>1999</v>
      </c>
      <c r="C1617" t="s">
        <v>266</v>
      </c>
      <c r="D1617" t="str">
        <f t="shared" si="54"/>
        <v/>
      </c>
      <c r="E1617" t="str">
        <f t="shared" si="55"/>
        <v>samson and delilah</v>
      </c>
      <c r="F1617" t="s">
        <v>6925</v>
      </c>
      <c r="G1617" t="str">
        <f>_xlfn.IFNA(VLOOKUP(F1617,songs!$B$1:$C$1539, 2, FALSE),"")</f>
        <v>Samson And Delilah</v>
      </c>
      <c r="H1617" t="s">
        <v>266</v>
      </c>
    </row>
    <row r="1618" spans="1:8" x14ac:dyDescent="0.25">
      <c r="A1618">
        <v>1617</v>
      </c>
      <c r="B1618" t="s">
        <v>2000</v>
      </c>
      <c r="C1618" t="s">
        <v>866</v>
      </c>
      <c r="D1618" t="str">
        <f t="shared" si="54"/>
        <v/>
      </c>
      <c r="E1618" t="str">
        <f t="shared" si="55"/>
        <v>ship of fools</v>
      </c>
      <c r="F1618" t="s">
        <v>6999</v>
      </c>
      <c r="G1618" t="str">
        <f>_xlfn.IFNA(VLOOKUP(F1618,songs!$B$1:$C$1539, 2, FALSE),"")</f>
        <v>Ship Of Fools</v>
      </c>
      <c r="H1618" t="s">
        <v>866</v>
      </c>
    </row>
    <row r="1619" spans="1:8" x14ac:dyDescent="0.25">
      <c r="A1619">
        <v>1629</v>
      </c>
      <c r="B1619" t="s">
        <v>2016</v>
      </c>
      <c r="C1619" t="s">
        <v>122</v>
      </c>
      <c r="D1619" t="str">
        <f t="shared" si="54"/>
        <v/>
      </c>
      <c r="E1619" t="str">
        <f t="shared" si="55"/>
        <v>new minglewood blues</v>
      </c>
      <c r="F1619" t="s">
        <v>7869</v>
      </c>
      <c r="G1619" t="str">
        <f>_xlfn.IFNA(VLOOKUP(F1619,songs!$B$1:$C$1539, 2, FALSE),"")</f>
        <v>Minglewood Blues</v>
      </c>
      <c r="H1619" t="s">
        <v>7867</v>
      </c>
    </row>
    <row r="1620" spans="1:8" x14ac:dyDescent="0.25">
      <c r="A1620">
        <v>1619</v>
      </c>
      <c r="B1620" t="s">
        <v>2002</v>
      </c>
      <c r="C1620" t="s">
        <v>55</v>
      </c>
      <c r="D1620" t="str">
        <f t="shared" si="54"/>
        <v/>
      </c>
      <c r="E1620" t="str">
        <f t="shared" si="55"/>
        <v>supplication</v>
      </c>
      <c r="F1620" t="s">
        <v>7162</v>
      </c>
      <c r="G1620" t="str">
        <f>_xlfn.IFNA(VLOOKUP(F1620,songs!$B$1:$C$1539, 2, FALSE),"")</f>
        <v>Supplication</v>
      </c>
      <c r="H1620" t="s">
        <v>55</v>
      </c>
    </row>
    <row r="1621" spans="1:8" x14ac:dyDescent="0.25">
      <c r="A1621">
        <v>1620</v>
      </c>
      <c r="B1621" t="s">
        <v>2003</v>
      </c>
      <c r="C1621" t="s">
        <v>464</v>
      </c>
      <c r="D1621" t="str">
        <f t="shared" si="54"/>
        <v/>
      </c>
      <c r="E1621" t="str">
        <f t="shared" si="55"/>
        <v>friend of the devil</v>
      </c>
      <c r="F1621" t="s">
        <v>5721</v>
      </c>
      <c r="G1621" t="str">
        <f>_xlfn.IFNA(VLOOKUP(F1621,songs!$B$1:$C$1539, 2, FALSE),"")</f>
        <v>Friend Of The Devil</v>
      </c>
      <c r="H1621" t="s">
        <v>464</v>
      </c>
    </row>
    <row r="1622" spans="1:8" x14ac:dyDescent="0.25">
      <c r="A1622">
        <v>1644</v>
      </c>
      <c r="B1622" t="s">
        <v>2031</v>
      </c>
      <c r="C1622" t="s">
        <v>2032</v>
      </c>
      <c r="D1622" t="str">
        <f t="shared" si="54"/>
        <v/>
      </c>
      <c r="E1622" t="str">
        <f t="shared" si="55"/>
        <v>the promised land</v>
      </c>
      <c r="F1622" t="s">
        <v>6797</v>
      </c>
      <c r="G1622" t="str">
        <f>_xlfn.IFNA(VLOOKUP(F1622,songs!$B$1:$C$1539, 2, FALSE),"")</f>
        <v>Promised Land</v>
      </c>
      <c r="H1622" t="s">
        <v>7867</v>
      </c>
    </row>
    <row r="1623" spans="1:8" x14ac:dyDescent="0.25">
      <c r="A1623">
        <v>1646</v>
      </c>
      <c r="B1623" t="s">
        <v>2034</v>
      </c>
      <c r="C1623" t="s">
        <v>1775</v>
      </c>
      <c r="D1623" t="str">
        <f t="shared" si="54"/>
        <v/>
      </c>
      <c r="E1623" t="str">
        <f t="shared" si="55"/>
        <v>dancing in the street</v>
      </c>
      <c r="F1623" t="s">
        <v>5418</v>
      </c>
      <c r="G1623" t="str">
        <f>_xlfn.IFNA(VLOOKUP(F1623,songs!$B$1:$C$1539, 2, FALSE),"")</f>
        <v>Dancin' In The Streets</v>
      </c>
      <c r="H1623" t="s">
        <v>7867</v>
      </c>
    </row>
    <row r="1624" spans="1:8" x14ac:dyDescent="0.25">
      <c r="A1624">
        <v>1647</v>
      </c>
      <c r="B1624" t="s">
        <v>2035</v>
      </c>
      <c r="C1624" t="s">
        <v>1390</v>
      </c>
      <c r="D1624" t="str">
        <f t="shared" si="54"/>
        <v/>
      </c>
      <c r="E1624" t="str">
        <f t="shared" si="55"/>
        <v>around &amp; around</v>
      </c>
      <c r="F1624" t="s">
        <v>5103</v>
      </c>
      <c r="G1624" t="str">
        <f>_xlfn.IFNA(VLOOKUP(F1624,songs!$B$1:$C$1539, 2, FALSE),"")</f>
        <v>Around And Around</v>
      </c>
      <c r="H1624" t="s">
        <v>7867</v>
      </c>
    </row>
    <row r="1625" spans="1:8" x14ac:dyDescent="0.25">
      <c r="A1625">
        <v>1658</v>
      </c>
      <c r="B1625" t="s">
        <v>2046</v>
      </c>
      <c r="C1625" t="s">
        <v>2047</v>
      </c>
      <c r="D1625" t="str">
        <f t="shared" si="54"/>
        <v/>
      </c>
      <c r="E1625" t="str">
        <f t="shared" si="55"/>
        <v>that's it for the other one</v>
      </c>
      <c r="F1625" t="s">
        <v>7325</v>
      </c>
      <c r="G1625" t="str">
        <f>_xlfn.IFNA(VLOOKUP(F1625,songs!$B$1:$C$1539, 2, FALSE),"")</f>
        <v>The Other One</v>
      </c>
      <c r="H1625" t="s">
        <v>7867</v>
      </c>
    </row>
    <row r="1626" spans="1:8" x14ac:dyDescent="0.25">
      <c r="A1626">
        <v>1625</v>
      </c>
      <c r="B1626" t="s">
        <v>2010</v>
      </c>
      <c r="C1626" t="s">
        <v>579</v>
      </c>
      <c r="D1626" t="str">
        <f t="shared" si="54"/>
        <v/>
      </c>
      <c r="E1626" t="str">
        <f t="shared" si="55"/>
        <v>around and around</v>
      </c>
      <c r="F1626" t="s">
        <v>5103</v>
      </c>
      <c r="G1626" t="str">
        <f>_xlfn.IFNA(VLOOKUP(F1626,songs!$B$1:$C$1539, 2, FALSE),"")</f>
        <v>Around And Around</v>
      </c>
      <c r="H1626" t="s">
        <v>579</v>
      </c>
    </row>
    <row r="1627" spans="1:8" x14ac:dyDescent="0.25">
      <c r="A1627">
        <v>1667</v>
      </c>
      <c r="B1627" t="s">
        <v>2056</v>
      </c>
      <c r="C1627" t="s">
        <v>102</v>
      </c>
      <c r="D1627" t="str">
        <f t="shared" si="54"/>
        <v/>
      </c>
      <c r="E1627" t="str">
        <f t="shared" si="55"/>
        <v>me &amp; my uncle</v>
      </c>
      <c r="F1627" t="s">
        <v>6486</v>
      </c>
      <c r="G1627" t="str">
        <f>_xlfn.IFNA(VLOOKUP(F1627,songs!$B$1:$C$1539, 2, FALSE),"")</f>
        <v>Me And My Uncle</v>
      </c>
      <c r="H1627" t="s">
        <v>7867</v>
      </c>
    </row>
    <row r="1628" spans="1:8" x14ac:dyDescent="0.25">
      <c r="A1628">
        <v>1668</v>
      </c>
      <c r="B1628" t="s">
        <v>2057</v>
      </c>
      <c r="C1628" t="s">
        <v>2058</v>
      </c>
      <c r="D1628" t="str">
        <f t="shared" si="54"/>
        <v/>
      </c>
      <c r="E1628" t="str">
        <f t="shared" si="55"/>
        <v>monkey &amp; the engineer</v>
      </c>
      <c r="F1628" t="s">
        <v>6544</v>
      </c>
      <c r="G1628" t="str">
        <f>_xlfn.IFNA(VLOOKUP(F1628,songs!$B$1:$C$1539, 2, FALSE),"")</f>
        <v>Monkey And The Engineer</v>
      </c>
      <c r="H1628" t="s">
        <v>7867</v>
      </c>
    </row>
    <row r="1629" spans="1:8" x14ac:dyDescent="0.25">
      <c r="A1629">
        <v>1628</v>
      </c>
      <c r="B1629" t="s">
        <v>2015</v>
      </c>
      <c r="C1629" t="s">
        <v>75</v>
      </c>
      <c r="D1629" t="str">
        <f t="shared" si="54"/>
        <v/>
      </c>
      <c r="E1629" t="str">
        <f t="shared" si="55"/>
        <v>terrapin station</v>
      </c>
      <c r="F1629" t="s">
        <v>7237</v>
      </c>
      <c r="G1629" t="str">
        <f>_xlfn.IFNA(VLOOKUP(F1629,songs!$B$1:$C$1539, 2, FALSE),"")</f>
        <v>Terrapin Station</v>
      </c>
      <c r="H1629" t="s">
        <v>75</v>
      </c>
    </row>
    <row r="1630" spans="1:8" x14ac:dyDescent="0.25">
      <c r="A1630">
        <v>1672</v>
      </c>
      <c r="B1630" t="s">
        <v>2063</v>
      </c>
      <c r="C1630" t="s">
        <v>32</v>
      </c>
      <c r="D1630" t="str">
        <f t="shared" si="54"/>
        <v/>
      </c>
      <c r="E1630" t="str">
        <f t="shared" si="55"/>
        <v>st. stephen</v>
      </c>
      <c r="F1630" t="s">
        <v>6910</v>
      </c>
      <c r="G1630" t="str">
        <f>_xlfn.IFNA(VLOOKUP(F1630,songs!$B$1:$C$1539, 2, FALSE),"")</f>
        <v>Saint Stephen</v>
      </c>
      <c r="H1630" t="s">
        <v>7867</v>
      </c>
    </row>
    <row r="1631" spans="1:8" x14ac:dyDescent="0.25">
      <c r="A1631">
        <v>1630</v>
      </c>
      <c r="B1631" t="s">
        <v>2017</v>
      </c>
      <c r="C1631" t="s">
        <v>156</v>
      </c>
      <c r="D1631" t="str">
        <f t="shared" si="54"/>
        <v/>
      </c>
      <c r="E1631" t="str">
        <f t="shared" si="55"/>
        <v>they love each other</v>
      </c>
      <c r="F1631" t="s">
        <v>7358</v>
      </c>
      <c r="G1631" t="str">
        <f>_xlfn.IFNA(VLOOKUP(F1631,songs!$B$1:$C$1539, 2, FALSE),"")</f>
        <v>They Love Each Other</v>
      </c>
      <c r="H1631" t="s">
        <v>156</v>
      </c>
    </row>
    <row r="1632" spans="1:8" x14ac:dyDescent="0.25">
      <c r="A1632">
        <v>1631</v>
      </c>
      <c r="B1632" t="s">
        <v>2018</v>
      </c>
      <c r="C1632" t="s">
        <v>69</v>
      </c>
      <c r="D1632" t="str">
        <f t="shared" si="54"/>
        <v/>
      </c>
      <c r="E1632" t="str">
        <f t="shared" si="55"/>
        <v>estimated prophet</v>
      </c>
      <c r="F1632" t="s">
        <v>5612</v>
      </c>
      <c r="G1632" t="str">
        <f>_xlfn.IFNA(VLOOKUP(F1632,songs!$B$1:$C$1539, 2, FALSE),"")</f>
        <v>Estimated Prophet</v>
      </c>
      <c r="H1632" t="s">
        <v>69</v>
      </c>
    </row>
    <row r="1633" spans="1:8" x14ac:dyDescent="0.25">
      <c r="A1633">
        <v>1632</v>
      </c>
      <c r="B1633" t="s">
        <v>2019</v>
      </c>
      <c r="C1633" t="s">
        <v>51</v>
      </c>
      <c r="D1633" t="str">
        <f t="shared" si="54"/>
        <v/>
      </c>
      <c r="E1633" t="str">
        <f t="shared" si="55"/>
        <v>sugaree</v>
      </c>
      <c r="F1633" t="s">
        <v>7151</v>
      </c>
      <c r="G1633" t="str">
        <f>_xlfn.IFNA(VLOOKUP(F1633,songs!$B$1:$C$1539, 2, FALSE),"")</f>
        <v>Sugaree</v>
      </c>
      <c r="H1633" t="s">
        <v>51</v>
      </c>
    </row>
    <row r="1634" spans="1:8" x14ac:dyDescent="0.25">
      <c r="A1634">
        <v>1633</v>
      </c>
      <c r="B1634" t="s">
        <v>2020</v>
      </c>
      <c r="C1634" t="s">
        <v>158</v>
      </c>
      <c r="D1634" t="str">
        <f t="shared" si="54"/>
        <v/>
      </c>
      <c r="E1634" t="str">
        <f t="shared" si="55"/>
        <v>mama tried</v>
      </c>
      <c r="F1634" t="s">
        <v>6454</v>
      </c>
      <c r="G1634" t="str">
        <f>_xlfn.IFNA(VLOOKUP(F1634,songs!$B$1:$C$1539, 2, FALSE),"")</f>
        <v>Mama Tried</v>
      </c>
      <c r="H1634" t="s">
        <v>158</v>
      </c>
    </row>
    <row r="1635" spans="1:8" x14ac:dyDescent="0.25">
      <c r="A1635">
        <v>1634</v>
      </c>
      <c r="B1635" t="s">
        <v>2021</v>
      </c>
      <c r="C1635" t="s">
        <v>264</v>
      </c>
      <c r="D1635" t="str">
        <f t="shared" si="54"/>
        <v/>
      </c>
      <c r="E1635" t="str">
        <f t="shared" si="55"/>
        <v>deal</v>
      </c>
      <c r="F1635" t="s">
        <v>5461</v>
      </c>
      <c r="G1635" t="str">
        <f>_xlfn.IFNA(VLOOKUP(F1635,songs!$B$1:$C$1539, 2, FALSE),"")</f>
        <v>Deal</v>
      </c>
      <c r="H1635" t="s">
        <v>264</v>
      </c>
    </row>
    <row r="1636" spans="1:8" x14ac:dyDescent="0.25">
      <c r="A1636">
        <v>1635</v>
      </c>
      <c r="B1636" t="s">
        <v>2022</v>
      </c>
      <c r="C1636" t="s">
        <v>419</v>
      </c>
      <c r="D1636" t="str">
        <f t="shared" si="54"/>
        <v/>
      </c>
      <c r="E1636" t="str">
        <f t="shared" si="55"/>
        <v>playing in the band</v>
      </c>
      <c r="F1636" t="s">
        <v>6769</v>
      </c>
      <c r="G1636" t="str">
        <f>_xlfn.IFNA(VLOOKUP(F1636,songs!$B$1:$C$1539, 2, FALSE),"")</f>
        <v>Playing In The Band</v>
      </c>
      <c r="H1636" t="s">
        <v>419</v>
      </c>
    </row>
    <row r="1637" spans="1:8" x14ac:dyDescent="0.25">
      <c r="A1637">
        <v>1636</v>
      </c>
      <c r="B1637" t="s">
        <v>2023</v>
      </c>
      <c r="C1637" t="s">
        <v>567</v>
      </c>
      <c r="D1637" t="str">
        <f t="shared" si="54"/>
        <v/>
      </c>
      <c r="E1637" t="str">
        <f t="shared" si="55"/>
        <v>the wheel</v>
      </c>
      <c r="F1637" t="s">
        <v>7343</v>
      </c>
      <c r="G1637" t="str">
        <f>_xlfn.IFNA(VLOOKUP(F1637,songs!$B$1:$C$1539, 2, FALSE),"")</f>
        <v>The Wheel</v>
      </c>
      <c r="H1637" t="s">
        <v>567</v>
      </c>
    </row>
    <row r="1638" spans="1:8" x14ac:dyDescent="0.25">
      <c r="A1638">
        <v>1637</v>
      </c>
      <c r="B1638" t="s">
        <v>2024</v>
      </c>
      <c r="C1638" t="s">
        <v>419</v>
      </c>
      <c r="D1638" t="str">
        <f t="shared" si="54"/>
        <v/>
      </c>
      <c r="E1638" t="str">
        <f t="shared" si="55"/>
        <v>playing in the band</v>
      </c>
      <c r="F1638" t="s">
        <v>6769</v>
      </c>
      <c r="G1638" t="str">
        <f>_xlfn.IFNA(VLOOKUP(F1638,songs!$B$1:$C$1539, 2, FALSE),"")</f>
        <v>Playing In The Band</v>
      </c>
      <c r="H1638" t="s">
        <v>419</v>
      </c>
    </row>
    <row r="1639" spans="1:8" x14ac:dyDescent="0.25">
      <c r="A1639">
        <v>1638</v>
      </c>
      <c r="B1639" t="s">
        <v>2025</v>
      </c>
      <c r="C1639" t="s">
        <v>266</v>
      </c>
      <c r="D1639" t="str">
        <f t="shared" si="54"/>
        <v/>
      </c>
      <c r="E1639" t="str">
        <f t="shared" si="55"/>
        <v>samson and delilah</v>
      </c>
      <c r="F1639" t="s">
        <v>6925</v>
      </c>
      <c r="G1639" t="str">
        <f>_xlfn.IFNA(VLOOKUP(F1639,songs!$B$1:$C$1539, 2, FALSE),"")</f>
        <v>Samson And Delilah</v>
      </c>
      <c r="H1639" t="s">
        <v>266</v>
      </c>
    </row>
    <row r="1640" spans="1:8" x14ac:dyDescent="0.25">
      <c r="A1640">
        <v>1639</v>
      </c>
      <c r="B1640" t="s">
        <v>2026</v>
      </c>
      <c r="C1640" t="s">
        <v>164</v>
      </c>
      <c r="D1640" t="str">
        <f t="shared" si="54"/>
        <v/>
      </c>
      <c r="E1640" t="str">
        <f t="shared" si="55"/>
        <v>tennessee jed</v>
      </c>
      <c r="F1640" t="s">
        <v>7234</v>
      </c>
      <c r="G1640" t="str">
        <f>_xlfn.IFNA(VLOOKUP(F1640,songs!$B$1:$C$1539, 2, FALSE),"")</f>
        <v>Tennessee Jed</v>
      </c>
      <c r="H1640" t="s">
        <v>164</v>
      </c>
    </row>
    <row r="1641" spans="1:8" x14ac:dyDescent="0.25">
      <c r="A1641">
        <v>1640</v>
      </c>
      <c r="B1641" t="s">
        <v>2027</v>
      </c>
      <c r="C1641" t="s">
        <v>49</v>
      </c>
      <c r="D1641" t="str">
        <f t="shared" si="54"/>
        <v/>
      </c>
      <c r="E1641" t="str">
        <f t="shared" si="55"/>
        <v>the music never stopped</v>
      </c>
      <c r="F1641" t="s">
        <v>7316</v>
      </c>
      <c r="G1641" t="str">
        <f>_xlfn.IFNA(VLOOKUP(F1641,songs!$B$1:$C$1539, 2, FALSE),"")</f>
        <v>The Music Never Stopped</v>
      </c>
      <c r="H1641" t="s">
        <v>49</v>
      </c>
    </row>
    <row r="1642" spans="1:8" x14ac:dyDescent="0.25">
      <c r="A1642">
        <v>1641</v>
      </c>
      <c r="B1642" t="s">
        <v>2028</v>
      </c>
      <c r="C1642" t="s">
        <v>1382</v>
      </c>
      <c r="D1642" t="str">
        <f t="shared" si="54"/>
        <v/>
      </c>
      <c r="E1642" t="str">
        <f t="shared" si="55"/>
        <v>help on the way</v>
      </c>
      <c r="F1642" t="s">
        <v>5895</v>
      </c>
      <c r="G1642" t="str">
        <f>_xlfn.IFNA(VLOOKUP(F1642,songs!$B$1:$C$1539, 2, FALSE),"")</f>
        <v>Help On The Way</v>
      </c>
      <c r="H1642" t="s">
        <v>1382</v>
      </c>
    </row>
    <row r="1643" spans="1:8" x14ac:dyDescent="0.25">
      <c r="A1643">
        <v>1642</v>
      </c>
      <c r="B1643" t="s">
        <v>2029</v>
      </c>
      <c r="C1643" t="s">
        <v>61</v>
      </c>
      <c r="D1643" t="str">
        <f t="shared" si="54"/>
        <v/>
      </c>
      <c r="E1643" t="str">
        <f t="shared" si="55"/>
        <v>slipknot!</v>
      </c>
      <c r="F1643" t="s">
        <v>7035</v>
      </c>
      <c r="G1643" t="str">
        <f>_xlfn.IFNA(VLOOKUP(F1643,songs!$B$1:$C$1539, 2, FALSE),"")</f>
        <v>Slipknot!</v>
      </c>
      <c r="H1643" t="s">
        <v>61</v>
      </c>
    </row>
    <row r="1644" spans="1:8" x14ac:dyDescent="0.25">
      <c r="A1644">
        <v>1643</v>
      </c>
      <c r="B1644" t="s">
        <v>2030</v>
      </c>
      <c r="C1644" t="s">
        <v>63</v>
      </c>
      <c r="D1644" t="str">
        <f t="shared" si="54"/>
        <v/>
      </c>
      <c r="E1644" t="str">
        <f t="shared" si="55"/>
        <v>franklin's tower</v>
      </c>
      <c r="F1644" t="s">
        <v>5712</v>
      </c>
      <c r="G1644" t="str">
        <f>_xlfn.IFNA(VLOOKUP(F1644,songs!$B$1:$C$1539, 2, FALSE),"")</f>
        <v>Franklin's Tower</v>
      </c>
      <c r="H1644" t="s">
        <v>63</v>
      </c>
    </row>
    <row r="1645" spans="1:8" x14ac:dyDescent="0.25">
      <c r="A1645">
        <v>1673</v>
      </c>
      <c r="B1645" t="s">
        <v>2064</v>
      </c>
      <c r="C1645" t="s">
        <v>2065</v>
      </c>
      <c r="D1645" t="str">
        <f t="shared" si="54"/>
        <v/>
      </c>
      <c r="E1645" t="str">
        <f t="shared" si="55"/>
        <v>in the midnight hour</v>
      </c>
      <c r="F1645" t="s">
        <v>6508</v>
      </c>
      <c r="G1645" t="str">
        <f>_xlfn.IFNA(VLOOKUP(F1645,songs!$B$1:$C$1539, 2, FALSE),"")</f>
        <v>Midnight Hour</v>
      </c>
      <c r="H1645" t="s">
        <v>7867</v>
      </c>
    </row>
    <row r="1646" spans="1:8" x14ac:dyDescent="0.25">
      <c r="A1646">
        <v>1645</v>
      </c>
      <c r="B1646" t="s">
        <v>2033</v>
      </c>
      <c r="C1646" t="s">
        <v>471</v>
      </c>
      <c r="D1646" t="str">
        <f t="shared" si="54"/>
        <v/>
      </c>
      <c r="E1646" t="str">
        <f t="shared" si="55"/>
        <v>eyes of the world</v>
      </c>
      <c r="F1646" t="s">
        <v>5633</v>
      </c>
      <c r="G1646" t="str">
        <f>_xlfn.IFNA(VLOOKUP(F1646,songs!$B$1:$C$1539, 2, FALSE),"")</f>
        <v>Eyes Of The World</v>
      </c>
      <c r="H1646" t="s">
        <v>471</v>
      </c>
    </row>
    <row r="1647" spans="1:8" x14ac:dyDescent="0.25">
      <c r="A1647">
        <v>1675</v>
      </c>
      <c r="B1647" t="s">
        <v>2067</v>
      </c>
      <c r="C1647" t="s">
        <v>32</v>
      </c>
      <c r="D1647" t="str">
        <f t="shared" si="54"/>
        <v/>
      </c>
      <c r="E1647" t="str">
        <f t="shared" si="55"/>
        <v>st. stephen</v>
      </c>
      <c r="F1647" t="s">
        <v>6910</v>
      </c>
      <c r="G1647" t="str">
        <f>_xlfn.IFNA(VLOOKUP(F1647,songs!$B$1:$C$1539, 2, FALSE),"")</f>
        <v>Saint Stephen</v>
      </c>
      <c r="H1647" t="s">
        <v>7867</v>
      </c>
    </row>
    <row r="1648" spans="1:8" x14ac:dyDescent="0.25">
      <c r="A1648">
        <v>1678</v>
      </c>
      <c r="B1648" t="s">
        <v>2070</v>
      </c>
      <c r="C1648" t="s">
        <v>244</v>
      </c>
      <c r="D1648" t="str">
        <f t="shared" si="54"/>
        <v/>
      </c>
      <c r="E1648" t="str">
        <f t="shared" si="55"/>
        <v>cold rain &amp; snow</v>
      </c>
      <c r="F1648" t="s">
        <v>5347</v>
      </c>
      <c r="G1648" t="str">
        <f>_xlfn.IFNA(VLOOKUP(F1648,songs!$B$1:$C$1539, 2, FALSE),"")</f>
        <v>Cold Rain And Snow</v>
      </c>
      <c r="H1648" t="s">
        <v>7867</v>
      </c>
    </row>
    <row r="1649" spans="1:8" x14ac:dyDescent="0.25">
      <c r="A1649">
        <v>1648</v>
      </c>
      <c r="B1649" t="s">
        <v>2036</v>
      </c>
      <c r="C1649" t="s">
        <v>183</v>
      </c>
      <c r="D1649" t="str">
        <f t="shared" si="54"/>
        <v/>
      </c>
      <c r="E1649" t="str">
        <f t="shared" si="55"/>
        <v>u.s. blues</v>
      </c>
      <c r="F1649" t="s">
        <v>7464</v>
      </c>
      <c r="G1649" t="str">
        <f>_xlfn.IFNA(VLOOKUP(F1649,songs!$B$1:$C$1539, 2, FALSE),"")</f>
        <v>U.S. Blues</v>
      </c>
      <c r="H1649" t="s">
        <v>183</v>
      </c>
    </row>
    <row r="1650" spans="1:8" x14ac:dyDescent="0.25">
      <c r="A1650">
        <v>1649</v>
      </c>
      <c r="B1650" t="s">
        <v>2037</v>
      </c>
      <c r="C1650" t="s">
        <v>212</v>
      </c>
      <c r="D1650" t="str">
        <f t="shared" si="54"/>
        <v/>
      </c>
      <c r="E1650" t="str">
        <f t="shared" si="55"/>
        <v>morning dew</v>
      </c>
      <c r="F1650" t="s">
        <v>6555</v>
      </c>
      <c r="G1650" t="str">
        <f>_xlfn.IFNA(VLOOKUP(F1650,songs!$B$1:$C$1539, 2, FALSE),"")</f>
        <v>Morning Dew</v>
      </c>
      <c r="H1650" t="s">
        <v>212</v>
      </c>
    </row>
    <row r="1651" spans="1:8" x14ac:dyDescent="0.25">
      <c r="A1651">
        <v>1650</v>
      </c>
      <c r="B1651" t="s">
        <v>2038</v>
      </c>
      <c r="C1651" t="s">
        <v>30</v>
      </c>
      <c r="D1651" t="str">
        <f t="shared" si="54"/>
        <v/>
      </c>
      <c r="E1651" t="str">
        <f t="shared" si="55"/>
        <v>sugar magnolia</v>
      </c>
      <c r="F1651" t="s">
        <v>7150</v>
      </c>
      <c r="G1651" t="str">
        <f>_xlfn.IFNA(VLOOKUP(F1651,songs!$B$1:$C$1539, 2, FALSE),"")</f>
        <v>Sugar Magnolia</v>
      </c>
      <c r="H1651" t="s">
        <v>30</v>
      </c>
    </row>
    <row r="1652" spans="1:8" x14ac:dyDescent="0.25">
      <c r="A1652">
        <v>1651</v>
      </c>
      <c r="B1652" t="s">
        <v>2039</v>
      </c>
      <c r="C1652" t="s">
        <v>148</v>
      </c>
      <c r="D1652" t="str">
        <f t="shared" si="54"/>
        <v/>
      </c>
      <c r="E1652" t="str">
        <f t="shared" si="55"/>
        <v>johnny b. goode</v>
      </c>
      <c r="F1652" t="s">
        <v>6192</v>
      </c>
      <c r="G1652" t="str">
        <f>_xlfn.IFNA(VLOOKUP(F1652,songs!$B$1:$C$1539, 2, FALSE),"")</f>
        <v>Johnny B. Goode</v>
      </c>
      <c r="H1652" t="s">
        <v>148</v>
      </c>
    </row>
    <row r="1653" spans="1:8" x14ac:dyDescent="0.25">
      <c r="A1653">
        <v>1652</v>
      </c>
      <c r="B1653" t="s">
        <v>2040</v>
      </c>
      <c r="C1653" t="s">
        <v>105</v>
      </c>
      <c r="D1653" t="str">
        <f t="shared" si="54"/>
        <v/>
      </c>
      <c r="E1653" t="str">
        <f t="shared" si="55"/>
        <v>mason's children</v>
      </c>
      <c r="F1653" t="s">
        <v>6469</v>
      </c>
      <c r="G1653" t="str">
        <f>_xlfn.IFNA(VLOOKUP(F1653,songs!$B$1:$C$1539, 2, FALSE),"")</f>
        <v>Mason's Children</v>
      </c>
      <c r="H1653" t="s">
        <v>105</v>
      </c>
    </row>
    <row r="1654" spans="1:8" x14ac:dyDescent="0.25">
      <c r="A1654">
        <v>1653</v>
      </c>
      <c r="B1654" t="s">
        <v>2041</v>
      </c>
      <c r="C1654" t="s">
        <v>81</v>
      </c>
      <c r="D1654" t="str">
        <f t="shared" ref="D1654:D1717" si="56">IF(RIGHT(TRIM(C1654),2)="-&gt;","&gt;",IF(RIGHT(TRIM(C1654),1)="&gt;","&gt;",""))</f>
        <v/>
      </c>
      <c r="E1654" t="str">
        <f t="shared" si="55"/>
        <v>casey jones</v>
      </c>
      <c r="F1654" t="s">
        <v>5290</v>
      </c>
      <c r="G1654" t="str">
        <f>_xlfn.IFNA(VLOOKUP(F1654,songs!$B$1:$C$1539, 2, FALSE),"")</f>
        <v>Casey Jones</v>
      </c>
      <c r="H1654" t="s">
        <v>81</v>
      </c>
    </row>
    <row r="1655" spans="1:8" x14ac:dyDescent="0.25">
      <c r="A1655">
        <v>1654</v>
      </c>
      <c r="B1655" t="s">
        <v>2042</v>
      </c>
      <c r="C1655" t="s">
        <v>221</v>
      </c>
      <c r="D1655" t="str">
        <f t="shared" si="56"/>
        <v/>
      </c>
      <c r="E1655" t="str">
        <f t="shared" si="55"/>
        <v>black peter</v>
      </c>
      <c r="F1655" t="s">
        <v>5190</v>
      </c>
      <c r="G1655" t="str">
        <f>_xlfn.IFNA(VLOOKUP(F1655,songs!$B$1:$C$1539, 2, FALSE),"")</f>
        <v>Black Peter</v>
      </c>
      <c r="H1655" t="s">
        <v>221</v>
      </c>
    </row>
    <row r="1656" spans="1:8" x14ac:dyDescent="0.25">
      <c r="A1656">
        <v>1655</v>
      </c>
      <c r="B1656" t="s">
        <v>2043</v>
      </c>
      <c r="C1656" t="s">
        <v>158</v>
      </c>
      <c r="D1656" t="str">
        <f t="shared" si="56"/>
        <v/>
      </c>
      <c r="E1656" t="str">
        <f t="shared" si="55"/>
        <v>mama tried</v>
      </c>
      <c r="F1656" t="s">
        <v>6454</v>
      </c>
      <c r="G1656" t="str">
        <f>_xlfn.IFNA(VLOOKUP(F1656,songs!$B$1:$C$1539, 2, FALSE),"")</f>
        <v>Mama Tried</v>
      </c>
      <c r="H1656" t="s">
        <v>158</v>
      </c>
    </row>
    <row r="1657" spans="1:8" x14ac:dyDescent="0.25">
      <c r="A1657">
        <v>1656</v>
      </c>
      <c r="B1657" t="s">
        <v>2044</v>
      </c>
      <c r="C1657" t="s">
        <v>1199</v>
      </c>
      <c r="D1657" t="str">
        <f t="shared" si="56"/>
        <v/>
      </c>
      <c r="E1657" t="str">
        <f t="shared" si="55"/>
        <v>hard to handle</v>
      </c>
      <c r="F1657" t="s">
        <v>5861</v>
      </c>
      <c r="G1657" t="str">
        <f>_xlfn.IFNA(VLOOKUP(F1657,songs!$B$1:$C$1539, 2, FALSE),"")</f>
        <v>Hard To Handle</v>
      </c>
      <c r="H1657" t="s">
        <v>1199</v>
      </c>
    </row>
    <row r="1658" spans="1:8" x14ac:dyDescent="0.25">
      <c r="A1658">
        <v>1657</v>
      </c>
      <c r="B1658" t="s">
        <v>2045</v>
      </c>
      <c r="C1658" t="s">
        <v>225</v>
      </c>
      <c r="D1658" t="str">
        <f t="shared" si="56"/>
        <v/>
      </c>
      <c r="E1658" t="str">
        <f t="shared" si="55"/>
        <v>cumberland blues</v>
      </c>
      <c r="F1658" t="s">
        <v>5411</v>
      </c>
      <c r="G1658" t="str">
        <f>_xlfn.IFNA(VLOOKUP(F1658,songs!$B$1:$C$1539, 2, FALSE),"")</f>
        <v>Cumberland Blues</v>
      </c>
      <c r="H1658" t="s">
        <v>225</v>
      </c>
    </row>
    <row r="1659" spans="1:8" x14ac:dyDescent="0.25">
      <c r="A1659">
        <v>1685</v>
      </c>
      <c r="B1659" t="s">
        <v>2077</v>
      </c>
      <c r="C1659" t="s">
        <v>2047</v>
      </c>
      <c r="D1659" t="str">
        <f t="shared" si="56"/>
        <v/>
      </c>
      <c r="E1659" t="str">
        <f t="shared" si="55"/>
        <v>that's it for the other one</v>
      </c>
      <c r="F1659" t="s">
        <v>7325</v>
      </c>
      <c r="G1659" t="str">
        <f>_xlfn.IFNA(VLOOKUP(F1659,songs!$B$1:$C$1539, 2, FALSE),"")</f>
        <v>The Other One</v>
      </c>
      <c r="H1659" t="s">
        <v>7867</v>
      </c>
    </row>
    <row r="1660" spans="1:8" x14ac:dyDescent="0.25">
      <c r="A1660">
        <v>1659</v>
      </c>
      <c r="B1660" t="s">
        <v>2048</v>
      </c>
      <c r="C1660" t="s">
        <v>239</v>
      </c>
      <c r="D1660" t="str">
        <f t="shared" si="56"/>
        <v/>
      </c>
      <c r="E1660" t="str">
        <f t="shared" si="55"/>
        <v>cosmic charlie</v>
      </c>
      <c r="F1660" t="s">
        <v>5373</v>
      </c>
      <c r="G1660" t="str">
        <f>_xlfn.IFNA(VLOOKUP(F1660,songs!$B$1:$C$1539, 2, FALSE),"")</f>
        <v>Cosmic Charlie</v>
      </c>
      <c r="H1660" t="s">
        <v>239</v>
      </c>
    </row>
    <row r="1661" spans="1:8" x14ac:dyDescent="0.25">
      <c r="A1661">
        <v>1660</v>
      </c>
      <c r="B1661" t="s">
        <v>2049</v>
      </c>
      <c r="C1661" t="s">
        <v>133</v>
      </c>
      <c r="D1661" t="str">
        <f t="shared" si="56"/>
        <v/>
      </c>
      <c r="E1661" t="str">
        <f t="shared" si="55"/>
        <v>uncle john's band</v>
      </c>
      <c r="F1661" t="s">
        <v>7466</v>
      </c>
      <c r="G1661" t="str">
        <f>_xlfn.IFNA(VLOOKUP(F1661,songs!$B$1:$C$1539, 2, FALSE),"")</f>
        <v>Uncle John's Band</v>
      </c>
      <c r="H1661" t="s">
        <v>133</v>
      </c>
    </row>
    <row r="1662" spans="1:8" x14ac:dyDescent="0.25">
      <c r="A1662">
        <v>1661</v>
      </c>
      <c r="B1662" t="s">
        <v>2050</v>
      </c>
      <c r="C1662" t="s">
        <v>88</v>
      </c>
      <c r="D1662" t="str">
        <f t="shared" si="56"/>
        <v/>
      </c>
      <c r="E1662" t="str">
        <f t="shared" si="55"/>
        <v>high time</v>
      </c>
      <c r="F1662" t="s">
        <v>5920</v>
      </c>
      <c r="G1662" t="str">
        <f>_xlfn.IFNA(VLOOKUP(F1662,songs!$B$1:$C$1539, 2, FALSE),"")</f>
        <v>High Time</v>
      </c>
      <c r="H1662" t="s">
        <v>88</v>
      </c>
    </row>
    <row r="1663" spans="1:8" x14ac:dyDescent="0.25">
      <c r="A1663">
        <v>1662</v>
      </c>
      <c r="B1663" t="s">
        <v>2051</v>
      </c>
      <c r="C1663" t="s">
        <v>90</v>
      </c>
      <c r="D1663" t="str">
        <f t="shared" si="56"/>
        <v/>
      </c>
      <c r="E1663" t="str">
        <f t="shared" si="55"/>
        <v>dire wolf</v>
      </c>
      <c r="F1663" t="s">
        <v>5497</v>
      </c>
      <c r="G1663" t="str">
        <f>_xlfn.IFNA(VLOOKUP(F1663,songs!$B$1:$C$1539, 2, FALSE),"")</f>
        <v>Dire Wolf</v>
      </c>
      <c r="H1663" t="s">
        <v>90</v>
      </c>
    </row>
    <row r="1664" spans="1:8" x14ac:dyDescent="0.25">
      <c r="A1664">
        <v>1663</v>
      </c>
      <c r="B1664" t="s">
        <v>2052</v>
      </c>
      <c r="C1664" t="s">
        <v>483</v>
      </c>
      <c r="D1664" t="str">
        <f t="shared" si="56"/>
        <v/>
      </c>
      <c r="E1664" t="str">
        <f t="shared" si="55"/>
        <v>easy wind</v>
      </c>
      <c r="F1664" t="s">
        <v>5587</v>
      </c>
      <c r="G1664" t="str">
        <f>_xlfn.IFNA(VLOOKUP(F1664,songs!$B$1:$C$1539, 2, FALSE),"")</f>
        <v>Easy Wind</v>
      </c>
      <c r="H1664" t="s">
        <v>483</v>
      </c>
    </row>
    <row r="1665" spans="1:8" x14ac:dyDescent="0.25">
      <c r="A1665">
        <v>1664</v>
      </c>
      <c r="B1665" t="s">
        <v>2053</v>
      </c>
      <c r="C1665" t="s">
        <v>84</v>
      </c>
      <c r="D1665" t="str">
        <f t="shared" si="56"/>
        <v/>
      </c>
      <c r="E1665" t="str">
        <f t="shared" si="55"/>
        <v>china cat sunflower</v>
      </c>
      <c r="F1665" t="s">
        <v>5319</v>
      </c>
      <c r="G1665" t="str">
        <f>_xlfn.IFNA(VLOOKUP(F1665,songs!$B$1:$C$1539, 2, FALSE),"")</f>
        <v>China Cat Sunflower</v>
      </c>
      <c r="H1665" t="s">
        <v>84</v>
      </c>
    </row>
    <row r="1666" spans="1:8" x14ac:dyDescent="0.25">
      <c r="A1666">
        <v>1665</v>
      </c>
      <c r="B1666" t="s">
        <v>2054</v>
      </c>
      <c r="C1666" t="s">
        <v>86</v>
      </c>
      <c r="D1666" t="str">
        <f t="shared" si="56"/>
        <v/>
      </c>
      <c r="E1666" t="str">
        <f t="shared" si="55"/>
        <v>i know you rider</v>
      </c>
      <c r="F1666" t="s">
        <v>6020</v>
      </c>
      <c r="G1666" t="str">
        <f>_xlfn.IFNA(VLOOKUP(F1666,songs!$B$1:$C$1539, 2, FALSE),"")</f>
        <v>I Know You Rider</v>
      </c>
      <c r="H1666" t="s">
        <v>86</v>
      </c>
    </row>
    <row r="1667" spans="1:8" x14ac:dyDescent="0.25">
      <c r="A1667">
        <v>1666</v>
      </c>
      <c r="B1667" t="s">
        <v>2055</v>
      </c>
      <c r="C1667" t="s">
        <v>242</v>
      </c>
      <c r="D1667" t="str">
        <f t="shared" si="56"/>
        <v/>
      </c>
      <c r="E1667" t="str">
        <f t="shared" si="55"/>
        <v>good lovin'</v>
      </c>
      <c r="F1667" t="s">
        <v>5810</v>
      </c>
      <c r="G1667" t="str">
        <f>_xlfn.IFNA(VLOOKUP(F1667,songs!$B$1:$C$1539, 2, FALSE),"")</f>
        <v>Good Lovin'</v>
      </c>
      <c r="H1667" t="s">
        <v>242</v>
      </c>
    </row>
    <row r="1668" spans="1:8" x14ac:dyDescent="0.25">
      <c r="A1668">
        <v>1690</v>
      </c>
      <c r="B1668" t="s">
        <v>2082</v>
      </c>
      <c r="C1668" t="s">
        <v>615</v>
      </c>
      <c r="D1668" t="str">
        <f t="shared" si="56"/>
        <v/>
      </c>
      <c r="E1668" t="str">
        <f t="shared" ref="E1668:E1731" si="57">LOWER(TRIM(SUBSTITUTE(IF(RIGHT(TRIM(C1668),2)="-&gt;",LEFT(TRIM(C1668),LEN(TRIM(C1668))-2),IF(RIGHT(TRIM(C1668),1)="&gt;",LEFT(TRIM(C1668),LEN(TRIM(C1668))-1),C1668)),"//","")))</f>
        <v>brown-eyed women</v>
      </c>
      <c r="F1668" t="s">
        <v>5255</v>
      </c>
      <c r="G1668" t="str">
        <f>_xlfn.IFNA(VLOOKUP(F1668,songs!$B$1:$C$1539, 2, FALSE),"")</f>
        <v>Brown Eyed Women</v>
      </c>
      <c r="H1668" t="s">
        <v>7867</v>
      </c>
    </row>
    <row r="1669" spans="1:8" x14ac:dyDescent="0.25">
      <c r="A1669">
        <v>1716</v>
      </c>
      <c r="B1669" t="s">
        <v>2108</v>
      </c>
      <c r="C1669" t="s">
        <v>2109</v>
      </c>
      <c r="D1669" t="str">
        <f t="shared" si="56"/>
        <v/>
      </c>
      <c r="E1669" t="str">
        <f t="shared" si="57"/>
        <v>dont ease me in</v>
      </c>
      <c r="F1669" t="s">
        <v>5513</v>
      </c>
      <c r="G1669" t="str">
        <f>_xlfn.IFNA(VLOOKUP(F1669,songs!$B$1:$C$1539, 2, FALSE),"")</f>
        <v>Don't Ease Me In</v>
      </c>
      <c r="H1669" t="s">
        <v>7867</v>
      </c>
    </row>
    <row r="1670" spans="1:8" x14ac:dyDescent="0.25">
      <c r="A1670">
        <v>1669</v>
      </c>
      <c r="B1670" t="s">
        <v>2059</v>
      </c>
      <c r="C1670" t="s">
        <v>212</v>
      </c>
      <c r="D1670" t="str">
        <f t="shared" si="56"/>
        <v/>
      </c>
      <c r="E1670" t="str">
        <f t="shared" si="57"/>
        <v>morning dew</v>
      </c>
      <c r="F1670" t="s">
        <v>6555</v>
      </c>
      <c r="G1670" t="str">
        <f>_xlfn.IFNA(VLOOKUP(F1670,songs!$B$1:$C$1539, 2, FALSE),"")</f>
        <v>Morning Dew</v>
      </c>
      <c r="H1670" t="s">
        <v>212</v>
      </c>
    </row>
    <row r="1671" spans="1:8" x14ac:dyDescent="0.25">
      <c r="A1671">
        <v>1670</v>
      </c>
      <c r="B1671" t="s">
        <v>2060</v>
      </c>
      <c r="C1671" t="s">
        <v>1196</v>
      </c>
      <c r="D1671" t="str">
        <f t="shared" si="56"/>
        <v/>
      </c>
      <c r="E1671" t="str">
        <f t="shared" si="57"/>
        <v>big boss man</v>
      </c>
      <c r="F1671" t="s">
        <v>5163</v>
      </c>
      <c r="G1671" t="str">
        <f>_xlfn.IFNA(VLOOKUP(F1671,songs!$B$1:$C$1539, 2, FALSE),"")</f>
        <v>Big Boss Man</v>
      </c>
      <c r="H1671" t="s">
        <v>1196</v>
      </c>
    </row>
    <row r="1672" spans="1:8" x14ac:dyDescent="0.25">
      <c r="A1672">
        <v>1671</v>
      </c>
      <c r="B1672" t="s">
        <v>2061</v>
      </c>
      <c r="C1672" t="s">
        <v>2062</v>
      </c>
      <c r="D1672" t="str">
        <f t="shared" si="56"/>
        <v/>
      </c>
      <c r="E1672" t="str">
        <f t="shared" si="57"/>
        <v>dancin' in the streets</v>
      </c>
      <c r="F1672" t="s">
        <v>5418</v>
      </c>
      <c r="G1672" t="str">
        <f>_xlfn.IFNA(VLOOKUP(F1672,songs!$B$1:$C$1539, 2, FALSE),"")</f>
        <v>Dancin' In The Streets</v>
      </c>
      <c r="H1672" t="s">
        <v>2062</v>
      </c>
    </row>
    <row r="1673" spans="1:8" x14ac:dyDescent="0.25">
      <c r="A1673">
        <v>1739</v>
      </c>
      <c r="B1673" t="s">
        <v>2132</v>
      </c>
      <c r="C1673" t="s">
        <v>1925</v>
      </c>
      <c r="D1673" t="str">
        <f t="shared" si="56"/>
        <v/>
      </c>
      <c r="E1673" t="str">
        <f t="shared" si="57"/>
        <v>truckin</v>
      </c>
      <c r="F1673" t="s">
        <v>7436</v>
      </c>
      <c r="G1673" t="str">
        <f>_xlfn.IFNA(VLOOKUP(F1673,songs!$B$1:$C$1539, 2, FALSE),"")</f>
        <v>Truckin'</v>
      </c>
      <c r="H1673" t="s">
        <v>7867</v>
      </c>
    </row>
    <row r="1674" spans="1:8" x14ac:dyDescent="0.25">
      <c r="A1674">
        <v>1744</v>
      </c>
      <c r="B1674" t="s">
        <v>2137</v>
      </c>
      <c r="C1674" t="s">
        <v>2138</v>
      </c>
      <c r="D1674" t="str">
        <f t="shared" si="56"/>
        <v/>
      </c>
      <c r="E1674" t="str">
        <f t="shared" si="57"/>
        <v>johnny b goode</v>
      </c>
      <c r="F1674" t="s">
        <v>6192</v>
      </c>
      <c r="G1674" t="str">
        <f>_xlfn.IFNA(VLOOKUP(F1674,songs!$B$1:$C$1539, 2, FALSE),"")</f>
        <v>Johnny B. Goode</v>
      </c>
      <c r="H1674" t="s">
        <v>7867</v>
      </c>
    </row>
    <row r="1675" spans="1:8" x14ac:dyDescent="0.25">
      <c r="A1675">
        <v>1674</v>
      </c>
      <c r="B1675" t="s">
        <v>2066</v>
      </c>
      <c r="C1675" t="s">
        <v>92</v>
      </c>
      <c r="D1675" t="str">
        <f t="shared" si="56"/>
        <v/>
      </c>
      <c r="E1675" t="str">
        <f t="shared" si="57"/>
        <v>dark star</v>
      </c>
      <c r="F1675" t="s">
        <v>5428</v>
      </c>
      <c r="G1675" t="str">
        <f>_xlfn.IFNA(VLOOKUP(F1675,songs!$B$1:$C$1539, 2, FALSE),"")</f>
        <v>Dark Star</v>
      </c>
      <c r="H1675" t="s">
        <v>92</v>
      </c>
    </row>
    <row r="1676" spans="1:8" x14ac:dyDescent="0.25">
      <c r="A1676">
        <v>1752</v>
      </c>
      <c r="B1676" t="s">
        <v>2146</v>
      </c>
      <c r="C1676" t="s">
        <v>122</v>
      </c>
      <c r="D1676" t="str">
        <f t="shared" si="56"/>
        <v/>
      </c>
      <c r="E1676" t="str">
        <f t="shared" si="57"/>
        <v>new minglewood blues</v>
      </c>
      <c r="F1676" t="s">
        <v>7869</v>
      </c>
      <c r="G1676" t="str">
        <f>_xlfn.IFNA(VLOOKUP(F1676,songs!$B$1:$C$1539, 2, FALSE),"")</f>
        <v>Minglewood Blues</v>
      </c>
      <c r="H1676" t="s">
        <v>7867</v>
      </c>
    </row>
    <row r="1677" spans="1:8" x14ac:dyDescent="0.25">
      <c r="A1677">
        <v>1676</v>
      </c>
      <c r="B1677" t="s">
        <v>2068</v>
      </c>
      <c r="C1677" t="s">
        <v>498</v>
      </c>
      <c r="D1677" t="str">
        <f t="shared" si="56"/>
        <v/>
      </c>
      <c r="E1677" t="str">
        <f t="shared" si="57"/>
        <v>the eleven</v>
      </c>
      <c r="F1677" t="s">
        <v>7280</v>
      </c>
      <c r="G1677" t="str">
        <f>_xlfn.IFNA(VLOOKUP(F1677,songs!$B$1:$C$1539, 2, FALSE),"")</f>
        <v>The Eleven</v>
      </c>
      <c r="H1677" t="s">
        <v>498</v>
      </c>
    </row>
    <row r="1678" spans="1:8" x14ac:dyDescent="0.25">
      <c r="A1678">
        <v>1677</v>
      </c>
      <c r="B1678" t="s">
        <v>2069</v>
      </c>
      <c r="C1678" t="s">
        <v>507</v>
      </c>
      <c r="D1678" t="str">
        <f t="shared" si="56"/>
        <v/>
      </c>
      <c r="E1678" t="str">
        <f t="shared" si="57"/>
        <v>turn on your lovelight</v>
      </c>
      <c r="F1678" t="s">
        <v>7447</v>
      </c>
      <c r="G1678" t="str">
        <f>_xlfn.IFNA(VLOOKUP(F1678,songs!$B$1:$C$1539, 2, FALSE),"")</f>
        <v>Turn On Your Lovelight</v>
      </c>
      <c r="H1678" t="s">
        <v>507</v>
      </c>
    </row>
    <row r="1679" spans="1:8" x14ac:dyDescent="0.25">
      <c r="A1679">
        <v>1761</v>
      </c>
      <c r="B1679" t="s">
        <v>2155</v>
      </c>
      <c r="C1679" t="s">
        <v>32</v>
      </c>
      <c r="D1679" t="str">
        <f t="shared" si="56"/>
        <v/>
      </c>
      <c r="E1679" t="str">
        <f t="shared" si="57"/>
        <v>st. stephen</v>
      </c>
      <c r="F1679" t="s">
        <v>6910</v>
      </c>
      <c r="G1679" t="str">
        <f>_xlfn.IFNA(VLOOKUP(F1679,songs!$B$1:$C$1539, 2, FALSE),"")</f>
        <v>Saint Stephen</v>
      </c>
      <c r="H1679" t="s">
        <v>7867</v>
      </c>
    </row>
    <row r="1680" spans="1:8" x14ac:dyDescent="0.25">
      <c r="A1680">
        <v>1679</v>
      </c>
      <c r="B1680" t="s">
        <v>2071</v>
      </c>
      <c r="C1680" t="s">
        <v>98</v>
      </c>
      <c r="D1680" t="str">
        <f t="shared" si="56"/>
        <v/>
      </c>
      <c r="E1680" t="str">
        <f t="shared" si="57"/>
        <v>alligator</v>
      </c>
      <c r="F1680" t="s">
        <v>5072</v>
      </c>
      <c r="G1680" t="str">
        <f>_xlfn.IFNA(VLOOKUP(F1680,songs!$B$1:$C$1539, 2, FALSE),"")</f>
        <v>Alligator</v>
      </c>
      <c r="H1680" t="s">
        <v>98</v>
      </c>
    </row>
    <row r="1681" spans="1:8" x14ac:dyDescent="0.25">
      <c r="A1681">
        <v>1680</v>
      </c>
      <c r="B1681" t="s">
        <v>2072</v>
      </c>
      <c r="C1681" t="s">
        <v>100</v>
      </c>
      <c r="D1681" t="str">
        <f t="shared" si="56"/>
        <v/>
      </c>
      <c r="E1681" t="str">
        <f t="shared" si="57"/>
        <v>drums</v>
      </c>
      <c r="F1681" t="s">
        <v>5568</v>
      </c>
      <c r="G1681" t="str">
        <f>_xlfn.IFNA(VLOOKUP(F1681,songs!$B$1:$C$1539, 2, FALSE),"")</f>
        <v>Drums</v>
      </c>
      <c r="H1681" t="s">
        <v>100</v>
      </c>
    </row>
    <row r="1682" spans="1:8" x14ac:dyDescent="0.25">
      <c r="A1682">
        <v>1681</v>
      </c>
      <c r="B1682" t="s">
        <v>2073</v>
      </c>
      <c r="C1682" t="s">
        <v>98</v>
      </c>
      <c r="D1682" t="str">
        <f t="shared" si="56"/>
        <v/>
      </c>
      <c r="E1682" t="str">
        <f t="shared" si="57"/>
        <v>alligator</v>
      </c>
      <c r="F1682" t="s">
        <v>5072</v>
      </c>
      <c r="G1682" t="str">
        <f>_xlfn.IFNA(VLOOKUP(F1682,songs!$B$1:$C$1539, 2, FALSE),"")</f>
        <v>Alligator</v>
      </c>
      <c r="H1682" t="s">
        <v>98</v>
      </c>
    </row>
    <row r="1683" spans="1:8" x14ac:dyDescent="0.25">
      <c r="A1683">
        <v>1682</v>
      </c>
      <c r="B1683" t="s">
        <v>2074</v>
      </c>
      <c r="C1683" t="s">
        <v>109</v>
      </c>
      <c r="D1683" t="str">
        <f t="shared" si="56"/>
        <v/>
      </c>
      <c r="E1683" t="str">
        <f t="shared" si="57"/>
        <v>feedback</v>
      </c>
      <c r="F1683" t="s">
        <v>5657</v>
      </c>
      <c r="G1683" t="str">
        <f>_xlfn.IFNA(VLOOKUP(F1683,songs!$B$1:$C$1539, 2, FALSE),"")</f>
        <v>Feedback</v>
      </c>
      <c r="H1683" t="s">
        <v>109</v>
      </c>
    </row>
    <row r="1684" spans="1:8" x14ac:dyDescent="0.25">
      <c r="A1684">
        <v>1683</v>
      </c>
      <c r="B1684" t="s">
        <v>2075</v>
      </c>
      <c r="C1684" t="s">
        <v>81</v>
      </c>
      <c r="D1684" t="str">
        <f t="shared" si="56"/>
        <v/>
      </c>
      <c r="E1684" t="str">
        <f t="shared" si="57"/>
        <v>casey jones</v>
      </c>
      <c r="F1684" t="s">
        <v>5290</v>
      </c>
      <c r="G1684" t="str">
        <f>_xlfn.IFNA(VLOOKUP(F1684,songs!$B$1:$C$1539, 2, FALSE),"")</f>
        <v>Casey Jones</v>
      </c>
      <c r="H1684" t="s">
        <v>81</v>
      </c>
    </row>
    <row r="1685" spans="1:8" x14ac:dyDescent="0.25">
      <c r="A1685">
        <v>1684</v>
      </c>
      <c r="B1685" t="s">
        <v>2076</v>
      </c>
      <c r="C1685" t="s">
        <v>105</v>
      </c>
      <c r="D1685" t="str">
        <f t="shared" si="56"/>
        <v/>
      </c>
      <c r="E1685" t="str">
        <f t="shared" si="57"/>
        <v>mason's children</v>
      </c>
      <c r="F1685" t="s">
        <v>6469</v>
      </c>
      <c r="G1685" t="str">
        <f>_xlfn.IFNA(VLOOKUP(F1685,songs!$B$1:$C$1539, 2, FALSE),"")</f>
        <v>Mason's Children</v>
      </c>
      <c r="H1685" t="s">
        <v>105</v>
      </c>
    </row>
    <row r="1686" spans="1:8" x14ac:dyDescent="0.25">
      <c r="A1686">
        <v>1773</v>
      </c>
      <c r="B1686" t="s">
        <v>2167</v>
      </c>
      <c r="C1686" t="s">
        <v>2168</v>
      </c>
      <c r="D1686" t="str">
        <f t="shared" si="56"/>
        <v/>
      </c>
      <c r="E1686" t="str">
        <f t="shared" si="57"/>
        <v>blackthroated wind</v>
      </c>
      <c r="F1686" t="s">
        <v>5193</v>
      </c>
      <c r="G1686" t="str">
        <f>_xlfn.IFNA(VLOOKUP(F1686,songs!$B$1:$C$1539, 2, FALSE),"")</f>
        <v>Black Throated Wind</v>
      </c>
      <c r="H1686" t="s">
        <v>7867</v>
      </c>
    </row>
    <row r="1687" spans="1:8" x14ac:dyDescent="0.25">
      <c r="A1687">
        <v>1686</v>
      </c>
      <c r="B1687" t="s">
        <v>2078</v>
      </c>
      <c r="C1687" t="s">
        <v>239</v>
      </c>
      <c r="D1687" t="str">
        <f t="shared" si="56"/>
        <v/>
      </c>
      <c r="E1687" t="str">
        <f t="shared" si="57"/>
        <v>cosmic charlie</v>
      </c>
      <c r="F1687" t="s">
        <v>5373</v>
      </c>
      <c r="G1687" t="str">
        <f>_xlfn.IFNA(VLOOKUP(F1687,songs!$B$1:$C$1539, 2, FALSE),"")</f>
        <v>Cosmic Charlie</v>
      </c>
      <c r="H1687" t="s">
        <v>239</v>
      </c>
    </row>
    <row r="1688" spans="1:8" x14ac:dyDescent="0.25">
      <c r="A1688">
        <v>1687</v>
      </c>
      <c r="B1688" t="s">
        <v>2079</v>
      </c>
      <c r="C1688" t="s">
        <v>133</v>
      </c>
      <c r="D1688" t="str">
        <f t="shared" si="56"/>
        <v/>
      </c>
      <c r="E1688" t="str">
        <f t="shared" si="57"/>
        <v>uncle john's band</v>
      </c>
      <c r="F1688" t="s">
        <v>7466</v>
      </c>
      <c r="G1688" t="str">
        <f>_xlfn.IFNA(VLOOKUP(F1688,songs!$B$1:$C$1539, 2, FALSE),"")</f>
        <v>Uncle John's Band</v>
      </c>
      <c r="H1688" t="s">
        <v>133</v>
      </c>
    </row>
    <row r="1689" spans="1:8" x14ac:dyDescent="0.25">
      <c r="A1689">
        <v>1688</v>
      </c>
      <c r="B1689" t="s">
        <v>2080</v>
      </c>
      <c r="C1689" t="s">
        <v>128</v>
      </c>
      <c r="D1689" t="str">
        <f t="shared" si="56"/>
        <v/>
      </c>
      <c r="E1689" t="str">
        <f t="shared" si="57"/>
        <v>alabama getaway</v>
      </c>
      <c r="F1689" t="s">
        <v>5047</v>
      </c>
      <c r="G1689" t="str">
        <f>_xlfn.IFNA(VLOOKUP(F1689,songs!$B$1:$C$1539, 2, FALSE),"")</f>
        <v>Alabama Getaway</v>
      </c>
      <c r="H1689" t="s">
        <v>128</v>
      </c>
    </row>
    <row r="1690" spans="1:8" x14ac:dyDescent="0.25">
      <c r="A1690">
        <v>1689</v>
      </c>
      <c r="B1690" t="s">
        <v>2081</v>
      </c>
      <c r="C1690" t="s">
        <v>130</v>
      </c>
      <c r="D1690" t="str">
        <f t="shared" si="56"/>
        <v/>
      </c>
      <c r="E1690" t="str">
        <f t="shared" si="57"/>
        <v>promised land</v>
      </c>
      <c r="F1690" t="s">
        <v>6797</v>
      </c>
      <c r="G1690" t="str">
        <f>_xlfn.IFNA(VLOOKUP(F1690,songs!$B$1:$C$1539, 2, FALSE),"")</f>
        <v>Promised Land</v>
      </c>
      <c r="H1690" t="s">
        <v>130</v>
      </c>
    </row>
    <row r="1691" spans="1:8" x14ac:dyDescent="0.25">
      <c r="A1691">
        <v>1774</v>
      </c>
      <c r="B1691" t="s">
        <v>2169</v>
      </c>
      <c r="C1691" t="s">
        <v>2170</v>
      </c>
      <c r="D1691" t="str">
        <f t="shared" si="56"/>
        <v/>
      </c>
      <c r="E1691" t="str">
        <f t="shared" si="57"/>
        <v>mississippi halfstep uptown toodeloo</v>
      </c>
      <c r="F1691" t="s">
        <v>6531</v>
      </c>
      <c r="G1691" t="str">
        <f>_xlfn.IFNA(VLOOKUP(F1691,songs!$B$1:$C$1539, 2, FALSE),"")</f>
        <v>Mississippi Half-Step Uptown Toodeloo</v>
      </c>
      <c r="H1691" t="s">
        <v>7867</v>
      </c>
    </row>
    <row r="1692" spans="1:8" x14ac:dyDescent="0.25">
      <c r="A1692">
        <v>1691</v>
      </c>
      <c r="B1692" t="s">
        <v>2083</v>
      </c>
      <c r="C1692" t="s">
        <v>327</v>
      </c>
      <c r="D1692" t="str">
        <f t="shared" si="56"/>
        <v/>
      </c>
      <c r="E1692" t="str">
        <f t="shared" si="57"/>
        <v>el paso</v>
      </c>
      <c r="F1692" t="s">
        <v>5600</v>
      </c>
      <c r="G1692" t="str">
        <f>_xlfn.IFNA(VLOOKUP(F1692,songs!$B$1:$C$1539, 2, FALSE),"")</f>
        <v>El Paso</v>
      </c>
      <c r="H1692" t="s">
        <v>327</v>
      </c>
    </row>
    <row r="1693" spans="1:8" x14ac:dyDescent="0.25">
      <c r="A1693">
        <v>1692</v>
      </c>
      <c r="B1693" t="s">
        <v>2084</v>
      </c>
      <c r="C1693" t="s">
        <v>436</v>
      </c>
      <c r="D1693" t="str">
        <f t="shared" si="56"/>
        <v/>
      </c>
      <c r="E1693" t="str">
        <f t="shared" si="57"/>
        <v>ramble on rose</v>
      </c>
      <c r="F1693" t="s">
        <v>6827</v>
      </c>
      <c r="G1693" t="str">
        <f>_xlfn.IFNA(VLOOKUP(F1693,songs!$B$1:$C$1539, 2, FALSE),"")</f>
        <v>Ramble On Rose</v>
      </c>
      <c r="H1693" t="s">
        <v>436</v>
      </c>
    </row>
    <row r="1694" spans="1:8" x14ac:dyDescent="0.25">
      <c r="A1694">
        <v>1693</v>
      </c>
      <c r="B1694" t="s">
        <v>2085</v>
      </c>
      <c r="C1694" t="s">
        <v>554</v>
      </c>
      <c r="D1694" t="str">
        <f t="shared" si="56"/>
        <v/>
      </c>
      <c r="E1694" t="str">
        <f t="shared" si="57"/>
        <v>it's all over now</v>
      </c>
      <c r="F1694" t="s">
        <v>6135</v>
      </c>
      <c r="G1694" t="str">
        <f>_xlfn.IFNA(VLOOKUP(F1694,songs!$B$1:$C$1539, 2, FALSE),"")</f>
        <v>It's All Over Now</v>
      </c>
      <c r="H1694" t="s">
        <v>554</v>
      </c>
    </row>
    <row r="1695" spans="1:8" x14ac:dyDescent="0.25">
      <c r="A1695">
        <v>1694</v>
      </c>
      <c r="B1695" t="s">
        <v>2086</v>
      </c>
      <c r="C1695" t="s">
        <v>383</v>
      </c>
      <c r="D1695" t="str">
        <f t="shared" si="56"/>
        <v/>
      </c>
      <c r="E1695" t="str">
        <f t="shared" si="57"/>
        <v>jack-a-roe</v>
      </c>
      <c r="F1695" t="s">
        <v>6162</v>
      </c>
      <c r="G1695" t="str">
        <f>_xlfn.IFNA(VLOOKUP(F1695,songs!$B$1:$C$1539, 2, FALSE),"")</f>
        <v>Jack-A-Roe</v>
      </c>
      <c r="H1695" t="s">
        <v>383</v>
      </c>
    </row>
    <row r="1696" spans="1:8" x14ac:dyDescent="0.25">
      <c r="A1696">
        <v>1695</v>
      </c>
      <c r="B1696" t="s">
        <v>2087</v>
      </c>
      <c r="C1696" t="s">
        <v>53</v>
      </c>
      <c r="D1696" t="str">
        <f t="shared" si="56"/>
        <v/>
      </c>
      <c r="E1696" t="str">
        <f t="shared" si="57"/>
        <v>lazy lightning</v>
      </c>
      <c r="F1696" t="s">
        <v>6293</v>
      </c>
      <c r="G1696" t="str">
        <f>_xlfn.IFNA(VLOOKUP(F1696,songs!$B$1:$C$1539, 2, FALSE),"")</f>
        <v>Lazy Lightning</v>
      </c>
      <c r="H1696" t="s">
        <v>53</v>
      </c>
    </row>
    <row r="1697" spans="1:8" x14ac:dyDescent="0.25">
      <c r="A1697">
        <v>1696</v>
      </c>
      <c r="B1697" t="s">
        <v>2088</v>
      </c>
      <c r="C1697" t="s">
        <v>55</v>
      </c>
      <c r="D1697" t="str">
        <f t="shared" si="56"/>
        <v/>
      </c>
      <c r="E1697" t="str">
        <f t="shared" si="57"/>
        <v>supplication</v>
      </c>
      <c r="F1697" t="s">
        <v>7162</v>
      </c>
      <c r="G1697" t="str">
        <f>_xlfn.IFNA(VLOOKUP(F1697,songs!$B$1:$C$1539, 2, FALSE),"")</f>
        <v>Supplication</v>
      </c>
      <c r="H1697" t="s">
        <v>55</v>
      </c>
    </row>
    <row r="1698" spans="1:8" x14ac:dyDescent="0.25">
      <c r="A1698">
        <v>1697</v>
      </c>
      <c r="B1698" t="s">
        <v>2089</v>
      </c>
      <c r="C1698" t="s">
        <v>161</v>
      </c>
      <c r="D1698" t="str">
        <f t="shared" si="56"/>
        <v/>
      </c>
      <c r="E1698" t="str">
        <f t="shared" si="57"/>
        <v>althea</v>
      </c>
      <c r="F1698" t="s">
        <v>5073</v>
      </c>
      <c r="G1698" t="str">
        <f>_xlfn.IFNA(VLOOKUP(F1698,songs!$B$1:$C$1539, 2, FALSE),"")</f>
        <v>Althea</v>
      </c>
      <c r="H1698" t="s">
        <v>161</v>
      </c>
    </row>
    <row r="1699" spans="1:8" x14ac:dyDescent="0.25">
      <c r="A1699">
        <v>1698</v>
      </c>
      <c r="B1699" t="s">
        <v>2090</v>
      </c>
      <c r="C1699" t="s">
        <v>49</v>
      </c>
      <c r="D1699" t="str">
        <f t="shared" si="56"/>
        <v/>
      </c>
      <c r="E1699" t="str">
        <f t="shared" si="57"/>
        <v>the music never stopped</v>
      </c>
      <c r="F1699" t="s">
        <v>7316</v>
      </c>
      <c r="G1699" t="str">
        <f>_xlfn.IFNA(VLOOKUP(F1699,songs!$B$1:$C$1539, 2, FALSE),"")</f>
        <v>The Music Never Stopped</v>
      </c>
      <c r="H1699" t="s">
        <v>49</v>
      </c>
    </row>
    <row r="1700" spans="1:8" x14ac:dyDescent="0.25">
      <c r="A1700">
        <v>1699</v>
      </c>
      <c r="B1700" t="s">
        <v>2091</v>
      </c>
      <c r="C1700" t="s">
        <v>170</v>
      </c>
      <c r="D1700" t="str">
        <f t="shared" si="56"/>
        <v/>
      </c>
      <c r="E1700" t="str">
        <f t="shared" si="57"/>
        <v>scarlet begonias</v>
      </c>
      <c r="F1700" t="s">
        <v>6944</v>
      </c>
      <c r="G1700" t="str">
        <f>_xlfn.IFNA(VLOOKUP(F1700,songs!$B$1:$C$1539, 2, FALSE),"")</f>
        <v>Scarlet Begonias</v>
      </c>
      <c r="H1700" t="s">
        <v>170</v>
      </c>
    </row>
    <row r="1701" spans="1:8" x14ac:dyDescent="0.25">
      <c r="A1701">
        <v>1700</v>
      </c>
      <c r="B1701" t="s">
        <v>2092</v>
      </c>
      <c r="C1701" t="s">
        <v>573</v>
      </c>
      <c r="D1701" t="str">
        <f t="shared" si="56"/>
        <v/>
      </c>
      <c r="E1701" t="str">
        <f t="shared" si="57"/>
        <v>fire on the mountain</v>
      </c>
      <c r="F1701" t="s">
        <v>5675</v>
      </c>
      <c r="G1701" t="str">
        <f>_xlfn.IFNA(VLOOKUP(F1701,songs!$B$1:$C$1539, 2, FALSE),"")</f>
        <v>Fire On The Mountain</v>
      </c>
      <c r="H1701" t="s">
        <v>573</v>
      </c>
    </row>
    <row r="1702" spans="1:8" x14ac:dyDescent="0.25">
      <c r="A1702">
        <v>1701</v>
      </c>
      <c r="B1702" t="s">
        <v>2093</v>
      </c>
      <c r="C1702" t="s">
        <v>266</v>
      </c>
      <c r="D1702" t="str">
        <f t="shared" si="56"/>
        <v/>
      </c>
      <c r="E1702" t="str">
        <f t="shared" si="57"/>
        <v>samson and delilah</v>
      </c>
      <c r="F1702" t="s">
        <v>6925</v>
      </c>
      <c r="G1702" t="str">
        <f>_xlfn.IFNA(VLOOKUP(F1702,songs!$B$1:$C$1539, 2, FALSE),"")</f>
        <v>Samson And Delilah</v>
      </c>
      <c r="H1702" t="s">
        <v>266</v>
      </c>
    </row>
    <row r="1703" spans="1:8" x14ac:dyDescent="0.25">
      <c r="A1703">
        <v>1702</v>
      </c>
      <c r="B1703" t="s">
        <v>2094</v>
      </c>
      <c r="C1703" t="s">
        <v>75</v>
      </c>
      <c r="D1703" t="str">
        <f t="shared" si="56"/>
        <v/>
      </c>
      <c r="E1703" t="str">
        <f t="shared" si="57"/>
        <v>terrapin station</v>
      </c>
      <c r="F1703" t="s">
        <v>7237</v>
      </c>
      <c r="G1703" t="str">
        <f>_xlfn.IFNA(VLOOKUP(F1703,songs!$B$1:$C$1539, 2, FALSE),"")</f>
        <v>Terrapin Station</v>
      </c>
      <c r="H1703" t="s">
        <v>75</v>
      </c>
    </row>
    <row r="1704" spans="1:8" x14ac:dyDescent="0.25">
      <c r="A1704">
        <v>1703</v>
      </c>
      <c r="B1704" t="s">
        <v>2095</v>
      </c>
      <c r="C1704" t="s">
        <v>419</v>
      </c>
      <c r="D1704" t="str">
        <f t="shared" si="56"/>
        <v/>
      </c>
      <c r="E1704" t="str">
        <f t="shared" si="57"/>
        <v>playing in the band</v>
      </c>
      <c r="F1704" t="s">
        <v>6769</v>
      </c>
      <c r="G1704" t="str">
        <f>_xlfn.IFNA(VLOOKUP(F1704,songs!$B$1:$C$1539, 2, FALSE),"")</f>
        <v>Playing In The Band</v>
      </c>
      <c r="H1704" t="s">
        <v>419</v>
      </c>
    </row>
    <row r="1705" spans="1:8" x14ac:dyDescent="0.25">
      <c r="A1705">
        <v>1704</v>
      </c>
      <c r="B1705" t="s">
        <v>2096</v>
      </c>
      <c r="C1705" t="s">
        <v>100</v>
      </c>
      <c r="D1705" t="str">
        <f t="shared" si="56"/>
        <v/>
      </c>
      <c r="E1705" t="str">
        <f t="shared" si="57"/>
        <v>drums</v>
      </c>
      <c r="F1705" t="s">
        <v>5568</v>
      </c>
      <c r="G1705" t="str">
        <f>_xlfn.IFNA(VLOOKUP(F1705,songs!$B$1:$C$1539, 2, FALSE),"")</f>
        <v>Drums</v>
      </c>
      <c r="H1705" t="s">
        <v>100</v>
      </c>
    </row>
    <row r="1706" spans="1:8" x14ac:dyDescent="0.25">
      <c r="A1706">
        <v>1705</v>
      </c>
      <c r="B1706" t="s">
        <v>2097</v>
      </c>
      <c r="C1706" t="s">
        <v>277</v>
      </c>
      <c r="D1706" t="str">
        <f t="shared" si="56"/>
        <v/>
      </c>
      <c r="E1706" t="str">
        <f t="shared" si="57"/>
        <v>space</v>
      </c>
      <c r="F1706" t="s">
        <v>7091</v>
      </c>
      <c r="G1706" t="str">
        <f>_xlfn.IFNA(VLOOKUP(F1706,songs!$B$1:$C$1539, 2, FALSE),"")</f>
        <v>Space</v>
      </c>
      <c r="H1706" t="s">
        <v>277</v>
      </c>
    </row>
    <row r="1707" spans="1:8" x14ac:dyDescent="0.25">
      <c r="A1707">
        <v>1706</v>
      </c>
      <c r="B1707" t="s">
        <v>2098</v>
      </c>
      <c r="C1707" t="s">
        <v>394</v>
      </c>
      <c r="D1707" t="str">
        <f t="shared" si="56"/>
        <v/>
      </c>
      <c r="E1707" t="str">
        <f t="shared" si="57"/>
        <v>lost sailor</v>
      </c>
      <c r="F1707" t="s">
        <v>6403</v>
      </c>
      <c r="G1707" t="str">
        <f>_xlfn.IFNA(VLOOKUP(F1707,songs!$B$1:$C$1539, 2, FALSE),"")</f>
        <v>Lost Sailor</v>
      </c>
      <c r="H1707" t="s">
        <v>394</v>
      </c>
    </row>
    <row r="1708" spans="1:8" x14ac:dyDescent="0.25">
      <c r="A1708">
        <v>1707</v>
      </c>
      <c r="B1708" t="s">
        <v>2099</v>
      </c>
      <c r="C1708" t="s">
        <v>1486</v>
      </c>
      <c r="D1708" t="str">
        <f t="shared" si="56"/>
        <v/>
      </c>
      <c r="E1708" t="str">
        <f t="shared" si="57"/>
        <v>saint of circumstance</v>
      </c>
      <c r="F1708" t="s">
        <v>6909</v>
      </c>
      <c r="G1708" t="str">
        <f>_xlfn.IFNA(VLOOKUP(F1708,songs!$B$1:$C$1539, 2, FALSE),"")</f>
        <v>Saint Of Circumstance</v>
      </c>
      <c r="H1708" t="s">
        <v>1486</v>
      </c>
    </row>
    <row r="1709" spans="1:8" x14ac:dyDescent="0.25">
      <c r="A1709">
        <v>1708</v>
      </c>
      <c r="B1709" t="s">
        <v>2100</v>
      </c>
      <c r="C1709" t="s">
        <v>73</v>
      </c>
      <c r="D1709" t="str">
        <f t="shared" si="56"/>
        <v/>
      </c>
      <c r="E1709" t="str">
        <f t="shared" si="57"/>
        <v>wharf rat</v>
      </c>
      <c r="F1709" t="s">
        <v>7664</v>
      </c>
      <c r="G1709" t="str">
        <f>_xlfn.IFNA(VLOOKUP(F1709,songs!$B$1:$C$1539, 2, FALSE),"")</f>
        <v>Wharf Rat</v>
      </c>
      <c r="H1709" t="s">
        <v>73</v>
      </c>
    </row>
    <row r="1710" spans="1:8" x14ac:dyDescent="0.25">
      <c r="A1710">
        <v>1709</v>
      </c>
      <c r="B1710" t="s">
        <v>2101</v>
      </c>
      <c r="C1710" t="s">
        <v>15</v>
      </c>
      <c r="D1710" t="str">
        <f t="shared" si="56"/>
        <v/>
      </c>
      <c r="E1710" t="str">
        <f t="shared" si="57"/>
        <v>truckin'</v>
      </c>
      <c r="F1710" t="s">
        <v>7436</v>
      </c>
      <c r="G1710" t="str">
        <f>_xlfn.IFNA(VLOOKUP(F1710,songs!$B$1:$C$1539, 2, FALSE),"")</f>
        <v>Truckin'</v>
      </c>
      <c r="H1710" t="s">
        <v>15</v>
      </c>
    </row>
    <row r="1711" spans="1:8" x14ac:dyDescent="0.25">
      <c r="A1711">
        <v>1710</v>
      </c>
      <c r="B1711" t="s">
        <v>2102</v>
      </c>
      <c r="C1711" t="s">
        <v>148</v>
      </c>
      <c r="D1711" t="str">
        <f t="shared" si="56"/>
        <v/>
      </c>
      <c r="E1711" t="str">
        <f t="shared" si="57"/>
        <v>johnny b. goode</v>
      </c>
      <c r="F1711" t="s">
        <v>6192</v>
      </c>
      <c r="G1711" t="str">
        <f>_xlfn.IFNA(VLOOKUP(F1711,songs!$B$1:$C$1539, 2, FALSE),"")</f>
        <v>Johnny B. Goode</v>
      </c>
      <c r="H1711" t="s">
        <v>148</v>
      </c>
    </row>
    <row r="1712" spans="1:8" x14ac:dyDescent="0.25">
      <c r="A1712">
        <v>1711</v>
      </c>
      <c r="B1712" t="s">
        <v>2103</v>
      </c>
      <c r="C1712" t="s">
        <v>69</v>
      </c>
      <c r="D1712" t="str">
        <f t="shared" si="56"/>
        <v/>
      </c>
      <c r="E1712" t="str">
        <f t="shared" si="57"/>
        <v>estimated prophet</v>
      </c>
      <c r="F1712" t="s">
        <v>5612</v>
      </c>
      <c r="G1712" t="str">
        <f>_xlfn.IFNA(VLOOKUP(F1712,songs!$B$1:$C$1539, 2, FALSE),"")</f>
        <v>Estimated Prophet</v>
      </c>
      <c r="H1712" t="s">
        <v>69</v>
      </c>
    </row>
    <row r="1713" spans="1:8" x14ac:dyDescent="0.25">
      <c r="A1713">
        <v>1712</v>
      </c>
      <c r="B1713" t="s">
        <v>2104</v>
      </c>
      <c r="C1713" t="s">
        <v>63</v>
      </c>
      <c r="D1713" t="str">
        <f t="shared" si="56"/>
        <v/>
      </c>
      <c r="E1713" t="str">
        <f t="shared" si="57"/>
        <v>franklin's tower</v>
      </c>
      <c r="F1713" t="s">
        <v>5712</v>
      </c>
      <c r="G1713" t="str">
        <f>_xlfn.IFNA(VLOOKUP(F1713,songs!$B$1:$C$1539, 2, FALSE),"")</f>
        <v>Franklin's Tower</v>
      </c>
      <c r="H1713" t="s">
        <v>63</v>
      </c>
    </row>
    <row r="1714" spans="1:8" x14ac:dyDescent="0.25">
      <c r="A1714">
        <v>1713</v>
      </c>
      <c r="B1714" t="s">
        <v>2105</v>
      </c>
      <c r="C1714" t="s">
        <v>19</v>
      </c>
      <c r="D1714" t="str">
        <f t="shared" si="56"/>
        <v/>
      </c>
      <c r="E1714" t="str">
        <f t="shared" si="57"/>
        <v>jam</v>
      </c>
      <c r="F1714" t="s">
        <v>6165</v>
      </c>
      <c r="G1714" t="str">
        <f>_xlfn.IFNA(VLOOKUP(F1714,songs!$B$1:$C$1539, 2, FALSE),"")</f>
        <v>Jam</v>
      </c>
      <c r="H1714" t="s">
        <v>19</v>
      </c>
    </row>
    <row r="1715" spans="1:8" x14ac:dyDescent="0.25">
      <c r="A1715">
        <v>1714</v>
      </c>
      <c r="B1715" t="s">
        <v>2106</v>
      </c>
      <c r="C1715" t="s">
        <v>298</v>
      </c>
      <c r="D1715" t="str">
        <f t="shared" si="56"/>
        <v/>
      </c>
      <c r="E1715" t="str">
        <f t="shared" si="57"/>
        <v>bertha</v>
      </c>
      <c r="F1715" t="s">
        <v>5158</v>
      </c>
      <c r="G1715" t="str">
        <f>_xlfn.IFNA(VLOOKUP(F1715,songs!$B$1:$C$1539, 2, FALSE),"")</f>
        <v>Bertha</v>
      </c>
      <c r="H1715" t="s">
        <v>298</v>
      </c>
    </row>
    <row r="1716" spans="1:8" x14ac:dyDescent="0.25">
      <c r="A1716">
        <v>1715</v>
      </c>
      <c r="B1716" t="s">
        <v>2107</v>
      </c>
      <c r="C1716" t="s">
        <v>431</v>
      </c>
      <c r="D1716" t="str">
        <f t="shared" si="56"/>
        <v/>
      </c>
      <c r="E1716" t="str">
        <f t="shared" si="57"/>
        <v>beat it on down the line</v>
      </c>
      <c r="F1716" t="s">
        <v>5149</v>
      </c>
      <c r="G1716" t="str">
        <f>_xlfn.IFNA(VLOOKUP(F1716,songs!$B$1:$C$1539, 2, FALSE),"")</f>
        <v>Beat It On Down The Line</v>
      </c>
      <c r="H1716" t="s">
        <v>431</v>
      </c>
    </row>
    <row r="1717" spans="1:8" x14ac:dyDescent="0.25">
      <c r="A1717">
        <v>1782</v>
      </c>
      <c r="B1717" t="s">
        <v>2179</v>
      </c>
      <c r="C1717" t="s">
        <v>7</v>
      </c>
      <c r="D1717" t="str">
        <f t="shared" si="56"/>
        <v/>
      </c>
      <c r="E1717" t="str">
        <f t="shared" si="57"/>
        <v>weather report suite</v>
      </c>
      <c r="F1717" t="s">
        <v>7658</v>
      </c>
      <c r="G1717" t="str">
        <f>_xlfn.IFNA(VLOOKUP(F1717,songs!$B$1:$C$1539, 2, FALSE),"")</f>
        <v>Weather Report Suite Prelude &gt; Weather Report Suite Part 1</v>
      </c>
      <c r="H1717" t="s">
        <v>7867</v>
      </c>
    </row>
    <row r="1718" spans="1:8" x14ac:dyDescent="0.25">
      <c r="A1718">
        <v>1717</v>
      </c>
      <c r="B1718" t="s">
        <v>2110</v>
      </c>
      <c r="C1718" t="s">
        <v>1400</v>
      </c>
      <c r="D1718" t="str">
        <f t="shared" ref="D1718:D1781" si="58">IF(RIGHT(TRIM(C1718),2)="-&gt;","&gt;",IF(RIGHT(TRIM(C1718),1)="&gt;","&gt;",""))</f>
        <v/>
      </c>
      <c r="E1718" t="str">
        <f t="shared" si="57"/>
        <v>the race is on</v>
      </c>
      <c r="F1718" t="s">
        <v>7326</v>
      </c>
      <c r="G1718" t="str">
        <f>_xlfn.IFNA(VLOOKUP(F1718,songs!$B$1:$C$1539, 2, FALSE),"")</f>
        <v>The Race Is On</v>
      </c>
      <c r="H1718" t="s">
        <v>1400</v>
      </c>
    </row>
    <row r="1719" spans="1:8" x14ac:dyDescent="0.25">
      <c r="A1719">
        <v>1718</v>
      </c>
      <c r="B1719" t="s">
        <v>2111</v>
      </c>
      <c r="C1719" t="s">
        <v>225</v>
      </c>
      <c r="D1719" t="str">
        <f t="shared" si="58"/>
        <v/>
      </c>
      <c r="E1719" t="str">
        <f t="shared" si="57"/>
        <v>cumberland blues</v>
      </c>
      <c r="F1719" t="s">
        <v>5411</v>
      </c>
      <c r="G1719" t="str">
        <f>_xlfn.IFNA(VLOOKUP(F1719,songs!$B$1:$C$1539, 2, FALSE),"")</f>
        <v>Cumberland Blues</v>
      </c>
      <c r="H1719" t="s">
        <v>225</v>
      </c>
    </row>
    <row r="1720" spans="1:8" x14ac:dyDescent="0.25">
      <c r="A1720">
        <v>1719</v>
      </c>
      <c r="B1720" t="s">
        <v>2112</v>
      </c>
      <c r="C1720" t="s">
        <v>915</v>
      </c>
      <c r="D1720" t="str">
        <f t="shared" si="58"/>
        <v/>
      </c>
      <c r="E1720" t="str">
        <f t="shared" si="57"/>
        <v>box of rain</v>
      </c>
      <c r="F1720" t="s">
        <v>5237</v>
      </c>
      <c r="G1720" t="str">
        <f>_xlfn.IFNA(VLOOKUP(F1720,songs!$B$1:$C$1539, 2, FALSE),"")</f>
        <v>Box Of Rain</v>
      </c>
      <c r="H1720" t="s">
        <v>915</v>
      </c>
    </row>
    <row r="1721" spans="1:8" x14ac:dyDescent="0.25">
      <c r="A1721">
        <v>1720</v>
      </c>
      <c r="B1721" t="s">
        <v>2113</v>
      </c>
      <c r="C1721" t="s">
        <v>188</v>
      </c>
      <c r="D1721" t="str">
        <f t="shared" si="58"/>
        <v/>
      </c>
      <c r="E1721" t="str">
        <f t="shared" si="57"/>
        <v>row jimmy</v>
      </c>
      <c r="F1721" t="s">
        <v>6893</v>
      </c>
      <c r="G1721" t="str">
        <f>_xlfn.IFNA(VLOOKUP(F1721,songs!$B$1:$C$1539, 2, FALSE),"")</f>
        <v>Row Jimmy</v>
      </c>
      <c r="H1721" t="s">
        <v>188</v>
      </c>
    </row>
    <row r="1722" spans="1:8" x14ac:dyDescent="0.25">
      <c r="A1722">
        <v>1721</v>
      </c>
      <c r="B1722" t="s">
        <v>2114</v>
      </c>
      <c r="C1722" t="s">
        <v>199</v>
      </c>
      <c r="D1722" t="str">
        <f t="shared" si="58"/>
        <v/>
      </c>
      <c r="E1722" t="str">
        <f t="shared" si="57"/>
        <v>jack straw</v>
      </c>
      <c r="F1722" t="s">
        <v>6161</v>
      </c>
      <c r="G1722" t="str">
        <f>_xlfn.IFNA(VLOOKUP(F1722,songs!$B$1:$C$1539, 2, FALSE),"")</f>
        <v>Jack Straw</v>
      </c>
      <c r="H1722" t="s">
        <v>199</v>
      </c>
    </row>
    <row r="1723" spans="1:8" x14ac:dyDescent="0.25">
      <c r="A1723">
        <v>1722</v>
      </c>
      <c r="B1723" t="s">
        <v>2115</v>
      </c>
      <c r="C1723" t="s">
        <v>156</v>
      </c>
      <c r="D1723" t="str">
        <f t="shared" si="58"/>
        <v/>
      </c>
      <c r="E1723" t="str">
        <f t="shared" si="57"/>
        <v>they love each other</v>
      </c>
      <c r="F1723" t="s">
        <v>7358</v>
      </c>
      <c r="G1723" t="str">
        <f>_xlfn.IFNA(VLOOKUP(F1723,songs!$B$1:$C$1539, 2, FALSE),"")</f>
        <v>They Love Each Other</v>
      </c>
      <c r="H1723" t="s">
        <v>156</v>
      </c>
    </row>
    <row r="1724" spans="1:8" x14ac:dyDescent="0.25">
      <c r="A1724">
        <v>1723</v>
      </c>
      <c r="B1724" t="s">
        <v>2116</v>
      </c>
      <c r="C1724" t="s">
        <v>186</v>
      </c>
      <c r="D1724" t="str">
        <f t="shared" si="58"/>
        <v/>
      </c>
      <c r="E1724" t="str">
        <f t="shared" si="57"/>
        <v>mexicali blues</v>
      </c>
      <c r="F1724" t="s">
        <v>6499</v>
      </c>
      <c r="G1724" t="str">
        <f>_xlfn.IFNA(VLOOKUP(F1724,songs!$B$1:$C$1539, 2, FALSE),"")</f>
        <v>Mexicali Blues</v>
      </c>
      <c r="H1724" t="s">
        <v>186</v>
      </c>
    </row>
    <row r="1725" spans="1:8" x14ac:dyDescent="0.25">
      <c r="A1725">
        <v>1724</v>
      </c>
      <c r="B1725" t="s">
        <v>2117</v>
      </c>
      <c r="C1725" t="s">
        <v>164</v>
      </c>
      <c r="D1725" t="str">
        <f t="shared" si="58"/>
        <v/>
      </c>
      <c r="E1725" t="str">
        <f t="shared" si="57"/>
        <v>tennessee jed</v>
      </c>
      <c r="F1725" t="s">
        <v>7234</v>
      </c>
      <c r="G1725" t="str">
        <f>_xlfn.IFNA(VLOOKUP(F1725,songs!$B$1:$C$1539, 2, FALSE),"")</f>
        <v>Tennessee Jed</v>
      </c>
      <c r="H1725" t="s">
        <v>164</v>
      </c>
    </row>
    <row r="1726" spans="1:8" x14ac:dyDescent="0.25">
      <c r="A1726">
        <v>1725</v>
      </c>
      <c r="B1726" t="s">
        <v>2118</v>
      </c>
      <c r="C1726" t="s">
        <v>126</v>
      </c>
      <c r="D1726" t="str">
        <f t="shared" si="58"/>
        <v/>
      </c>
      <c r="E1726" t="str">
        <f t="shared" si="57"/>
        <v>looks like rain</v>
      </c>
      <c r="F1726" t="s">
        <v>6398</v>
      </c>
      <c r="G1726" t="str">
        <f>_xlfn.IFNA(VLOOKUP(F1726,songs!$B$1:$C$1539, 2, FALSE),"")</f>
        <v>Looks Like Rain</v>
      </c>
      <c r="H1726" t="s">
        <v>126</v>
      </c>
    </row>
    <row r="1727" spans="1:8" x14ac:dyDescent="0.25">
      <c r="A1727">
        <v>1726</v>
      </c>
      <c r="B1727" t="s">
        <v>2119</v>
      </c>
      <c r="C1727" t="s">
        <v>1666</v>
      </c>
      <c r="D1727" t="str">
        <f t="shared" si="58"/>
        <v/>
      </c>
      <c r="E1727" t="str">
        <f t="shared" si="57"/>
        <v>wave that flag</v>
      </c>
      <c r="F1727" t="s">
        <v>7645</v>
      </c>
      <c r="G1727" t="str">
        <f>_xlfn.IFNA(VLOOKUP(F1727,songs!$B$1:$C$1539, 2, FALSE),"")</f>
        <v>Wave That Flag</v>
      </c>
      <c r="H1727" t="s">
        <v>1666</v>
      </c>
    </row>
    <row r="1728" spans="1:8" x14ac:dyDescent="0.25">
      <c r="A1728">
        <v>1727</v>
      </c>
      <c r="B1728" t="s">
        <v>2120</v>
      </c>
      <c r="C1728" t="s">
        <v>327</v>
      </c>
      <c r="D1728" t="str">
        <f t="shared" si="58"/>
        <v/>
      </c>
      <c r="E1728" t="str">
        <f t="shared" si="57"/>
        <v>el paso</v>
      </c>
      <c r="F1728" t="s">
        <v>5600</v>
      </c>
      <c r="G1728" t="str">
        <f>_xlfn.IFNA(VLOOKUP(F1728,songs!$B$1:$C$1539, 2, FALSE),"")</f>
        <v>El Paso</v>
      </c>
      <c r="H1728" t="s">
        <v>327</v>
      </c>
    </row>
    <row r="1729" spans="1:8" x14ac:dyDescent="0.25">
      <c r="A1729">
        <v>1728</v>
      </c>
      <c r="B1729" t="s">
        <v>2121</v>
      </c>
      <c r="C1729" t="s">
        <v>1</v>
      </c>
      <c r="D1729" t="str">
        <f t="shared" si="58"/>
        <v/>
      </c>
      <c r="E1729" t="str">
        <f t="shared" si="57"/>
        <v>here comes sunshine</v>
      </c>
      <c r="F1729" t="s">
        <v>5898</v>
      </c>
      <c r="G1729" t="str">
        <f>_xlfn.IFNA(VLOOKUP(F1729,songs!$B$1:$C$1539, 2, FALSE),"")</f>
        <v>Here Comes Sunshine</v>
      </c>
      <c r="H1729" t="s">
        <v>1</v>
      </c>
    </row>
    <row r="1730" spans="1:8" x14ac:dyDescent="0.25">
      <c r="A1730">
        <v>1729</v>
      </c>
      <c r="B1730" t="s">
        <v>2122</v>
      </c>
      <c r="C1730" t="s">
        <v>1228</v>
      </c>
      <c r="D1730" t="str">
        <f t="shared" si="58"/>
        <v/>
      </c>
      <c r="E1730" t="str">
        <f t="shared" si="57"/>
        <v>me and bobby mcgee</v>
      </c>
      <c r="F1730" t="s">
        <v>6483</v>
      </c>
      <c r="G1730" t="str">
        <f>_xlfn.IFNA(VLOOKUP(F1730,songs!$B$1:$C$1539, 2, FALSE),"")</f>
        <v>Me And Bobby McGee</v>
      </c>
      <c r="H1730" t="s">
        <v>1228</v>
      </c>
    </row>
    <row r="1731" spans="1:8" x14ac:dyDescent="0.25">
      <c r="A1731">
        <v>1730</v>
      </c>
      <c r="B1731" t="s">
        <v>2123</v>
      </c>
      <c r="C1731" t="s">
        <v>291</v>
      </c>
      <c r="D1731" t="str">
        <f t="shared" si="58"/>
        <v/>
      </c>
      <c r="E1731" t="str">
        <f t="shared" si="57"/>
        <v>loser</v>
      </c>
      <c r="F1731" t="s">
        <v>6400</v>
      </c>
      <c r="G1731" t="str">
        <f>_xlfn.IFNA(VLOOKUP(F1731,songs!$B$1:$C$1539, 2, FALSE),"")</f>
        <v>Loser</v>
      </c>
      <c r="H1731" t="s">
        <v>291</v>
      </c>
    </row>
    <row r="1732" spans="1:8" x14ac:dyDescent="0.25">
      <c r="A1732">
        <v>1731</v>
      </c>
      <c r="B1732" t="s">
        <v>2124</v>
      </c>
      <c r="C1732" t="s">
        <v>419</v>
      </c>
      <c r="D1732" t="str">
        <f t="shared" si="58"/>
        <v/>
      </c>
      <c r="E1732" t="str">
        <f t="shared" ref="E1732:E1795" si="59">LOWER(TRIM(SUBSTITUTE(IF(RIGHT(TRIM(C1732),2)="-&gt;",LEFT(TRIM(C1732),LEN(TRIM(C1732))-2),IF(RIGHT(TRIM(C1732),1)="&gt;",LEFT(TRIM(C1732),LEN(TRIM(C1732))-1),C1732)),"//","")))</f>
        <v>playing in the band</v>
      </c>
      <c r="F1732" t="s">
        <v>6769</v>
      </c>
      <c r="G1732" t="str">
        <f>_xlfn.IFNA(VLOOKUP(F1732,songs!$B$1:$C$1539, 2, FALSE),"")</f>
        <v>Playing In The Band</v>
      </c>
      <c r="H1732" t="s">
        <v>419</v>
      </c>
    </row>
    <row r="1733" spans="1:8" x14ac:dyDescent="0.25">
      <c r="A1733">
        <v>1732</v>
      </c>
      <c r="B1733" t="s">
        <v>2125</v>
      </c>
      <c r="C1733" t="s">
        <v>130</v>
      </c>
      <c r="D1733" t="str">
        <f t="shared" si="58"/>
        <v/>
      </c>
      <c r="E1733" t="str">
        <f t="shared" si="59"/>
        <v>promised land</v>
      </c>
      <c r="F1733" t="s">
        <v>6797</v>
      </c>
      <c r="G1733" t="str">
        <f>_xlfn.IFNA(VLOOKUP(F1733,songs!$B$1:$C$1539, 2, FALSE),"")</f>
        <v>Promised Land</v>
      </c>
      <c r="H1733" t="s">
        <v>130</v>
      </c>
    </row>
    <row r="1734" spans="1:8" x14ac:dyDescent="0.25">
      <c r="A1734">
        <v>1733</v>
      </c>
      <c r="B1734" t="s">
        <v>2126</v>
      </c>
      <c r="C1734" t="s">
        <v>84</v>
      </c>
      <c r="D1734" t="str">
        <f t="shared" si="58"/>
        <v/>
      </c>
      <c r="E1734" t="str">
        <f t="shared" si="59"/>
        <v>china cat sunflower</v>
      </c>
      <c r="F1734" t="s">
        <v>5319</v>
      </c>
      <c r="G1734" t="str">
        <f>_xlfn.IFNA(VLOOKUP(F1734,songs!$B$1:$C$1539, 2, FALSE),"")</f>
        <v>China Cat Sunflower</v>
      </c>
      <c r="H1734" t="s">
        <v>84</v>
      </c>
    </row>
    <row r="1735" spans="1:8" x14ac:dyDescent="0.25">
      <c r="A1735">
        <v>1734</v>
      </c>
      <c r="B1735" t="s">
        <v>2127</v>
      </c>
      <c r="C1735" t="s">
        <v>86</v>
      </c>
      <c r="D1735" t="str">
        <f t="shared" si="58"/>
        <v/>
      </c>
      <c r="E1735" t="str">
        <f t="shared" si="59"/>
        <v>i know you rider</v>
      </c>
      <c r="F1735" t="s">
        <v>6020</v>
      </c>
      <c r="G1735" t="str">
        <f>_xlfn.IFNA(VLOOKUP(F1735,songs!$B$1:$C$1539, 2, FALSE),"")</f>
        <v>I Know You Rider</v>
      </c>
      <c r="H1735" t="s">
        <v>86</v>
      </c>
    </row>
    <row r="1736" spans="1:8" x14ac:dyDescent="0.25">
      <c r="A1736">
        <v>1735</v>
      </c>
      <c r="B1736" t="s">
        <v>2128</v>
      </c>
      <c r="C1736" t="s">
        <v>3</v>
      </c>
      <c r="D1736" t="str">
        <f t="shared" si="58"/>
        <v/>
      </c>
      <c r="E1736" t="str">
        <f t="shared" si="59"/>
        <v>big river</v>
      </c>
      <c r="F1736" t="s">
        <v>5175</v>
      </c>
      <c r="G1736" t="str">
        <f>_xlfn.IFNA(VLOOKUP(F1736,songs!$B$1:$C$1539, 2, FALSE),"")</f>
        <v>Big River</v>
      </c>
      <c r="H1736" t="s">
        <v>3</v>
      </c>
    </row>
    <row r="1737" spans="1:8" x14ac:dyDescent="0.25">
      <c r="A1737">
        <v>1736</v>
      </c>
      <c r="B1737" t="s">
        <v>2129</v>
      </c>
      <c r="C1737" t="s">
        <v>24</v>
      </c>
      <c r="D1737" t="str">
        <f t="shared" si="58"/>
        <v/>
      </c>
      <c r="E1737" t="str">
        <f t="shared" si="59"/>
        <v>stella blue</v>
      </c>
      <c r="F1737" t="s">
        <v>7123</v>
      </c>
      <c r="G1737" t="str">
        <f>_xlfn.IFNA(VLOOKUP(F1737,songs!$B$1:$C$1539, 2, FALSE),"")</f>
        <v>Stella Blue</v>
      </c>
      <c r="H1737" t="s">
        <v>24</v>
      </c>
    </row>
    <row r="1738" spans="1:8" x14ac:dyDescent="0.25">
      <c r="A1738">
        <v>1737</v>
      </c>
      <c r="B1738" t="s">
        <v>2130</v>
      </c>
      <c r="C1738" t="s">
        <v>903</v>
      </c>
      <c r="D1738" t="str">
        <f t="shared" si="58"/>
        <v/>
      </c>
      <c r="E1738" t="str">
        <f t="shared" si="59"/>
        <v>me and my uncle</v>
      </c>
      <c r="F1738" t="s">
        <v>6486</v>
      </c>
      <c r="G1738" t="str">
        <f>_xlfn.IFNA(VLOOKUP(F1738,songs!$B$1:$C$1539, 2, FALSE),"")</f>
        <v>Me And My Uncle</v>
      </c>
      <c r="H1738" t="s">
        <v>903</v>
      </c>
    </row>
    <row r="1739" spans="1:8" x14ac:dyDescent="0.25">
      <c r="A1739">
        <v>1738</v>
      </c>
      <c r="B1739" t="s">
        <v>2131</v>
      </c>
      <c r="C1739" t="s">
        <v>13</v>
      </c>
      <c r="D1739" t="str">
        <f t="shared" si="58"/>
        <v/>
      </c>
      <c r="E1739" t="str">
        <f t="shared" si="59"/>
        <v>he's gone</v>
      </c>
      <c r="F1739" t="s">
        <v>5903</v>
      </c>
      <c r="G1739" t="str">
        <f>_xlfn.IFNA(VLOOKUP(F1739,songs!$B$1:$C$1539, 2, FALSE),"")</f>
        <v>He's Gone</v>
      </c>
      <c r="H1739" t="s">
        <v>13</v>
      </c>
    </row>
    <row r="1740" spans="1:8" x14ac:dyDescent="0.25">
      <c r="A1740">
        <v>1790</v>
      </c>
      <c r="B1740" t="s">
        <v>2187</v>
      </c>
      <c r="C1740" t="s">
        <v>2188</v>
      </c>
      <c r="D1740" t="str">
        <f t="shared" si="58"/>
        <v/>
      </c>
      <c r="E1740" t="str">
        <f t="shared" si="59"/>
        <v>dark star jam</v>
      </c>
      <c r="F1740" t="s">
        <v>5428</v>
      </c>
      <c r="G1740" t="str">
        <f>_xlfn.IFNA(VLOOKUP(F1740,songs!$B$1:$C$1539, 2, FALSE),"")</f>
        <v>Dark Star</v>
      </c>
      <c r="H1740" t="s">
        <v>7867</v>
      </c>
    </row>
    <row r="1741" spans="1:8" x14ac:dyDescent="0.25">
      <c r="A1741">
        <v>1740</v>
      </c>
      <c r="B1741" t="s">
        <v>2133</v>
      </c>
      <c r="C1741" t="s">
        <v>19</v>
      </c>
      <c r="D1741" t="str">
        <f t="shared" si="58"/>
        <v/>
      </c>
      <c r="E1741" t="str">
        <f t="shared" si="59"/>
        <v>jam</v>
      </c>
      <c r="F1741" t="s">
        <v>6165</v>
      </c>
      <c r="G1741" t="str">
        <f>_xlfn.IFNA(VLOOKUP(F1741,songs!$B$1:$C$1539, 2, FALSE),"")</f>
        <v>Jam</v>
      </c>
      <c r="H1741" t="s">
        <v>19</v>
      </c>
    </row>
    <row r="1742" spans="1:8" x14ac:dyDescent="0.25">
      <c r="A1742">
        <v>1741</v>
      </c>
      <c r="B1742" t="s">
        <v>2134</v>
      </c>
      <c r="C1742" t="s">
        <v>92</v>
      </c>
      <c r="D1742" t="str">
        <f t="shared" si="58"/>
        <v/>
      </c>
      <c r="E1742" t="str">
        <f t="shared" si="59"/>
        <v>dark star</v>
      </c>
      <c r="F1742" t="s">
        <v>5428</v>
      </c>
      <c r="G1742" t="str">
        <f>_xlfn.IFNA(VLOOKUP(F1742,songs!$B$1:$C$1539, 2, FALSE),"")</f>
        <v>Dark Star</v>
      </c>
      <c r="H1742" t="s">
        <v>92</v>
      </c>
    </row>
    <row r="1743" spans="1:8" x14ac:dyDescent="0.25">
      <c r="A1743">
        <v>1742</v>
      </c>
      <c r="B1743" t="s">
        <v>2135</v>
      </c>
      <c r="C1743" t="s">
        <v>749</v>
      </c>
      <c r="D1743" t="str">
        <f t="shared" si="58"/>
        <v/>
      </c>
      <c r="E1743" t="str">
        <f t="shared" si="59"/>
        <v>sing me back home</v>
      </c>
      <c r="F1743" t="s">
        <v>7017</v>
      </c>
      <c r="G1743" t="str">
        <f>_xlfn.IFNA(VLOOKUP(F1743,songs!$B$1:$C$1539, 2, FALSE),"")</f>
        <v>Sing Me Back Home</v>
      </c>
      <c r="H1743" t="s">
        <v>749</v>
      </c>
    </row>
    <row r="1744" spans="1:8" x14ac:dyDescent="0.25">
      <c r="A1744">
        <v>1743</v>
      </c>
      <c r="B1744" t="s">
        <v>2136</v>
      </c>
      <c r="C1744" t="s">
        <v>30</v>
      </c>
      <c r="D1744" t="str">
        <f t="shared" si="58"/>
        <v/>
      </c>
      <c r="E1744" t="str">
        <f t="shared" si="59"/>
        <v>sugar magnolia</v>
      </c>
      <c r="F1744" t="s">
        <v>7150</v>
      </c>
      <c r="G1744" t="str">
        <f>_xlfn.IFNA(VLOOKUP(F1744,songs!$B$1:$C$1539, 2, FALSE),"")</f>
        <v>Sugar Magnolia</v>
      </c>
      <c r="H1744" t="s">
        <v>30</v>
      </c>
    </row>
    <row r="1745" spans="1:8" x14ac:dyDescent="0.25">
      <c r="A1745">
        <v>1801</v>
      </c>
      <c r="B1745" t="s">
        <v>2199</v>
      </c>
      <c r="C1745" t="s">
        <v>615</v>
      </c>
      <c r="D1745" t="str">
        <f t="shared" si="58"/>
        <v/>
      </c>
      <c r="E1745" t="str">
        <f t="shared" si="59"/>
        <v>brown-eyed women</v>
      </c>
      <c r="F1745" t="s">
        <v>5255</v>
      </c>
      <c r="G1745" t="str">
        <f>_xlfn.IFNA(VLOOKUP(F1745,songs!$B$1:$C$1539, 2, FALSE),"")</f>
        <v>Brown Eyed Women</v>
      </c>
      <c r="H1745" t="s">
        <v>7867</v>
      </c>
    </row>
    <row r="1746" spans="1:8" x14ac:dyDescent="0.25">
      <c r="A1746">
        <v>1745</v>
      </c>
      <c r="B1746" t="s">
        <v>2139</v>
      </c>
      <c r="C1746" t="s">
        <v>1127</v>
      </c>
      <c r="D1746" t="str">
        <f t="shared" si="58"/>
        <v/>
      </c>
      <c r="E1746" t="str">
        <f t="shared" si="59"/>
        <v>might as well</v>
      </c>
      <c r="F1746" t="s">
        <v>6518</v>
      </c>
      <c r="G1746" t="str">
        <f>_xlfn.IFNA(VLOOKUP(F1746,songs!$B$1:$C$1539, 2, FALSE),"")</f>
        <v>Might As Well</v>
      </c>
      <c r="H1746" t="s">
        <v>1127</v>
      </c>
    </row>
    <row r="1747" spans="1:8" x14ac:dyDescent="0.25">
      <c r="A1747">
        <v>1746</v>
      </c>
      <c r="B1747" t="s">
        <v>2140</v>
      </c>
      <c r="C1747" t="s">
        <v>199</v>
      </c>
      <c r="D1747" t="str">
        <f t="shared" si="58"/>
        <v/>
      </c>
      <c r="E1747" t="str">
        <f t="shared" si="59"/>
        <v>jack straw</v>
      </c>
      <c r="F1747" t="s">
        <v>6161</v>
      </c>
      <c r="G1747" t="str">
        <f>_xlfn.IFNA(VLOOKUP(F1747,songs!$B$1:$C$1539, 2, FALSE),"")</f>
        <v>Jack Straw</v>
      </c>
      <c r="H1747" t="s">
        <v>199</v>
      </c>
    </row>
    <row r="1748" spans="1:8" x14ac:dyDescent="0.25">
      <c r="A1748">
        <v>1747</v>
      </c>
      <c r="B1748" t="s">
        <v>2141</v>
      </c>
      <c r="C1748" t="s">
        <v>90</v>
      </c>
      <c r="D1748" t="str">
        <f t="shared" si="58"/>
        <v/>
      </c>
      <c r="E1748" t="str">
        <f t="shared" si="59"/>
        <v>dire wolf</v>
      </c>
      <c r="F1748" t="s">
        <v>5497</v>
      </c>
      <c r="G1748" t="str">
        <f>_xlfn.IFNA(VLOOKUP(F1748,songs!$B$1:$C$1539, 2, FALSE),"")</f>
        <v>Dire Wolf</v>
      </c>
      <c r="H1748" t="s">
        <v>90</v>
      </c>
    </row>
    <row r="1749" spans="1:8" x14ac:dyDescent="0.25">
      <c r="A1749">
        <v>1748</v>
      </c>
      <c r="B1749" t="s">
        <v>2142</v>
      </c>
      <c r="C1749" t="s">
        <v>126</v>
      </c>
      <c r="D1749" t="str">
        <f t="shared" si="58"/>
        <v/>
      </c>
      <c r="E1749" t="str">
        <f t="shared" si="59"/>
        <v>looks like rain</v>
      </c>
      <c r="F1749" t="s">
        <v>6398</v>
      </c>
      <c r="G1749" t="str">
        <f>_xlfn.IFNA(VLOOKUP(F1749,songs!$B$1:$C$1539, 2, FALSE),"")</f>
        <v>Looks Like Rain</v>
      </c>
      <c r="H1749" t="s">
        <v>126</v>
      </c>
    </row>
    <row r="1750" spans="1:8" x14ac:dyDescent="0.25">
      <c r="A1750">
        <v>1749</v>
      </c>
      <c r="B1750" t="s">
        <v>2143</v>
      </c>
      <c r="C1750" t="s">
        <v>291</v>
      </c>
      <c r="D1750" t="str">
        <f t="shared" si="58"/>
        <v/>
      </c>
      <c r="E1750" t="str">
        <f t="shared" si="59"/>
        <v>loser</v>
      </c>
      <c r="F1750" t="s">
        <v>6400</v>
      </c>
      <c r="G1750" t="str">
        <f>_xlfn.IFNA(VLOOKUP(F1750,songs!$B$1:$C$1539, 2, FALSE),"")</f>
        <v>Loser</v>
      </c>
      <c r="H1750" t="s">
        <v>291</v>
      </c>
    </row>
    <row r="1751" spans="1:8" x14ac:dyDescent="0.25">
      <c r="A1751">
        <v>1750</v>
      </c>
      <c r="B1751" t="s">
        <v>2144</v>
      </c>
      <c r="C1751" t="s">
        <v>327</v>
      </c>
      <c r="D1751" t="str">
        <f t="shared" si="58"/>
        <v/>
      </c>
      <c r="E1751" t="str">
        <f t="shared" si="59"/>
        <v>el paso</v>
      </c>
      <c r="F1751" t="s">
        <v>5600</v>
      </c>
      <c r="G1751" t="str">
        <f>_xlfn.IFNA(VLOOKUP(F1751,songs!$B$1:$C$1539, 2, FALSE),"")</f>
        <v>El Paso</v>
      </c>
      <c r="H1751" t="s">
        <v>327</v>
      </c>
    </row>
    <row r="1752" spans="1:8" x14ac:dyDescent="0.25">
      <c r="A1752">
        <v>1751</v>
      </c>
      <c r="B1752" t="s">
        <v>2145</v>
      </c>
      <c r="C1752" t="s">
        <v>436</v>
      </c>
      <c r="D1752" t="str">
        <f t="shared" si="58"/>
        <v/>
      </c>
      <c r="E1752" t="str">
        <f t="shared" si="59"/>
        <v>ramble on rose</v>
      </c>
      <c r="F1752" t="s">
        <v>6827</v>
      </c>
      <c r="G1752" t="str">
        <f>_xlfn.IFNA(VLOOKUP(F1752,songs!$B$1:$C$1539, 2, FALSE),"")</f>
        <v>Ramble On Rose</v>
      </c>
      <c r="H1752" t="s">
        <v>436</v>
      </c>
    </row>
    <row r="1753" spans="1:8" x14ac:dyDescent="0.25">
      <c r="A1753">
        <v>1818</v>
      </c>
      <c r="B1753" t="s">
        <v>2217</v>
      </c>
      <c r="C1753" t="s">
        <v>168</v>
      </c>
      <c r="D1753" t="str">
        <f t="shared" si="58"/>
        <v/>
      </c>
      <c r="E1753" t="str">
        <f t="shared" si="59"/>
        <v>keep your day job</v>
      </c>
      <c r="F1753" t="s">
        <v>5447</v>
      </c>
      <c r="G1753" t="str">
        <f>_xlfn.IFNA(VLOOKUP(F1753,songs!$B$1:$C$1539, 2, FALSE),"")</f>
        <v>Day Job</v>
      </c>
      <c r="H1753" t="s">
        <v>7867</v>
      </c>
    </row>
    <row r="1754" spans="1:8" x14ac:dyDescent="0.25">
      <c r="A1754">
        <v>1753</v>
      </c>
      <c r="B1754" t="s">
        <v>2147</v>
      </c>
      <c r="C1754" t="s">
        <v>1057</v>
      </c>
      <c r="D1754" t="str">
        <f t="shared" si="58"/>
        <v/>
      </c>
      <c r="E1754" t="str">
        <f t="shared" si="59"/>
        <v>it must have been the roses</v>
      </c>
      <c r="F1754" t="s">
        <v>6128</v>
      </c>
      <c r="G1754" t="str">
        <f>_xlfn.IFNA(VLOOKUP(F1754,songs!$B$1:$C$1539, 2, FALSE),"")</f>
        <v>It Must Have Been The Roses</v>
      </c>
      <c r="H1754" t="s">
        <v>1057</v>
      </c>
    </row>
    <row r="1755" spans="1:8" x14ac:dyDescent="0.25">
      <c r="A1755">
        <v>1754</v>
      </c>
      <c r="B1755" t="s">
        <v>2148</v>
      </c>
      <c r="C1755" t="s">
        <v>389</v>
      </c>
      <c r="D1755" t="str">
        <f t="shared" si="58"/>
        <v/>
      </c>
      <c r="E1755" t="str">
        <f t="shared" si="59"/>
        <v>let it grow</v>
      </c>
      <c r="F1755" t="s">
        <v>6308</v>
      </c>
      <c r="G1755" t="str">
        <f>_xlfn.IFNA(VLOOKUP(F1755,songs!$B$1:$C$1539, 2, FALSE),"")</f>
        <v>Let It Grow</v>
      </c>
      <c r="H1755" t="s">
        <v>389</v>
      </c>
    </row>
    <row r="1756" spans="1:8" x14ac:dyDescent="0.25">
      <c r="A1756">
        <v>1755</v>
      </c>
      <c r="B1756" t="s">
        <v>2149</v>
      </c>
      <c r="C1756" t="s">
        <v>298</v>
      </c>
      <c r="D1756" t="str">
        <f t="shared" si="58"/>
        <v/>
      </c>
      <c r="E1756" t="str">
        <f t="shared" si="59"/>
        <v>bertha</v>
      </c>
      <c r="F1756" t="s">
        <v>5158</v>
      </c>
      <c r="G1756" t="str">
        <f>_xlfn.IFNA(VLOOKUP(F1756,songs!$B$1:$C$1539, 2, FALSE),"")</f>
        <v>Bertha</v>
      </c>
      <c r="H1756" t="s">
        <v>298</v>
      </c>
    </row>
    <row r="1757" spans="1:8" x14ac:dyDescent="0.25">
      <c r="A1757">
        <v>1756</v>
      </c>
      <c r="B1757" t="s">
        <v>2150</v>
      </c>
      <c r="C1757" t="s">
        <v>242</v>
      </c>
      <c r="D1757" t="str">
        <f t="shared" si="58"/>
        <v/>
      </c>
      <c r="E1757" t="str">
        <f t="shared" si="59"/>
        <v>good lovin'</v>
      </c>
      <c r="F1757" t="s">
        <v>5810</v>
      </c>
      <c r="G1757" t="str">
        <f>_xlfn.IFNA(VLOOKUP(F1757,songs!$B$1:$C$1539, 2, FALSE),"")</f>
        <v>Good Lovin'</v>
      </c>
      <c r="H1757" t="s">
        <v>242</v>
      </c>
    </row>
    <row r="1758" spans="1:8" x14ac:dyDescent="0.25">
      <c r="A1758">
        <v>1757</v>
      </c>
      <c r="B1758" t="s">
        <v>2151</v>
      </c>
      <c r="C1758" t="s">
        <v>464</v>
      </c>
      <c r="D1758" t="str">
        <f t="shared" si="58"/>
        <v/>
      </c>
      <c r="E1758" t="str">
        <f t="shared" si="59"/>
        <v>friend of the devil</v>
      </c>
      <c r="F1758" t="s">
        <v>5721</v>
      </c>
      <c r="G1758" t="str">
        <f>_xlfn.IFNA(VLOOKUP(F1758,songs!$B$1:$C$1539, 2, FALSE),"")</f>
        <v>Friend Of The Devil</v>
      </c>
      <c r="H1758" t="s">
        <v>464</v>
      </c>
    </row>
    <row r="1759" spans="1:8" x14ac:dyDescent="0.25">
      <c r="A1759">
        <v>1758</v>
      </c>
      <c r="B1759" t="s">
        <v>2152</v>
      </c>
      <c r="C1759" t="s">
        <v>69</v>
      </c>
      <c r="D1759" t="str">
        <f t="shared" si="58"/>
        <v/>
      </c>
      <c r="E1759" t="str">
        <f t="shared" si="59"/>
        <v>estimated prophet</v>
      </c>
      <c r="F1759" t="s">
        <v>5612</v>
      </c>
      <c r="G1759" t="str">
        <f>_xlfn.IFNA(VLOOKUP(F1759,songs!$B$1:$C$1539, 2, FALSE),"")</f>
        <v>Estimated Prophet</v>
      </c>
      <c r="H1759" t="s">
        <v>69</v>
      </c>
    </row>
    <row r="1760" spans="1:8" x14ac:dyDescent="0.25">
      <c r="A1760">
        <v>1759</v>
      </c>
      <c r="B1760" t="s">
        <v>2153</v>
      </c>
      <c r="C1760" t="s">
        <v>71</v>
      </c>
      <c r="D1760" t="str">
        <f t="shared" si="58"/>
        <v/>
      </c>
      <c r="E1760" t="str">
        <f t="shared" si="59"/>
        <v>eyes of the world</v>
      </c>
      <c r="F1760" t="s">
        <v>5633</v>
      </c>
      <c r="G1760" t="str">
        <f>_xlfn.IFNA(VLOOKUP(F1760,songs!$B$1:$C$1539, 2, FALSE),"")</f>
        <v>Eyes Of The World</v>
      </c>
      <c r="H1760" t="s">
        <v>471</v>
      </c>
    </row>
    <row r="1761" spans="1:8" x14ac:dyDescent="0.25">
      <c r="A1761">
        <v>1760</v>
      </c>
      <c r="B1761" t="s">
        <v>2154</v>
      </c>
      <c r="C1761" t="s">
        <v>277</v>
      </c>
      <c r="D1761" t="str">
        <f t="shared" si="58"/>
        <v/>
      </c>
      <c r="E1761" t="str">
        <f t="shared" si="59"/>
        <v>space</v>
      </c>
      <c r="F1761" t="s">
        <v>7091</v>
      </c>
      <c r="G1761" t="str">
        <f>_xlfn.IFNA(VLOOKUP(F1761,songs!$B$1:$C$1539, 2, FALSE),"")</f>
        <v>Space</v>
      </c>
      <c r="H1761" t="s">
        <v>277</v>
      </c>
    </row>
    <row r="1762" spans="1:8" x14ac:dyDescent="0.25">
      <c r="A1762">
        <v>1819</v>
      </c>
      <c r="B1762" t="s">
        <v>2218</v>
      </c>
      <c r="C1762" t="s">
        <v>2065</v>
      </c>
      <c r="D1762" t="str">
        <f t="shared" si="58"/>
        <v/>
      </c>
      <c r="E1762" t="str">
        <f t="shared" si="59"/>
        <v>in the midnight hour</v>
      </c>
      <c r="F1762" t="s">
        <v>6508</v>
      </c>
      <c r="G1762" t="str">
        <f>_xlfn.IFNA(VLOOKUP(F1762,songs!$B$1:$C$1539, 2, FALSE),"")</f>
        <v>Midnight Hour</v>
      </c>
      <c r="H1762" t="s">
        <v>7867</v>
      </c>
    </row>
    <row r="1763" spans="1:8" x14ac:dyDescent="0.25">
      <c r="A1763">
        <v>1762</v>
      </c>
      <c r="B1763" t="s">
        <v>2156</v>
      </c>
      <c r="C1763" t="s">
        <v>34</v>
      </c>
      <c r="D1763" t="str">
        <f t="shared" si="58"/>
        <v/>
      </c>
      <c r="E1763" t="str">
        <f t="shared" si="59"/>
        <v>not fade away</v>
      </c>
      <c r="F1763" t="s">
        <v>6651</v>
      </c>
      <c r="G1763" t="str">
        <f>_xlfn.IFNA(VLOOKUP(F1763,songs!$B$1:$C$1539, 2, FALSE),"")</f>
        <v>Not Fade Away</v>
      </c>
      <c r="H1763" t="s">
        <v>34</v>
      </c>
    </row>
    <row r="1764" spans="1:8" x14ac:dyDescent="0.25">
      <c r="A1764">
        <v>1763</v>
      </c>
      <c r="B1764" t="s">
        <v>2157</v>
      </c>
      <c r="C1764" t="s">
        <v>221</v>
      </c>
      <c r="D1764" t="str">
        <f t="shared" si="58"/>
        <v/>
      </c>
      <c r="E1764" t="str">
        <f t="shared" si="59"/>
        <v>black peter</v>
      </c>
      <c r="F1764" t="s">
        <v>5190</v>
      </c>
      <c r="G1764" t="str">
        <f>_xlfn.IFNA(VLOOKUP(F1764,songs!$B$1:$C$1539, 2, FALSE),"")</f>
        <v>Black Peter</v>
      </c>
      <c r="H1764" t="s">
        <v>221</v>
      </c>
    </row>
    <row r="1765" spans="1:8" x14ac:dyDescent="0.25">
      <c r="A1765">
        <v>1764</v>
      </c>
      <c r="B1765" t="s">
        <v>2158</v>
      </c>
      <c r="C1765" t="s">
        <v>30</v>
      </c>
      <c r="D1765" t="str">
        <f t="shared" si="58"/>
        <v/>
      </c>
      <c r="E1765" t="str">
        <f t="shared" si="59"/>
        <v>sugar magnolia</v>
      </c>
      <c r="F1765" t="s">
        <v>7150</v>
      </c>
      <c r="G1765" t="str">
        <f>_xlfn.IFNA(VLOOKUP(F1765,songs!$B$1:$C$1539, 2, FALSE),"")</f>
        <v>Sugar Magnolia</v>
      </c>
      <c r="H1765" t="s">
        <v>30</v>
      </c>
    </row>
    <row r="1766" spans="1:8" x14ac:dyDescent="0.25">
      <c r="A1766">
        <v>1765</v>
      </c>
      <c r="B1766" t="s">
        <v>2159</v>
      </c>
      <c r="C1766" t="s">
        <v>956</v>
      </c>
      <c r="D1766" t="str">
        <f t="shared" si="58"/>
        <v/>
      </c>
      <c r="E1766" t="str">
        <f t="shared" si="59"/>
        <v>one more saturday night</v>
      </c>
      <c r="F1766" t="s">
        <v>6702</v>
      </c>
      <c r="G1766" t="str">
        <f>_xlfn.IFNA(VLOOKUP(F1766,songs!$B$1:$C$1539, 2, FALSE),"")</f>
        <v>One More Saturday Night</v>
      </c>
      <c r="H1766" t="s">
        <v>956</v>
      </c>
    </row>
    <row r="1767" spans="1:8" x14ac:dyDescent="0.25">
      <c r="A1767">
        <v>1766</v>
      </c>
      <c r="B1767" t="s">
        <v>2160</v>
      </c>
      <c r="C1767" t="s">
        <v>419</v>
      </c>
      <c r="D1767" t="str">
        <f t="shared" si="58"/>
        <v/>
      </c>
      <c r="E1767" t="str">
        <f t="shared" si="59"/>
        <v>playing in the band</v>
      </c>
      <c r="F1767" t="s">
        <v>6769</v>
      </c>
      <c r="G1767" t="str">
        <f>_xlfn.IFNA(VLOOKUP(F1767,songs!$B$1:$C$1539, 2, FALSE),"")</f>
        <v>Playing In The Band</v>
      </c>
      <c r="H1767" t="s">
        <v>419</v>
      </c>
    </row>
    <row r="1768" spans="1:8" x14ac:dyDescent="0.25">
      <c r="A1768">
        <v>1767</v>
      </c>
      <c r="B1768" t="s">
        <v>2161</v>
      </c>
      <c r="C1768" t="s">
        <v>84</v>
      </c>
      <c r="D1768" t="str">
        <f t="shared" si="58"/>
        <v/>
      </c>
      <c r="E1768" t="str">
        <f t="shared" si="59"/>
        <v>china cat sunflower</v>
      </c>
      <c r="F1768" t="s">
        <v>5319</v>
      </c>
      <c r="G1768" t="str">
        <f>_xlfn.IFNA(VLOOKUP(F1768,songs!$B$1:$C$1539, 2, FALSE),"")</f>
        <v>China Cat Sunflower</v>
      </c>
      <c r="H1768" t="s">
        <v>84</v>
      </c>
    </row>
    <row r="1769" spans="1:8" x14ac:dyDescent="0.25">
      <c r="A1769">
        <v>1768</v>
      </c>
      <c r="B1769" t="s">
        <v>2162</v>
      </c>
      <c r="C1769" t="s">
        <v>86</v>
      </c>
      <c r="D1769" t="str">
        <f t="shared" si="58"/>
        <v/>
      </c>
      <c r="E1769" t="str">
        <f t="shared" si="59"/>
        <v>i know you rider</v>
      </c>
      <c r="F1769" t="s">
        <v>6020</v>
      </c>
      <c r="G1769" t="str">
        <f>_xlfn.IFNA(VLOOKUP(F1769,songs!$B$1:$C$1539, 2, FALSE),"")</f>
        <v>I Know You Rider</v>
      </c>
      <c r="H1769" t="s">
        <v>86</v>
      </c>
    </row>
    <row r="1770" spans="1:8" x14ac:dyDescent="0.25">
      <c r="A1770">
        <v>1769</v>
      </c>
      <c r="B1770" t="s">
        <v>2163</v>
      </c>
      <c r="C1770" t="s">
        <v>471</v>
      </c>
      <c r="D1770" t="str">
        <f t="shared" si="58"/>
        <v/>
      </c>
      <c r="E1770" t="str">
        <f t="shared" si="59"/>
        <v>eyes of the world</v>
      </c>
      <c r="F1770" t="s">
        <v>5633</v>
      </c>
      <c r="G1770" t="str">
        <f>_xlfn.IFNA(VLOOKUP(F1770,songs!$B$1:$C$1539, 2, FALSE),"")</f>
        <v>Eyes Of The World</v>
      </c>
      <c r="H1770" t="s">
        <v>471</v>
      </c>
    </row>
    <row r="1771" spans="1:8" x14ac:dyDescent="0.25">
      <c r="A1771">
        <v>1770</v>
      </c>
      <c r="B1771" t="s">
        <v>2164</v>
      </c>
      <c r="C1771" t="s">
        <v>73</v>
      </c>
      <c r="D1771" t="str">
        <f t="shared" si="58"/>
        <v/>
      </c>
      <c r="E1771" t="str">
        <f t="shared" si="59"/>
        <v>wharf rat</v>
      </c>
      <c r="F1771" t="s">
        <v>7664</v>
      </c>
      <c r="G1771" t="str">
        <f>_xlfn.IFNA(VLOOKUP(F1771,songs!$B$1:$C$1539, 2, FALSE),"")</f>
        <v>Wharf Rat</v>
      </c>
      <c r="H1771" t="s">
        <v>73</v>
      </c>
    </row>
    <row r="1772" spans="1:8" x14ac:dyDescent="0.25">
      <c r="A1772">
        <v>1771</v>
      </c>
      <c r="B1772" t="s">
        <v>2165</v>
      </c>
      <c r="C1772" t="s">
        <v>30</v>
      </c>
      <c r="D1772" t="str">
        <f t="shared" si="58"/>
        <v/>
      </c>
      <c r="E1772" t="str">
        <f t="shared" si="59"/>
        <v>sugar magnolia</v>
      </c>
      <c r="F1772" t="s">
        <v>7150</v>
      </c>
      <c r="G1772" t="str">
        <f>_xlfn.IFNA(VLOOKUP(F1772,songs!$B$1:$C$1539, 2, FALSE),"")</f>
        <v>Sugar Magnolia</v>
      </c>
      <c r="H1772" t="s">
        <v>30</v>
      </c>
    </row>
    <row r="1773" spans="1:8" x14ac:dyDescent="0.25">
      <c r="A1773">
        <v>1772</v>
      </c>
      <c r="B1773" t="s">
        <v>2166</v>
      </c>
      <c r="C1773" t="s">
        <v>436</v>
      </c>
      <c r="D1773" t="str">
        <f t="shared" si="58"/>
        <v/>
      </c>
      <c r="E1773" t="str">
        <f t="shared" si="59"/>
        <v>ramble on rose</v>
      </c>
      <c r="F1773" t="s">
        <v>6827</v>
      </c>
      <c r="G1773" t="str">
        <f>_xlfn.IFNA(VLOOKUP(F1773,songs!$B$1:$C$1539, 2, FALSE),"")</f>
        <v>Ramble On Rose</v>
      </c>
      <c r="H1773" t="s">
        <v>436</v>
      </c>
    </row>
    <row r="1774" spans="1:8" x14ac:dyDescent="0.25">
      <c r="A1774">
        <v>1821</v>
      </c>
      <c r="B1774" t="s">
        <v>2220</v>
      </c>
      <c r="C1774" t="s">
        <v>2221</v>
      </c>
      <c r="D1774" t="str">
        <f t="shared" si="58"/>
        <v/>
      </c>
      <c r="E1774" t="str">
        <f t="shared" si="59"/>
        <v>cc rider</v>
      </c>
      <c r="F1774" t="s">
        <v>5273</v>
      </c>
      <c r="G1774" t="str">
        <f>_xlfn.IFNA(VLOOKUP(F1774,songs!$B$1:$C$1539, 2, FALSE),"")</f>
        <v>C.C. Rider</v>
      </c>
      <c r="H1774" t="s">
        <v>7867</v>
      </c>
    </row>
    <row r="1775" spans="1:8" x14ac:dyDescent="0.25">
      <c r="A1775">
        <v>1838</v>
      </c>
      <c r="B1775" t="s">
        <v>2241</v>
      </c>
      <c r="C1775" t="s">
        <v>2242</v>
      </c>
      <c r="D1775" t="str">
        <f t="shared" si="58"/>
        <v/>
      </c>
      <c r="E1775" t="str">
        <f t="shared" si="59"/>
        <v>the mighty quinn (quinn the eskimo)</v>
      </c>
      <c r="F1775" t="s">
        <v>6805</v>
      </c>
      <c r="G1775" t="str">
        <f>_xlfn.IFNA(VLOOKUP(F1775,songs!$B$1:$C$1539, 2, FALSE),"")</f>
        <v>Quinn The Eskimo</v>
      </c>
      <c r="H1775" t="s">
        <v>7867</v>
      </c>
    </row>
    <row r="1776" spans="1:8" x14ac:dyDescent="0.25">
      <c r="A1776">
        <v>1775</v>
      </c>
      <c r="B1776" t="s">
        <v>2171</v>
      </c>
      <c r="C1776" t="s">
        <v>431</v>
      </c>
      <c r="D1776" t="str">
        <f t="shared" si="58"/>
        <v/>
      </c>
      <c r="E1776" t="str">
        <f t="shared" si="59"/>
        <v>beat it on down the line</v>
      </c>
      <c r="F1776" t="s">
        <v>5149</v>
      </c>
      <c r="G1776" t="str">
        <f>_xlfn.IFNA(VLOOKUP(F1776,songs!$B$1:$C$1539, 2, FALSE),"")</f>
        <v>Beat It On Down The Line</v>
      </c>
      <c r="H1776" t="s">
        <v>431</v>
      </c>
    </row>
    <row r="1777" spans="1:8" x14ac:dyDescent="0.25">
      <c r="A1777">
        <v>1776</v>
      </c>
      <c r="B1777" t="s">
        <v>2172</v>
      </c>
      <c r="C1777" t="s">
        <v>188</v>
      </c>
      <c r="D1777" t="str">
        <f t="shared" si="58"/>
        <v/>
      </c>
      <c r="E1777" t="str">
        <f t="shared" si="59"/>
        <v>row jimmy</v>
      </c>
      <c r="F1777" t="s">
        <v>6893</v>
      </c>
      <c r="G1777" t="str">
        <f>_xlfn.IFNA(VLOOKUP(F1777,songs!$B$1:$C$1539, 2, FALSE),"")</f>
        <v>Row Jimmy</v>
      </c>
      <c r="H1777" t="s">
        <v>188</v>
      </c>
    </row>
    <row r="1778" spans="1:8" x14ac:dyDescent="0.25">
      <c r="A1778">
        <v>1777</v>
      </c>
      <c r="B1778" t="s">
        <v>2173</v>
      </c>
      <c r="C1778" t="s">
        <v>199</v>
      </c>
      <c r="D1778" t="str">
        <f t="shared" si="58"/>
        <v/>
      </c>
      <c r="E1778" t="str">
        <f t="shared" si="59"/>
        <v>jack straw</v>
      </c>
      <c r="F1778" t="s">
        <v>6161</v>
      </c>
      <c r="G1778" t="str">
        <f>_xlfn.IFNA(VLOOKUP(F1778,songs!$B$1:$C$1539, 2, FALSE),"")</f>
        <v>Jack Straw</v>
      </c>
      <c r="H1778" t="s">
        <v>199</v>
      </c>
    </row>
    <row r="1779" spans="1:8" x14ac:dyDescent="0.25">
      <c r="A1779">
        <v>1778</v>
      </c>
      <c r="B1779" t="s">
        <v>2174</v>
      </c>
      <c r="C1779" t="s">
        <v>2175</v>
      </c>
      <c r="D1779" t="str">
        <f t="shared" si="58"/>
        <v/>
      </c>
      <c r="E1779" t="str">
        <f t="shared" si="59"/>
        <v>let it rock</v>
      </c>
      <c r="F1779" t="s">
        <v>6309</v>
      </c>
      <c r="G1779" t="str">
        <f>_xlfn.IFNA(VLOOKUP(F1779,songs!$B$1:$C$1539, 2, FALSE),"")</f>
        <v>Let It Rock</v>
      </c>
      <c r="H1779" t="s">
        <v>2175</v>
      </c>
    </row>
    <row r="1780" spans="1:8" x14ac:dyDescent="0.25">
      <c r="A1780">
        <v>1779</v>
      </c>
      <c r="B1780" t="s">
        <v>2176</v>
      </c>
      <c r="C1780" t="s">
        <v>225</v>
      </c>
      <c r="D1780" t="str">
        <f t="shared" si="58"/>
        <v/>
      </c>
      <c r="E1780" t="str">
        <f t="shared" si="59"/>
        <v>cumberland blues</v>
      </c>
      <c r="F1780" t="s">
        <v>5411</v>
      </c>
      <c r="G1780" t="str">
        <f>_xlfn.IFNA(VLOOKUP(F1780,songs!$B$1:$C$1539, 2, FALSE),"")</f>
        <v>Cumberland Blues</v>
      </c>
      <c r="H1780" t="s">
        <v>225</v>
      </c>
    </row>
    <row r="1781" spans="1:8" x14ac:dyDescent="0.25">
      <c r="A1781">
        <v>1780</v>
      </c>
      <c r="B1781" t="s">
        <v>2177</v>
      </c>
      <c r="C1781" t="s">
        <v>327</v>
      </c>
      <c r="D1781" t="str">
        <f t="shared" si="58"/>
        <v/>
      </c>
      <c r="E1781" t="str">
        <f t="shared" si="59"/>
        <v>el paso</v>
      </c>
      <c r="F1781" t="s">
        <v>5600</v>
      </c>
      <c r="G1781" t="str">
        <f>_xlfn.IFNA(VLOOKUP(F1781,songs!$B$1:$C$1539, 2, FALSE),"")</f>
        <v>El Paso</v>
      </c>
      <c r="H1781" t="s">
        <v>327</v>
      </c>
    </row>
    <row r="1782" spans="1:8" x14ac:dyDescent="0.25">
      <c r="A1782">
        <v>1781</v>
      </c>
      <c r="B1782" t="s">
        <v>2178</v>
      </c>
      <c r="C1782" t="s">
        <v>365</v>
      </c>
      <c r="D1782" t="str">
        <f t="shared" ref="D1782:D1845" si="60">IF(RIGHT(TRIM(C1782),2)="-&gt;","&gt;",IF(RIGHT(TRIM(C1782),1)="&gt;","&gt;",""))</f>
        <v/>
      </c>
      <c r="E1782" t="str">
        <f t="shared" si="59"/>
        <v>to lay me down</v>
      </c>
      <c r="F1782" t="s">
        <v>7397</v>
      </c>
      <c r="G1782" t="str">
        <f>_xlfn.IFNA(VLOOKUP(F1782,songs!$B$1:$C$1539, 2, FALSE),"")</f>
        <v>To Lay Me Down</v>
      </c>
      <c r="H1782" t="s">
        <v>365</v>
      </c>
    </row>
    <row r="1783" spans="1:8" x14ac:dyDescent="0.25">
      <c r="A1783">
        <v>1841</v>
      </c>
      <c r="B1783" t="s">
        <v>2245</v>
      </c>
      <c r="C1783" t="s">
        <v>2246</v>
      </c>
      <c r="D1783" t="str">
        <f t="shared" si="60"/>
        <v/>
      </c>
      <c r="E1783" t="str">
        <f t="shared" si="59"/>
        <v>west la fadeaway</v>
      </c>
      <c r="F1783" t="s">
        <v>7663</v>
      </c>
      <c r="G1783" t="str">
        <f>_xlfn.IFNA(VLOOKUP(F1783,songs!$B$1:$C$1539, 2, FALSE),"")</f>
        <v>West L.A. Fadeaway</v>
      </c>
      <c r="H1783" t="s">
        <v>7867</v>
      </c>
    </row>
    <row r="1784" spans="1:8" x14ac:dyDescent="0.25">
      <c r="A1784">
        <v>1783</v>
      </c>
      <c r="B1784" t="s">
        <v>2180</v>
      </c>
      <c r="C1784" t="s">
        <v>304</v>
      </c>
      <c r="D1784" t="str">
        <f t="shared" si="60"/>
        <v/>
      </c>
      <c r="E1784" t="str">
        <f t="shared" si="59"/>
        <v>china doll</v>
      </c>
      <c r="F1784" t="s">
        <v>5320</v>
      </c>
      <c r="G1784" t="str">
        <f>_xlfn.IFNA(VLOOKUP(F1784,songs!$B$1:$C$1539, 2, FALSE),"")</f>
        <v>China Doll</v>
      </c>
      <c r="H1784" t="s">
        <v>304</v>
      </c>
    </row>
    <row r="1785" spans="1:8" x14ac:dyDescent="0.25">
      <c r="A1785">
        <v>1784</v>
      </c>
      <c r="B1785" t="s">
        <v>2181</v>
      </c>
      <c r="C1785" t="s">
        <v>360</v>
      </c>
      <c r="D1785" t="str">
        <f t="shared" si="60"/>
        <v/>
      </c>
      <c r="E1785" t="str">
        <f t="shared" si="59"/>
        <v>seastones</v>
      </c>
      <c r="F1785" t="s">
        <v>6957</v>
      </c>
      <c r="G1785" t="str">
        <f>_xlfn.IFNA(VLOOKUP(F1785,songs!$B$1:$C$1539, 2, FALSE),"")</f>
        <v>Seastones</v>
      </c>
      <c r="H1785" t="s">
        <v>360</v>
      </c>
    </row>
    <row r="1786" spans="1:8" x14ac:dyDescent="0.25">
      <c r="A1786">
        <v>1785</v>
      </c>
      <c r="B1786" t="s">
        <v>2182</v>
      </c>
      <c r="C1786" t="s">
        <v>19</v>
      </c>
      <c r="D1786" t="str">
        <f t="shared" si="60"/>
        <v/>
      </c>
      <c r="E1786" t="str">
        <f t="shared" si="59"/>
        <v>jam</v>
      </c>
      <c r="F1786" t="s">
        <v>6165</v>
      </c>
      <c r="G1786" t="str">
        <f>_xlfn.IFNA(VLOOKUP(F1786,songs!$B$1:$C$1539, 2, FALSE),"")</f>
        <v>Jam</v>
      </c>
      <c r="H1786" t="s">
        <v>19</v>
      </c>
    </row>
    <row r="1787" spans="1:8" x14ac:dyDescent="0.25">
      <c r="A1787">
        <v>1786</v>
      </c>
      <c r="B1787" t="s">
        <v>2183</v>
      </c>
      <c r="C1787" t="s">
        <v>866</v>
      </c>
      <c r="D1787" t="str">
        <f t="shared" si="60"/>
        <v/>
      </c>
      <c r="E1787" t="str">
        <f t="shared" si="59"/>
        <v>ship of fools</v>
      </c>
      <c r="F1787" t="s">
        <v>6999</v>
      </c>
      <c r="G1787" t="str">
        <f>_xlfn.IFNA(VLOOKUP(F1787,songs!$B$1:$C$1539, 2, FALSE),"")</f>
        <v>Ship Of Fools</v>
      </c>
      <c r="H1787" t="s">
        <v>866</v>
      </c>
    </row>
    <row r="1788" spans="1:8" x14ac:dyDescent="0.25">
      <c r="A1788">
        <v>1787</v>
      </c>
      <c r="B1788" t="s">
        <v>2184</v>
      </c>
      <c r="C1788" t="s">
        <v>3</v>
      </c>
      <c r="D1788" t="str">
        <f t="shared" si="60"/>
        <v/>
      </c>
      <c r="E1788" t="str">
        <f t="shared" si="59"/>
        <v>big river</v>
      </c>
      <c r="F1788" t="s">
        <v>5175</v>
      </c>
      <c r="G1788" t="str">
        <f>_xlfn.IFNA(VLOOKUP(F1788,songs!$B$1:$C$1539, 2, FALSE),"")</f>
        <v>Big River</v>
      </c>
      <c r="H1788" t="s">
        <v>3</v>
      </c>
    </row>
    <row r="1789" spans="1:8" x14ac:dyDescent="0.25">
      <c r="A1789">
        <v>1788</v>
      </c>
      <c r="B1789" t="s">
        <v>2185</v>
      </c>
      <c r="C1789" t="s">
        <v>221</v>
      </c>
      <c r="D1789" t="str">
        <f t="shared" si="60"/>
        <v/>
      </c>
      <c r="E1789" t="str">
        <f t="shared" si="59"/>
        <v>black peter</v>
      </c>
      <c r="F1789" t="s">
        <v>5190</v>
      </c>
      <c r="G1789" t="str">
        <f>_xlfn.IFNA(VLOOKUP(F1789,songs!$B$1:$C$1539, 2, FALSE),"")</f>
        <v>Black Peter</v>
      </c>
      <c r="H1789" t="s">
        <v>221</v>
      </c>
    </row>
    <row r="1790" spans="1:8" x14ac:dyDescent="0.25">
      <c r="A1790">
        <v>1789</v>
      </c>
      <c r="B1790" t="s">
        <v>2186</v>
      </c>
      <c r="C1790" t="s">
        <v>579</v>
      </c>
      <c r="D1790" t="str">
        <f t="shared" si="60"/>
        <v/>
      </c>
      <c r="E1790" t="str">
        <f t="shared" si="59"/>
        <v>around and around</v>
      </c>
      <c r="F1790" t="s">
        <v>5103</v>
      </c>
      <c r="G1790" t="str">
        <f>_xlfn.IFNA(VLOOKUP(F1790,songs!$B$1:$C$1539, 2, FALSE),"")</f>
        <v>Around And Around</v>
      </c>
      <c r="H1790" t="s">
        <v>579</v>
      </c>
    </row>
    <row r="1791" spans="1:8" x14ac:dyDescent="0.25">
      <c r="A1791">
        <v>1843</v>
      </c>
      <c r="B1791" t="s">
        <v>2248</v>
      </c>
      <c r="C1791" t="s">
        <v>615</v>
      </c>
      <c r="D1791" t="str">
        <f t="shared" si="60"/>
        <v/>
      </c>
      <c r="E1791" t="str">
        <f t="shared" si="59"/>
        <v>brown-eyed women</v>
      </c>
      <c r="F1791" t="s">
        <v>5255</v>
      </c>
      <c r="G1791" t="str">
        <f>_xlfn.IFNA(VLOOKUP(F1791,songs!$B$1:$C$1539, 2, FALSE),"")</f>
        <v>Brown Eyed Women</v>
      </c>
      <c r="H1791" t="s">
        <v>7867</v>
      </c>
    </row>
    <row r="1792" spans="1:8" x14ac:dyDescent="0.25">
      <c r="A1792">
        <v>1791</v>
      </c>
      <c r="B1792" t="s">
        <v>2189</v>
      </c>
      <c r="C1792" t="s">
        <v>177</v>
      </c>
      <c r="D1792" t="str">
        <f t="shared" si="60"/>
        <v/>
      </c>
      <c r="E1792" t="str">
        <f t="shared" si="59"/>
        <v>spanish jam</v>
      </c>
      <c r="F1792" t="s">
        <v>7094</v>
      </c>
      <c r="G1792" t="str">
        <f>_xlfn.IFNA(VLOOKUP(F1792,songs!$B$1:$C$1539, 2, FALSE),"")</f>
        <v>Spanish Jam</v>
      </c>
      <c r="H1792" t="s">
        <v>177</v>
      </c>
    </row>
    <row r="1793" spans="1:8" x14ac:dyDescent="0.25">
      <c r="A1793">
        <v>1792</v>
      </c>
      <c r="B1793" t="s">
        <v>2190</v>
      </c>
      <c r="C1793" t="s">
        <v>183</v>
      </c>
      <c r="D1793" t="str">
        <f t="shared" si="60"/>
        <v/>
      </c>
      <c r="E1793" t="str">
        <f t="shared" si="59"/>
        <v>u.s. blues</v>
      </c>
      <c r="F1793" t="s">
        <v>7464</v>
      </c>
      <c r="G1793" t="str">
        <f>_xlfn.IFNA(VLOOKUP(F1793,songs!$B$1:$C$1539, 2, FALSE),"")</f>
        <v>U.S. Blues</v>
      </c>
      <c r="H1793" t="s">
        <v>183</v>
      </c>
    </row>
    <row r="1794" spans="1:8" x14ac:dyDescent="0.25">
      <c r="A1794">
        <v>1793</v>
      </c>
      <c r="B1794" t="s">
        <v>2191</v>
      </c>
      <c r="C1794" t="s">
        <v>133</v>
      </c>
      <c r="D1794" t="str">
        <f t="shared" si="60"/>
        <v/>
      </c>
      <c r="E1794" t="str">
        <f t="shared" si="59"/>
        <v>uncle john's band</v>
      </c>
      <c r="F1794" t="s">
        <v>7466</v>
      </c>
      <c r="G1794" t="str">
        <f>_xlfn.IFNA(VLOOKUP(F1794,songs!$B$1:$C$1539, 2, FALSE),"")</f>
        <v>Uncle John's Band</v>
      </c>
      <c r="H1794" t="s">
        <v>133</v>
      </c>
    </row>
    <row r="1795" spans="1:8" x14ac:dyDescent="0.25">
      <c r="A1795">
        <v>1794</v>
      </c>
      <c r="B1795" t="s">
        <v>2192</v>
      </c>
      <c r="C1795" t="s">
        <v>956</v>
      </c>
      <c r="D1795" t="str">
        <f t="shared" si="60"/>
        <v/>
      </c>
      <c r="E1795" t="str">
        <f t="shared" si="59"/>
        <v>one more saturday night</v>
      </c>
      <c r="F1795" t="s">
        <v>6702</v>
      </c>
      <c r="G1795" t="str">
        <f>_xlfn.IFNA(VLOOKUP(F1795,songs!$B$1:$C$1539, 2, FALSE),"")</f>
        <v>One More Saturday Night</v>
      </c>
      <c r="H1795" t="s">
        <v>956</v>
      </c>
    </row>
    <row r="1796" spans="1:8" x14ac:dyDescent="0.25">
      <c r="A1796">
        <v>1795</v>
      </c>
      <c r="B1796" t="s">
        <v>2193</v>
      </c>
      <c r="C1796" t="s">
        <v>81</v>
      </c>
      <c r="D1796" t="str">
        <f t="shared" si="60"/>
        <v/>
      </c>
      <c r="E1796" t="str">
        <f t="shared" ref="E1796:E1859" si="61">LOWER(TRIM(SUBSTITUTE(IF(RIGHT(TRIM(C1796),2)="-&gt;",LEFT(TRIM(C1796),LEN(TRIM(C1796))-2),IF(RIGHT(TRIM(C1796),1)="&gt;",LEFT(TRIM(C1796),LEN(TRIM(C1796))-1),C1796)),"//","")))</f>
        <v>casey jones</v>
      </c>
      <c r="F1796" t="s">
        <v>5290</v>
      </c>
      <c r="G1796" t="str">
        <f>_xlfn.IFNA(VLOOKUP(F1796,songs!$B$1:$C$1539, 2, FALSE),"")</f>
        <v>Casey Jones</v>
      </c>
      <c r="H1796" t="s">
        <v>81</v>
      </c>
    </row>
    <row r="1797" spans="1:8" x14ac:dyDescent="0.25">
      <c r="A1797">
        <v>1796</v>
      </c>
      <c r="B1797" t="s">
        <v>2194</v>
      </c>
      <c r="C1797" t="s">
        <v>853</v>
      </c>
      <c r="D1797" t="str">
        <f t="shared" si="60"/>
        <v/>
      </c>
      <c r="E1797" t="str">
        <f t="shared" si="61"/>
        <v>feel like a stranger</v>
      </c>
      <c r="F1797" t="s">
        <v>5658</v>
      </c>
      <c r="G1797" t="str">
        <f>_xlfn.IFNA(VLOOKUP(F1797,songs!$B$1:$C$1539, 2, FALSE),"")</f>
        <v>Feel Like A Stranger</v>
      </c>
      <c r="H1797" t="s">
        <v>853</v>
      </c>
    </row>
    <row r="1798" spans="1:8" x14ac:dyDescent="0.25">
      <c r="A1798">
        <v>1797</v>
      </c>
      <c r="B1798" t="s">
        <v>2195</v>
      </c>
      <c r="C1798" t="s">
        <v>113</v>
      </c>
      <c r="D1798" t="str">
        <f t="shared" si="60"/>
        <v/>
      </c>
      <c r="E1798" t="str">
        <f t="shared" si="61"/>
        <v>cold rain and snow</v>
      </c>
      <c r="F1798" t="s">
        <v>5347</v>
      </c>
      <c r="G1798" t="str">
        <f>_xlfn.IFNA(VLOOKUP(F1798,songs!$B$1:$C$1539, 2, FALSE),"")</f>
        <v>Cold Rain And Snow</v>
      </c>
      <c r="H1798" t="s">
        <v>429</v>
      </c>
    </row>
    <row r="1799" spans="1:8" x14ac:dyDescent="0.25">
      <c r="A1799">
        <v>1798</v>
      </c>
      <c r="B1799" t="s">
        <v>2196</v>
      </c>
      <c r="C1799" t="s">
        <v>802</v>
      </c>
      <c r="D1799" t="str">
        <f t="shared" si="60"/>
        <v/>
      </c>
      <c r="E1799" t="str">
        <f t="shared" si="61"/>
        <v>beat it on down the line</v>
      </c>
      <c r="F1799" t="s">
        <v>5149</v>
      </c>
      <c r="G1799" t="str">
        <f>_xlfn.IFNA(VLOOKUP(F1799,songs!$B$1:$C$1539, 2, FALSE),"")</f>
        <v>Beat It On Down The Line</v>
      </c>
      <c r="H1799" t="s">
        <v>431</v>
      </c>
    </row>
    <row r="1800" spans="1:8" x14ac:dyDescent="0.25">
      <c r="A1800">
        <v>1799</v>
      </c>
      <c r="B1800" t="s">
        <v>2197</v>
      </c>
      <c r="C1800" t="s">
        <v>225</v>
      </c>
      <c r="D1800" t="str">
        <f t="shared" si="60"/>
        <v/>
      </c>
      <c r="E1800" t="str">
        <f t="shared" si="61"/>
        <v>cumberland blues</v>
      </c>
      <c r="F1800" t="s">
        <v>5411</v>
      </c>
      <c r="G1800" t="str">
        <f>_xlfn.IFNA(VLOOKUP(F1800,songs!$B$1:$C$1539, 2, FALSE),"")</f>
        <v>Cumberland Blues</v>
      </c>
      <c r="H1800" t="s">
        <v>225</v>
      </c>
    </row>
    <row r="1801" spans="1:8" x14ac:dyDescent="0.25">
      <c r="A1801">
        <v>1800</v>
      </c>
      <c r="B1801" t="s">
        <v>2198</v>
      </c>
      <c r="C1801" t="s">
        <v>255</v>
      </c>
      <c r="D1801" t="str">
        <f t="shared" si="60"/>
        <v/>
      </c>
      <c r="E1801" t="str">
        <f t="shared" si="61"/>
        <v>little red rooster</v>
      </c>
      <c r="F1801" t="s">
        <v>6360</v>
      </c>
      <c r="G1801" t="str">
        <f>_xlfn.IFNA(VLOOKUP(F1801,songs!$B$1:$C$1539, 2, FALSE),"")</f>
        <v>Little Red Rooster</v>
      </c>
      <c r="H1801" t="s">
        <v>255</v>
      </c>
    </row>
    <row r="1802" spans="1:8" x14ac:dyDescent="0.25">
      <c r="A1802">
        <v>1856</v>
      </c>
      <c r="B1802" t="s">
        <v>2262</v>
      </c>
      <c r="C1802" t="s">
        <v>2138</v>
      </c>
      <c r="D1802" t="str">
        <f t="shared" si="60"/>
        <v/>
      </c>
      <c r="E1802" t="str">
        <f t="shared" si="61"/>
        <v>johnny b goode</v>
      </c>
      <c r="F1802" t="s">
        <v>6192</v>
      </c>
      <c r="G1802" t="str">
        <f>_xlfn.IFNA(VLOOKUP(F1802,songs!$B$1:$C$1539, 2, FALSE),"")</f>
        <v>Johnny B. Goode</v>
      </c>
      <c r="H1802" t="s">
        <v>7867</v>
      </c>
    </row>
    <row r="1803" spans="1:8" x14ac:dyDescent="0.25">
      <c r="A1803">
        <v>1802</v>
      </c>
      <c r="B1803" t="s">
        <v>2200</v>
      </c>
      <c r="C1803" t="s">
        <v>2201</v>
      </c>
      <c r="D1803" t="str">
        <f t="shared" si="60"/>
        <v/>
      </c>
      <c r="E1803" t="str">
        <f t="shared" si="61"/>
        <v>my brother esau</v>
      </c>
      <c r="F1803" t="s">
        <v>6590</v>
      </c>
      <c r="G1803" t="str">
        <f>_xlfn.IFNA(VLOOKUP(F1803,songs!$B$1:$C$1539, 2, FALSE),"")</f>
        <v>My Brother Esau</v>
      </c>
      <c r="H1803" t="s">
        <v>2201</v>
      </c>
    </row>
    <row r="1804" spans="1:8" x14ac:dyDescent="0.25">
      <c r="A1804">
        <v>1803</v>
      </c>
      <c r="B1804" t="s">
        <v>2202</v>
      </c>
      <c r="C1804" t="s">
        <v>1463</v>
      </c>
      <c r="D1804" t="str">
        <f t="shared" si="60"/>
        <v/>
      </c>
      <c r="E1804" t="str">
        <f t="shared" si="61"/>
        <v>it must have been the roses</v>
      </c>
      <c r="F1804" t="s">
        <v>6128</v>
      </c>
      <c r="G1804" t="str">
        <f>_xlfn.IFNA(VLOOKUP(F1804,songs!$B$1:$C$1539, 2, FALSE),"")</f>
        <v>It Must Have Been The Roses</v>
      </c>
      <c r="H1804" t="s">
        <v>1057</v>
      </c>
    </row>
    <row r="1805" spans="1:8" x14ac:dyDescent="0.25">
      <c r="A1805">
        <v>1804</v>
      </c>
      <c r="B1805" t="s">
        <v>2203</v>
      </c>
      <c r="C1805" t="s">
        <v>389</v>
      </c>
      <c r="D1805" t="str">
        <f t="shared" si="60"/>
        <v/>
      </c>
      <c r="E1805" t="str">
        <f t="shared" si="61"/>
        <v>let it grow</v>
      </c>
      <c r="F1805" t="s">
        <v>6308</v>
      </c>
      <c r="G1805" t="str">
        <f>_xlfn.IFNA(VLOOKUP(F1805,songs!$B$1:$C$1539, 2, FALSE),"")</f>
        <v>Let It Grow</v>
      </c>
      <c r="H1805" t="s">
        <v>389</v>
      </c>
    </row>
    <row r="1806" spans="1:8" x14ac:dyDescent="0.25">
      <c r="A1806">
        <v>1805</v>
      </c>
      <c r="B1806" t="s">
        <v>2204</v>
      </c>
      <c r="C1806" t="s">
        <v>170</v>
      </c>
      <c r="D1806" t="str">
        <f t="shared" si="60"/>
        <v/>
      </c>
      <c r="E1806" t="str">
        <f t="shared" si="61"/>
        <v>scarlet begonias</v>
      </c>
      <c r="F1806" t="s">
        <v>6944</v>
      </c>
      <c r="G1806" t="str">
        <f>_xlfn.IFNA(VLOOKUP(F1806,songs!$B$1:$C$1539, 2, FALSE),"")</f>
        <v>Scarlet Begonias</v>
      </c>
      <c r="H1806" t="s">
        <v>170</v>
      </c>
    </row>
    <row r="1807" spans="1:8" x14ac:dyDescent="0.25">
      <c r="A1807">
        <v>1806</v>
      </c>
      <c r="B1807" t="s">
        <v>2205</v>
      </c>
      <c r="C1807" t="s">
        <v>172</v>
      </c>
      <c r="D1807" t="str">
        <f t="shared" si="60"/>
        <v/>
      </c>
      <c r="E1807" t="str">
        <f t="shared" si="61"/>
        <v>fire on the mountain</v>
      </c>
      <c r="F1807" t="s">
        <v>5675</v>
      </c>
      <c r="G1807" t="str">
        <f>_xlfn.IFNA(VLOOKUP(F1807,songs!$B$1:$C$1539, 2, FALSE),"")</f>
        <v>Fire On The Mountain</v>
      </c>
      <c r="H1807" t="s">
        <v>573</v>
      </c>
    </row>
    <row r="1808" spans="1:8" x14ac:dyDescent="0.25">
      <c r="A1808">
        <v>1807</v>
      </c>
      <c r="B1808" t="s">
        <v>2206</v>
      </c>
      <c r="C1808" t="s">
        <v>65</v>
      </c>
      <c r="D1808" t="str">
        <f t="shared" si="60"/>
        <v/>
      </c>
      <c r="E1808" t="str">
        <f t="shared" si="61"/>
        <v>samson and delilah</v>
      </c>
      <c r="F1808" t="s">
        <v>6925</v>
      </c>
      <c r="G1808" t="str">
        <f>_xlfn.IFNA(VLOOKUP(F1808,songs!$B$1:$C$1539, 2, FALSE),"")</f>
        <v>Samson And Delilah</v>
      </c>
      <c r="H1808" t="s">
        <v>266</v>
      </c>
    </row>
    <row r="1809" spans="1:8" x14ac:dyDescent="0.25">
      <c r="A1809">
        <v>1808</v>
      </c>
      <c r="B1809" t="s">
        <v>2207</v>
      </c>
      <c r="C1809" t="s">
        <v>100</v>
      </c>
      <c r="D1809" t="str">
        <f t="shared" si="60"/>
        <v/>
      </c>
      <c r="E1809" t="str">
        <f t="shared" si="61"/>
        <v>drums</v>
      </c>
      <c r="F1809" t="s">
        <v>5568</v>
      </c>
      <c r="G1809" t="str">
        <f>_xlfn.IFNA(VLOOKUP(F1809,songs!$B$1:$C$1539, 2, FALSE),"")</f>
        <v>Drums</v>
      </c>
      <c r="H1809" t="s">
        <v>100</v>
      </c>
    </row>
    <row r="1810" spans="1:8" x14ac:dyDescent="0.25">
      <c r="A1810">
        <v>1809</v>
      </c>
      <c r="B1810" t="s">
        <v>2208</v>
      </c>
      <c r="C1810" t="s">
        <v>277</v>
      </c>
      <c r="D1810" t="str">
        <f t="shared" si="60"/>
        <v/>
      </c>
      <c r="E1810" t="str">
        <f t="shared" si="61"/>
        <v>space</v>
      </c>
      <c r="F1810" t="s">
        <v>7091</v>
      </c>
      <c r="G1810" t="str">
        <f>_xlfn.IFNA(VLOOKUP(F1810,songs!$B$1:$C$1539, 2, FALSE),"")</f>
        <v>Space</v>
      </c>
      <c r="H1810" t="s">
        <v>277</v>
      </c>
    </row>
    <row r="1811" spans="1:8" x14ac:dyDescent="0.25">
      <c r="A1811">
        <v>1810</v>
      </c>
      <c r="B1811" t="s">
        <v>2209</v>
      </c>
      <c r="C1811" t="s">
        <v>567</v>
      </c>
      <c r="D1811" t="str">
        <f t="shared" si="60"/>
        <v/>
      </c>
      <c r="E1811" t="str">
        <f t="shared" si="61"/>
        <v>the wheel</v>
      </c>
      <c r="F1811" t="s">
        <v>7343</v>
      </c>
      <c r="G1811" t="str">
        <f>_xlfn.IFNA(VLOOKUP(F1811,songs!$B$1:$C$1539, 2, FALSE),"")</f>
        <v>The Wheel</v>
      </c>
      <c r="H1811" t="s">
        <v>567</v>
      </c>
    </row>
    <row r="1812" spans="1:8" x14ac:dyDescent="0.25">
      <c r="A1812">
        <v>1811</v>
      </c>
      <c r="B1812" t="s">
        <v>2210</v>
      </c>
      <c r="C1812" t="s">
        <v>73</v>
      </c>
      <c r="D1812" t="str">
        <f t="shared" si="60"/>
        <v/>
      </c>
      <c r="E1812" t="str">
        <f t="shared" si="61"/>
        <v>wharf rat</v>
      </c>
      <c r="F1812" t="s">
        <v>7664</v>
      </c>
      <c r="G1812" t="str">
        <f>_xlfn.IFNA(VLOOKUP(F1812,songs!$B$1:$C$1539, 2, FALSE),"")</f>
        <v>Wharf Rat</v>
      </c>
      <c r="H1812" t="s">
        <v>73</v>
      </c>
    </row>
    <row r="1813" spans="1:8" x14ac:dyDescent="0.25">
      <c r="A1813">
        <v>1812</v>
      </c>
      <c r="B1813" t="s">
        <v>2211</v>
      </c>
      <c r="C1813" t="s">
        <v>30</v>
      </c>
      <c r="D1813" t="str">
        <f t="shared" si="60"/>
        <v/>
      </c>
      <c r="E1813" t="str">
        <f t="shared" si="61"/>
        <v>sugar magnolia</v>
      </c>
      <c r="F1813" t="s">
        <v>7150</v>
      </c>
      <c r="G1813" t="str">
        <f>_xlfn.IFNA(VLOOKUP(F1813,songs!$B$1:$C$1539, 2, FALSE),"")</f>
        <v>Sugar Magnolia</v>
      </c>
      <c r="H1813" t="s">
        <v>30</v>
      </c>
    </row>
    <row r="1814" spans="1:8" x14ac:dyDescent="0.25">
      <c r="A1814">
        <v>1813</v>
      </c>
      <c r="B1814" t="s">
        <v>2212</v>
      </c>
      <c r="C1814" t="s">
        <v>277</v>
      </c>
      <c r="D1814" t="str">
        <f t="shared" si="60"/>
        <v/>
      </c>
      <c r="E1814" t="str">
        <f t="shared" si="61"/>
        <v>space</v>
      </c>
      <c r="F1814" t="s">
        <v>7091</v>
      </c>
      <c r="G1814" t="str">
        <f>_xlfn.IFNA(VLOOKUP(F1814,songs!$B$1:$C$1539, 2, FALSE),"")</f>
        <v>Space</v>
      </c>
      <c r="H1814" t="s">
        <v>277</v>
      </c>
    </row>
    <row r="1815" spans="1:8" x14ac:dyDescent="0.25">
      <c r="A1815">
        <v>1814</v>
      </c>
      <c r="B1815" t="s">
        <v>2213</v>
      </c>
      <c r="C1815" t="s">
        <v>283</v>
      </c>
      <c r="D1815" t="str">
        <f t="shared" si="60"/>
        <v/>
      </c>
      <c r="E1815" t="str">
        <f t="shared" si="61"/>
        <v>i need a miracle</v>
      </c>
      <c r="F1815" t="s">
        <v>6021</v>
      </c>
      <c r="G1815" t="str">
        <f>_xlfn.IFNA(VLOOKUP(F1815,songs!$B$1:$C$1539, 2, FALSE),"")</f>
        <v>I Need A Miracle</v>
      </c>
      <c r="H1815" t="s">
        <v>2237</v>
      </c>
    </row>
    <row r="1816" spans="1:8" x14ac:dyDescent="0.25">
      <c r="A1816">
        <v>1815</v>
      </c>
      <c r="B1816" t="s">
        <v>2214</v>
      </c>
      <c r="C1816" t="s">
        <v>212</v>
      </c>
      <c r="D1816" t="str">
        <f t="shared" si="60"/>
        <v/>
      </c>
      <c r="E1816" t="str">
        <f t="shared" si="61"/>
        <v>morning dew</v>
      </c>
      <c r="F1816" t="s">
        <v>6555</v>
      </c>
      <c r="G1816" t="str">
        <f>_xlfn.IFNA(VLOOKUP(F1816,songs!$B$1:$C$1539, 2, FALSE),"")</f>
        <v>Morning Dew</v>
      </c>
      <c r="H1816" t="s">
        <v>212</v>
      </c>
    </row>
    <row r="1817" spans="1:8" x14ac:dyDescent="0.25">
      <c r="A1817">
        <v>1816</v>
      </c>
      <c r="B1817" t="s">
        <v>2215</v>
      </c>
      <c r="C1817" t="s">
        <v>26</v>
      </c>
      <c r="D1817" t="str">
        <f t="shared" si="60"/>
        <v/>
      </c>
      <c r="E1817" t="str">
        <f t="shared" si="61"/>
        <v>around and around</v>
      </c>
      <c r="F1817" t="s">
        <v>5103</v>
      </c>
      <c r="G1817" t="str">
        <f>_xlfn.IFNA(VLOOKUP(F1817,songs!$B$1:$C$1539, 2, FALSE),"")</f>
        <v>Around And Around</v>
      </c>
      <c r="H1817" t="s">
        <v>579</v>
      </c>
    </row>
    <row r="1818" spans="1:8" x14ac:dyDescent="0.25">
      <c r="A1818">
        <v>1817</v>
      </c>
      <c r="B1818" t="s">
        <v>2216</v>
      </c>
      <c r="C1818" t="s">
        <v>148</v>
      </c>
      <c r="D1818" t="str">
        <f t="shared" si="60"/>
        <v/>
      </c>
      <c r="E1818" t="str">
        <f t="shared" si="61"/>
        <v>johnny b. goode</v>
      </c>
      <c r="F1818" t="s">
        <v>6192</v>
      </c>
      <c r="G1818" t="str">
        <f>_xlfn.IFNA(VLOOKUP(F1818,songs!$B$1:$C$1539, 2, FALSE),"")</f>
        <v>Johnny B. Goode</v>
      </c>
      <c r="H1818" t="s">
        <v>148</v>
      </c>
    </row>
    <row r="1819" spans="1:8" x14ac:dyDescent="0.25">
      <c r="A1819">
        <v>1861</v>
      </c>
      <c r="B1819" t="s">
        <v>2267</v>
      </c>
      <c r="C1819" t="s">
        <v>615</v>
      </c>
      <c r="D1819" t="str">
        <f t="shared" si="60"/>
        <v/>
      </c>
      <c r="E1819" t="str">
        <f t="shared" si="61"/>
        <v>brown-eyed women</v>
      </c>
      <c r="F1819" t="s">
        <v>5255</v>
      </c>
      <c r="G1819" t="str">
        <f>_xlfn.IFNA(VLOOKUP(F1819,songs!$B$1:$C$1539, 2, FALSE),"")</f>
        <v>Brown Eyed Women</v>
      </c>
      <c r="H1819" t="s">
        <v>7867</v>
      </c>
    </row>
    <row r="1820" spans="1:8" x14ac:dyDescent="0.25">
      <c r="A1820">
        <v>1869</v>
      </c>
      <c r="B1820" t="s">
        <v>2277</v>
      </c>
      <c r="C1820" t="s">
        <v>2278</v>
      </c>
      <c r="D1820" t="str">
        <f t="shared" si="60"/>
        <v>&gt;</v>
      </c>
      <c r="E1820" t="str">
        <f t="shared" si="61"/>
        <v>rhythm devils</v>
      </c>
      <c r="F1820" t="s">
        <v>7833</v>
      </c>
      <c r="G1820" t="s">
        <v>1177</v>
      </c>
      <c r="H1820" t="s">
        <v>7867</v>
      </c>
    </row>
    <row r="1821" spans="1:8" x14ac:dyDescent="0.25">
      <c r="A1821">
        <v>1820</v>
      </c>
      <c r="B1821" t="s">
        <v>2219</v>
      </c>
      <c r="C1821" t="s">
        <v>429</v>
      </c>
      <c r="D1821" t="str">
        <f t="shared" si="60"/>
        <v/>
      </c>
      <c r="E1821" t="str">
        <f t="shared" si="61"/>
        <v>cold rain and snow</v>
      </c>
      <c r="F1821" t="s">
        <v>5347</v>
      </c>
      <c r="G1821" t="str">
        <f>_xlfn.IFNA(VLOOKUP(F1821,songs!$B$1:$C$1539, 2, FALSE),"")</f>
        <v>Cold Rain And Snow</v>
      </c>
      <c r="H1821" t="s">
        <v>429</v>
      </c>
    </row>
    <row r="1822" spans="1:8" x14ac:dyDescent="0.25">
      <c r="A1822">
        <v>1874</v>
      </c>
      <c r="B1822" t="s">
        <v>2283</v>
      </c>
      <c r="C1822" t="s">
        <v>2284</v>
      </c>
      <c r="D1822" t="str">
        <f t="shared" si="60"/>
        <v/>
      </c>
      <c r="E1822" t="str">
        <f t="shared" si="61"/>
        <v>sugaree *</v>
      </c>
      <c r="F1822" t="s">
        <v>7151</v>
      </c>
      <c r="G1822" t="str">
        <f>_xlfn.IFNA(VLOOKUP(F1822,songs!$B$1:$C$1539, 2, FALSE),"")</f>
        <v>Sugaree</v>
      </c>
      <c r="H1822" t="s">
        <v>7867</v>
      </c>
    </row>
    <row r="1823" spans="1:8" x14ac:dyDescent="0.25">
      <c r="A1823">
        <v>1822</v>
      </c>
      <c r="B1823" t="s">
        <v>2222</v>
      </c>
      <c r="C1823" t="s">
        <v>188</v>
      </c>
      <c r="D1823" t="str">
        <f t="shared" si="60"/>
        <v/>
      </c>
      <c r="E1823" t="str">
        <f t="shared" si="61"/>
        <v>row jimmy</v>
      </c>
      <c r="F1823" t="s">
        <v>6893</v>
      </c>
      <c r="G1823" t="str">
        <f>_xlfn.IFNA(VLOOKUP(F1823,songs!$B$1:$C$1539, 2, FALSE),"")</f>
        <v>Row Jimmy</v>
      </c>
      <c r="H1823" t="s">
        <v>188</v>
      </c>
    </row>
    <row r="1824" spans="1:8" x14ac:dyDescent="0.25">
      <c r="A1824">
        <v>1823</v>
      </c>
      <c r="B1824" t="s">
        <v>2223</v>
      </c>
      <c r="C1824" t="s">
        <v>2201</v>
      </c>
      <c r="D1824" t="str">
        <f t="shared" si="60"/>
        <v/>
      </c>
      <c r="E1824" t="str">
        <f t="shared" si="61"/>
        <v>my brother esau</v>
      </c>
      <c r="F1824" t="s">
        <v>6590</v>
      </c>
      <c r="G1824" t="str">
        <f>_xlfn.IFNA(VLOOKUP(F1824,songs!$B$1:$C$1539, 2, FALSE),"")</f>
        <v>My Brother Esau</v>
      </c>
      <c r="H1824" t="s">
        <v>2201</v>
      </c>
    </row>
    <row r="1825" spans="1:8" x14ac:dyDescent="0.25">
      <c r="A1825">
        <v>1824</v>
      </c>
      <c r="B1825" t="s">
        <v>2224</v>
      </c>
      <c r="C1825" t="s">
        <v>2225</v>
      </c>
      <c r="D1825" t="str">
        <f t="shared" si="60"/>
        <v/>
      </c>
      <c r="E1825" t="str">
        <f t="shared" si="61"/>
        <v>when push comes to shove</v>
      </c>
      <c r="F1825" t="s">
        <v>7695</v>
      </c>
      <c r="G1825" t="str">
        <f>_xlfn.IFNA(VLOOKUP(F1825,songs!$B$1:$C$1539, 2, FALSE),"")</f>
        <v>When Push Comes To Shove</v>
      </c>
      <c r="H1825" t="s">
        <v>2225</v>
      </c>
    </row>
    <row r="1826" spans="1:8" x14ac:dyDescent="0.25">
      <c r="A1826">
        <v>1825</v>
      </c>
      <c r="B1826" t="s">
        <v>2226</v>
      </c>
      <c r="C1826" t="s">
        <v>2227</v>
      </c>
      <c r="D1826" t="str">
        <f t="shared" si="60"/>
        <v/>
      </c>
      <c r="E1826" t="str">
        <f t="shared" si="61"/>
        <v>desolation row</v>
      </c>
      <c r="F1826" t="s">
        <v>5484</v>
      </c>
      <c r="G1826" t="str">
        <f>_xlfn.IFNA(VLOOKUP(F1826,songs!$B$1:$C$1539, 2, FALSE),"")</f>
        <v>Desolation Row</v>
      </c>
      <c r="H1826" t="s">
        <v>2227</v>
      </c>
    </row>
    <row r="1827" spans="1:8" x14ac:dyDescent="0.25">
      <c r="A1827">
        <v>1826</v>
      </c>
      <c r="B1827" t="s">
        <v>2228</v>
      </c>
      <c r="C1827" t="s">
        <v>323</v>
      </c>
      <c r="D1827" t="str">
        <f t="shared" si="60"/>
        <v/>
      </c>
      <c r="E1827" t="str">
        <f t="shared" si="61"/>
        <v>bird song</v>
      </c>
      <c r="F1827" t="s">
        <v>5184</v>
      </c>
      <c r="G1827" t="str">
        <f>_xlfn.IFNA(VLOOKUP(F1827,songs!$B$1:$C$1539, 2, FALSE),"")</f>
        <v>Bird Song</v>
      </c>
      <c r="H1827" t="s">
        <v>323</v>
      </c>
    </row>
    <row r="1828" spans="1:8" x14ac:dyDescent="0.25">
      <c r="A1828">
        <v>1827</v>
      </c>
      <c r="B1828" t="s">
        <v>2229</v>
      </c>
      <c r="C1828" t="s">
        <v>130</v>
      </c>
      <c r="D1828" t="str">
        <f t="shared" si="60"/>
        <v/>
      </c>
      <c r="E1828" t="str">
        <f t="shared" si="61"/>
        <v>promised land</v>
      </c>
      <c r="F1828" t="s">
        <v>6797</v>
      </c>
      <c r="G1828" t="str">
        <f>_xlfn.IFNA(VLOOKUP(F1828,songs!$B$1:$C$1539, 2, FALSE),"")</f>
        <v>Promised Land</v>
      </c>
      <c r="H1828" t="s">
        <v>130</v>
      </c>
    </row>
    <row r="1829" spans="1:8" x14ac:dyDescent="0.25">
      <c r="A1829">
        <v>1828</v>
      </c>
      <c r="B1829" t="s">
        <v>2230</v>
      </c>
      <c r="C1829" t="s">
        <v>84</v>
      </c>
      <c r="D1829" t="str">
        <f t="shared" si="60"/>
        <v/>
      </c>
      <c r="E1829" t="str">
        <f t="shared" si="61"/>
        <v>china cat sunflower</v>
      </c>
      <c r="F1829" t="s">
        <v>5319</v>
      </c>
      <c r="G1829" t="str">
        <f>_xlfn.IFNA(VLOOKUP(F1829,songs!$B$1:$C$1539, 2, FALSE),"")</f>
        <v>China Cat Sunflower</v>
      </c>
      <c r="H1829" t="s">
        <v>84</v>
      </c>
    </row>
    <row r="1830" spans="1:8" x14ac:dyDescent="0.25">
      <c r="A1830">
        <v>1829</v>
      </c>
      <c r="B1830" t="s">
        <v>2231</v>
      </c>
      <c r="C1830" t="s">
        <v>86</v>
      </c>
      <c r="D1830" t="str">
        <f t="shared" si="60"/>
        <v/>
      </c>
      <c r="E1830" t="str">
        <f t="shared" si="61"/>
        <v>i know you rider</v>
      </c>
      <c r="F1830" t="s">
        <v>6020</v>
      </c>
      <c r="G1830" t="str">
        <f>_xlfn.IFNA(VLOOKUP(F1830,songs!$B$1:$C$1539, 2, FALSE),"")</f>
        <v>I Know You Rider</v>
      </c>
      <c r="H1830" t="s">
        <v>86</v>
      </c>
    </row>
    <row r="1831" spans="1:8" x14ac:dyDescent="0.25">
      <c r="A1831">
        <v>1830</v>
      </c>
      <c r="B1831" t="s">
        <v>2232</v>
      </c>
      <c r="C1831" t="s">
        <v>126</v>
      </c>
      <c r="D1831" t="str">
        <f t="shared" si="60"/>
        <v/>
      </c>
      <c r="E1831" t="str">
        <f t="shared" si="61"/>
        <v>looks like rain</v>
      </c>
      <c r="F1831" t="s">
        <v>6398</v>
      </c>
      <c r="G1831" t="str">
        <f>_xlfn.IFNA(VLOOKUP(F1831,songs!$B$1:$C$1539, 2, FALSE),"")</f>
        <v>Looks Like Rain</v>
      </c>
      <c r="H1831" t="s">
        <v>126</v>
      </c>
    </row>
    <row r="1832" spans="1:8" x14ac:dyDescent="0.25">
      <c r="A1832">
        <v>1831</v>
      </c>
      <c r="B1832" t="s">
        <v>2233</v>
      </c>
      <c r="C1832" t="s">
        <v>13</v>
      </c>
      <c r="D1832" t="str">
        <f t="shared" si="60"/>
        <v/>
      </c>
      <c r="E1832" t="str">
        <f t="shared" si="61"/>
        <v>he's gone</v>
      </c>
      <c r="F1832" t="s">
        <v>5903</v>
      </c>
      <c r="G1832" t="str">
        <f>_xlfn.IFNA(VLOOKUP(F1832,songs!$B$1:$C$1539, 2, FALSE),"")</f>
        <v>He's Gone</v>
      </c>
      <c r="H1832" t="s">
        <v>13</v>
      </c>
    </row>
    <row r="1833" spans="1:8" x14ac:dyDescent="0.25">
      <c r="A1833">
        <v>1832</v>
      </c>
      <c r="B1833" t="s">
        <v>2234</v>
      </c>
      <c r="C1833" t="s">
        <v>100</v>
      </c>
      <c r="D1833" t="str">
        <f t="shared" si="60"/>
        <v/>
      </c>
      <c r="E1833" t="str">
        <f t="shared" si="61"/>
        <v>drums</v>
      </c>
      <c r="F1833" t="s">
        <v>5568</v>
      </c>
      <c r="G1833" t="str">
        <f>_xlfn.IFNA(VLOOKUP(F1833,songs!$B$1:$C$1539, 2, FALSE),"")</f>
        <v>Drums</v>
      </c>
      <c r="H1833" t="s">
        <v>100</v>
      </c>
    </row>
    <row r="1834" spans="1:8" x14ac:dyDescent="0.25">
      <c r="A1834">
        <v>1833</v>
      </c>
      <c r="B1834" t="s">
        <v>2235</v>
      </c>
      <c r="C1834" t="s">
        <v>277</v>
      </c>
      <c r="D1834" t="str">
        <f t="shared" si="60"/>
        <v/>
      </c>
      <c r="E1834" t="str">
        <f t="shared" si="61"/>
        <v>space</v>
      </c>
      <c r="F1834" t="s">
        <v>7091</v>
      </c>
      <c r="G1834" t="str">
        <f>_xlfn.IFNA(VLOOKUP(F1834,songs!$B$1:$C$1539, 2, FALSE),"")</f>
        <v>Space</v>
      </c>
      <c r="H1834" t="s">
        <v>277</v>
      </c>
    </row>
    <row r="1835" spans="1:8" x14ac:dyDescent="0.25">
      <c r="A1835">
        <v>1834</v>
      </c>
      <c r="B1835" t="s">
        <v>2236</v>
      </c>
      <c r="C1835" t="s">
        <v>2237</v>
      </c>
      <c r="D1835" t="str">
        <f t="shared" si="60"/>
        <v/>
      </c>
      <c r="E1835" t="str">
        <f t="shared" si="61"/>
        <v>i need a miracle</v>
      </c>
      <c r="F1835" t="s">
        <v>6021</v>
      </c>
      <c r="G1835" t="str">
        <f>_xlfn.IFNA(VLOOKUP(F1835,songs!$B$1:$C$1539, 2, FALSE),"")</f>
        <v>I Need A Miracle</v>
      </c>
      <c r="H1835" t="s">
        <v>2237</v>
      </c>
    </row>
    <row r="1836" spans="1:8" x14ac:dyDescent="0.25">
      <c r="A1836">
        <v>1835</v>
      </c>
      <c r="B1836" t="s">
        <v>2238</v>
      </c>
      <c r="C1836" t="s">
        <v>221</v>
      </c>
      <c r="D1836" t="str">
        <f t="shared" si="60"/>
        <v/>
      </c>
      <c r="E1836" t="str">
        <f t="shared" si="61"/>
        <v>black peter</v>
      </c>
      <c r="F1836" t="s">
        <v>5190</v>
      </c>
      <c r="G1836" t="str">
        <f>_xlfn.IFNA(VLOOKUP(F1836,songs!$B$1:$C$1539, 2, FALSE),"")</f>
        <v>Black Peter</v>
      </c>
      <c r="H1836" t="s">
        <v>221</v>
      </c>
    </row>
    <row r="1837" spans="1:8" x14ac:dyDescent="0.25">
      <c r="A1837">
        <v>1836</v>
      </c>
      <c r="B1837" t="s">
        <v>2239</v>
      </c>
      <c r="C1837" t="s">
        <v>579</v>
      </c>
      <c r="D1837" t="str">
        <f t="shared" si="60"/>
        <v/>
      </c>
      <c r="E1837" t="str">
        <f t="shared" si="61"/>
        <v>around and around</v>
      </c>
      <c r="F1837" t="s">
        <v>5103</v>
      </c>
      <c r="G1837" t="str">
        <f>_xlfn.IFNA(VLOOKUP(F1837,songs!$B$1:$C$1539, 2, FALSE),"")</f>
        <v>Around And Around</v>
      </c>
      <c r="H1837" t="s">
        <v>579</v>
      </c>
    </row>
    <row r="1838" spans="1:8" x14ac:dyDescent="0.25">
      <c r="A1838">
        <v>1837</v>
      </c>
      <c r="B1838" t="s">
        <v>2240</v>
      </c>
      <c r="C1838" t="s">
        <v>242</v>
      </c>
      <c r="D1838" t="str">
        <f t="shared" si="60"/>
        <v/>
      </c>
      <c r="E1838" t="str">
        <f t="shared" si="61"/>
        <v>good lovin'</v>
      </c>
      <c r="F1838" t="s">
        <v>5810</v>
      </c>
      <c r="G1838" t="str">
        <f>_xlfn.IFNA(VLOOKUP(F1838,songs!$B$1:$C$1539, 2, FALSE),"")</f>
        <v>Good Lovin'</v>
      </c>
      <c r="H1838" t="s">
        <v>242</v>
      </c>
    </row>
    <row r="1839" spans="1:8" x14ac:dyDescent="0.25">
      <c r="A1839">
        <v>1875</v>
      </c>
      <c r="B1839" t="s">
        <v>2285</v>
      </c>
      <c r="C1839" t="s">
        <v>2286</v>
      </c>
      <c r="D1839" t="str">
        <f t="shared" si="60"/>
        <v/>
      </c>
      <c r="E1839" t="str">
        <f t="shared" si="61"/>
        <v>tennessee jed *</v>
      </c>
      <c r="F1839" t="s">
        <v>7234</v>
      </c>
      <c r="G1839" t="str">
        <f>_xlfn.IFNA(VLOOKUP(F1839,songs!$B$1:$C$1539, 2, FALSE),"")</f>
        <v>Tennessee Jed</v>
      </c>
      <c r="H1839" t="s">
        <v>7867</v>
      </c>
    </row>
    <row r="1840" spans="1:8" x14ac:dyDescent="0.25">
      <c r="A1840">
        <v>1839</v>
      </c>
      <c r="B1840" t="s">
        <v>2243</v>
      </c>
      <c r="C1840" t="s">
        <v>128</v>
      </c>
      <c r="D1840" t="str">
        <f t="shared" si="60"/>
        <v/>
      </c>
      <c r="E1840" t="str">
        <f t="shared" si="61"/>
        <v>alabama getaway</v>
      </c>
      <c r="F1840" t="s">
        <v>5047</v>
      </c>
      <c r="G1840" t="str">
        <f>_xlfn.IFNA(VLOOKUP(F1840,songs!$B$1:$C$1539, 2, FALSE),"")</f>
        <v>Alabama Getaway</v>
      </c>
      <c r="H1840" t="s">
        <v>128</v>
      </c>
    </row>
    <row r="1841" spans="1:8" x14ac:dyDescent="0.25">
      <c r="A1841">
        <v>1840</v>
      </c>
      <c r="B1841" t="s">
        <v>2244</v>
      </c>
      <c r="C1841" t="s">
        <v>154</v>
      </c>
      <c r="D1841" t="str">
        <f t="shared" si="60"/>
        <v/>
      </c>
      <c r="E1841" t="str">
        <f t="shared" si="61"/>
        <v>greatest story ever told</v>
      </c>
      <c r="F1841" t="s">
        <v>5826</v>
      </c>
      <c r="G1841" t="str">
        <f>_xlfn.IFNA(VLOOKUP(F1841,songs!$B$1:$C$1539, 2, FALSE),"")</f>
        <v>Greatest Story Ever Told</v>
      </c>
      <c r="H1841" t="s">
        <v>154</v>
      </c>
    </row>
    <row r="1842" spans="1:8" x14ac:dyDescent="0.25">
      <c r="A1842">
        <v>1876</v>
      </c>
      <c r="B1842" t="s">
        <v>2287</v>
      </c>
      <c r="C1842" t="s">
        <v>2288</v>
      </c>
      <c r="D1842" t="str">
        <f t="shared" si="60"/>
        <v>&gt;</v>
      </c>
      <c r="E1842" t="str">
        <f t="shared" si="61"/>
        <v>lazy lightning *</v>
      </c>
      <c r="F1842" t="s">
        <v>6293</v>
      </c>
      <c r="G1842" t="str">
        <f>_xlfn.IFNA(VLOOKUP(F1842,songs!$B$1:$C$1539, 2, FALSE),"")</f>
        <v>Lazy Lightning</v>
      </c>
      <c r="H1842" t="s">
        <v>7867</v>
      </c>
    </row>
    <row r="1843" spans="1:8" x14ac:dyDescent="0.25">
      <c r="A1843">
        <v>1842</v>
      </c>
      <c r="B1843" t="s">
        <v>2247</v>
      </c>
      <c r="C1843" t="s">
        <v>255</v>
      </c>
      <c r="D1843" t="str">
        <f t="shared" si="60"/>
        <v/>
      </c>
      <c r="E1843" t="str">
        <f t="shared" si="61"/>
        <v>little red rooster</v>
      </c>
      <c r="F1843" t="s">
        <v>6360</v>
      </c>
      <c r="G1843" t="str">
        <f>_xlfn.IFNA(VLOOKUP(F1843,songs!$B$1:$C$1539, 2, FALSE),"")</f>
        <v>Little Red Rooster</v>
      </c>
      <c r="H1843" t="s">
        <v>255</v>
      </c>
    </row>
    <row r="1844" spans="1:8" x14ac:dyDescent="0.25">
      <c r="A1844">
        <v>1877</v>
      </c>
      <c r="B1844" t="s">
        <v>2289</v>
      </c>
      <c r="C1844" t="s">
        <v>2290</v>
      </c>
      <c r="D1844" t="str">
        <f t="shared" si="60"/>
        <v/>
      </c>
      <c r="E1844" t="str">
        <f t="shared" si="61"/>
        <v>supplication *</v>
      </c>
      <c r="F1844" t="s">
        <v>7162</v>
      </c>
      <c r="G1844" t="str">
        <f>_xlfn.IFNA(VLOOKUP(F1844,songs!$B$1:$C$1539, 2, FALSE),"")</f>
        <v>Supplication</v>
      </c>
      <c r="H1844" t="s">
        <v>7867</v>
      </c>
    </row>
    <row r="1845" spans="1:8" x14ac:dyDescent="0.25">
      <c r="A1845">
        <v>1844</v>
      </c>
      <c r="B1845" t="s">
        <v>2249</v>
      </c>
      <c r="C1845" t="s">
        <v>431</v>
      </c>
      <c r="D1845" t="str">
        <f t="shared" si="60"/>
        <v/>
      </c>
      <c r="E1845" t="str">
        <f t="shared" si="61"/>
        <v>beat it on down the line</v>
      </c>
      <c r="F1845" t="s">
        <v>5149</v>
      </c>
      <c r="G1845" t="str">
        <f>_xlfn.IFNA(VLOOKUP(F1845,songs!$B$1:$C$1539, 2, FALSE),"")</f>
        <v>Beat It On Down The Line</v>
      </c>
      <c r="H1845" t="s">
        <v>431</v>
      </c>
    </row>
    <row r="1846" spans="1:8" x14ac:dyDescent="0.25">
      <c r="A1846">
        <v>1845</v>
      </c>
      <c r="B1846" t="s">
        <v>2250</v>
      </c>
      <c r="C1846" t="s">
        <v>164</v>
      </c>
      <c r="D1846" t="str">
        <f t="shared" ref="D1846:D1909" si="62">IF(RIGHT(TRIM(C1846),2)="-&gt;","&gt;",IF(RIGHT(TRIM(C1846),1)="&gt;","&gt;",""))</f>
        <v/>
      </c>
      <c r="E1846" t="str">
        <f t="shared" si="61"/>
        <v>tennessee jed</v>
      </c>
      <c r="F1846" t="s">
        <v>7234</v>
      </c>
      <c r="G1846" t="str">
        <f>_xlfn.IFNA(VLOOKUP(F1846,songs!$B$1:$C$1539, 2, FALSE),"")</f>
        <v>Tennessee Jed</v>
      </c>
      <c r="H1846" t="s">
        <v>164</v>
      </c>
    </row>
    <row r="1847" spans="1:8" x14ac:dyDescent="0.25">
      <c r="A1847">
        <v>1846</v>
      </c>
      <c r="B1847" t="s">
        <v>2251</v>
      </c>
      <c r="C1847" t="s">
        <v>49</v>
      </c>
      <c r="D1847" t="str">
        <f t="shared" si="62"/>
        <v/>
      </c>
      <c r="E1847" t="str">
        <f t="shared" si="61"/>
        <v>the music never stopped</v>
      </c>
      <c r="F1847" t="s">
        <v>7316</v>
      </c>
      <c r="G1847" t="str">
        <f>_xlfn.IFNA(VLOOKUP(F1847,songs!$B$1:$C$1539, 2, FALSE),"")</f>
        <v>The Music Never Stopped</v>
      </c>
      <c r="H1847" t="s">
        <v>49</v>
      </c>
    </row>
    <row r="1848" spans="1:8" x14ac:dyDescent="0.25">
      <c r="A1848">
        <v>1847</v>
      </c>
      <c r="B1848" t="s">
        <v>2252</v>
      </c>
      <c r="C1848" t="s">
        <v>2253</v>
      </c>
      <c r="D1848" t="str">
        <f t="shared" si="62"/>
        <v/>
      </c>
      <c r="E1848" t="str">
        <f t="shared" si="61"/>
        <v>touch of grey</v>
      </c>
      <c r="F1848" t="s">
        <v>7419</v>
      </c>
      <c r="G1848" t="str">
        <f>_xlfn.IFNA(VLOOKUP(F1848,songs!$B$1:$C$1539, 2, FALSE),"")</f>
        <v>Touch Of Grey</v>
      </c>
      <c r="H1848" t="s">
        <v>2253</v>
      </c>
    </row>
    <row r="1849" spans="1:8" x14ac:dyDescent="0.25">
      <c r="A1849">
        <v>1848</v>
      </c>
      <c r="B1849" t="s">
        <v>2254</v>
      </c>
      <c r="C1849" t="s">
        <v>266</v>
      </c>
      <c r="D1849" t="str">
        <f t="shared" si="62"/>
        <v/>
      </c>
      <c r="E1849" t="str">
        <f t="shared" si="61"/>
        <v>samson and delilah</v>
      </c>
      <c r="F1849" t="s">
        <v>6925</v>
      </c>
      <c r="G1849" t="str">
        <f>_xlfn.IFNA(VLOOKUP(F1849,songs!$B$1:$C$1539, 2, FALSE),"")</f>
        <v>Samson And Delilah</v>
      </c>
      <c r="H1849" t="s">
        <v>266</v>
      </c>
    </row>
    <row r="1850" spans="1:8" x14ac:dyDescent="0.25">
      <c r="A1850">
        <v>1849</v>
      </c>
      <c r="B1850" t="s">
        <v>2255</v>
      </c>
      <c r="C1850" t="s">
        <v>225</v>
      </c>
      <c r="D1850" t="str">
        <f t="shared" si="62"/>
        <v/>
      </c>
      <c r="E1850" t="str">
        <f t="shared" si="61"/>
        <v>cumberland blues</v>
      </c>
      <c r="F1850" t="s">
        <v>5411</v>
      </c>
      <c r="G1850" t="str">
        <f>_xlfn.IFNA(VLOOKUP(F1850,songs!$B$1:$C$1539, 2, FALSE),"")</f>
        <v>Cumberland Blues</v>
      </c>
      <c r="H1850" t="s">
        <v>225</v>
      </c>
    </row>
    <row r="1851" spans="1:8" x14ac:dyDescent="0.25">
      <c r="A1851">
        <v>1850</v>
      </c>
      <c r="B1851" t="s">
        <v>2256</v>
      </c>
      <c r="C1851" t="s">
        <v>69</v>
      </c>
      <c r="D1851" t="str">
        <f t="shared" si="62"/>
        <v/>
      </c>
      <c r="E1851" t="str">
        <f t="shared" si="61"/>
        <v>estimated prophet</v>
      </c>
      <c r="F1851" t="s">
        <v>5612</v>
      </c>
      <c r="G1851" t="str">
        <f>_xlfn.IFNA(VLOOKUP(F1851,songs!$B$1:$C$1539, 2, FALSE),"")</f>
        <v>Estimated Prophet</v>
      </c>
      <c r="H1851" t="s">
        <v>69</v>
      </c>
    </row>
    <row r="1852" spans="1:8" x14ac:dyDescent="0.25">
      <c r="A1852">
        <v>1851</v>
      </c>
      <c r="B1852" t="s">
        <v>2257</v>
      </c>
      <c r="C1852" t="s">
        <v>471</v>
      </c>
      <c r="D1852" t="str">
        <f t="shared" si="62"/>
        <v/>
      </c>
      <c r="E1852" t="str">
        <f t="shared" si="61"/>
        <v>eyes of the world</v>
      </c>
      <c r="F1852" t="s">
        <v>5633</v>
      </c>
      <c r="G1852" t="str">
        <f>_xlfn.IFNA(VLOOKUP(F1852,songs!$B$1:$C$1539, 2, FALSE),"")</f>
        <v>Eyes Of The World</v>
      </c>
      <c r="H1852" t="s">
        <v>471</v>
      </c>
    </row>
    <row r="1853" spans="1:8" x14ac:dyDescent="0.25">
      <c r="A1853">
        <v>1852</v>
      </c>
      <c r="B1853" t="s">
        <v>2258</v>
      </c>
      <c r="C1853" t="s">
        <v>100</v>
      </c>
      <c r="D1853" t="str">
        <f t="shared" si="62"/>
        <v/>
      </c>
      <c r="E1853" t="str">
        <f t="shared" si="61"/>
        <v>drums</v>
      </c>
      <c r="F1853" t="s">
        <v>5568</v>
      </c>
      <c r="G1853" t="str">
        <f>_xlfn.IFNA(VLOOKUP(F1853,songs!$B$1:$C$1539, 2, FALSE),"")</f>
        <v>Drums</v>
      </c>
      <c r="H1853" t="s">
        <v>100</v>
      </c>
    </row>
    <row r="1854" spans="1:8" x14ac:dyDescent="0.25">
      <c r="A1854">
        <v>1853</v>
      </c>
      <c r="B1854" t="s">
        <v>2259</v>
      </c>
      <c r="C1854" t="s">
        <v>277</v>
      </c>
      <c r="D1854" t="str">
        <f t="shared" si="62"/>
        <v/>
      </c>
      <c r="E1854" t="str">
        <f t="shared" si="61"/>
        <v>space</v>
      </c>
      <c r="F1854" t="s">
        <v>7091</v>
      </c>
      <c r="G1854" t="str">
        <f>_xlfn.IFNA(VLOOKUP(F1854,songs!$B$1:$C$1539, 2, FALSE),"")</f>
        <v>Space</v>
      </c>
      <c r="H1854" t="s">
        <v>277</v>
      </c>
    </row>
    <row r="1855" spans="1:8" x14ac:dyDescent="0.25">
      <c r="A1855">
        <v>1854</v>
      </c>
      <c r="B1855" t="s">
        <v>2260</v>
      </c>
      <c r="C1855" t="s">
        <v>133</v>
      </c>
      <c r="D1855" t="str">
        <f t="shared" si="62"/>
        <v/>
      </c>
      <c r="E1855" t="str">
        <f t="shared" si="61"/>
        <v>uncle john's band</v>
      </c>
      <c r="F1855" t="s">
        <v>7466</v>
      </c>
      <c r="G1855" t="str">
        <f>_xlfn.IFNA(VLOOKUP(F1855,songs!$B$1:$C$1539, 2, FALSE),"")</f>
        <v>Uncle John's Band</v>
      </c>
      <c r="H1855" t="s">
        <v>133</v>
      </c>
    </row>
    <row r="1856" spans="1:8" x14ac:dyDescent="0.25">
      <c r="A1856">
        <v>1855</v>
      </c>
      <c r="B1856" t="s">
        <v>2261</v>
      </c>
      <c r="C1856" t="s">
        <v>212</v>
      </c>
      <c r="D1856" t="str">
        <f t="shared" si="62"/>
        <v/>
      </c>
      <c r="E1856" t="str">
        <f t="shared" si="61"/>
        <v>morning dew</v>
      </c>
      <c r="F1856" t="s">
        <v>6555</v>
      </c>
      <c r="G1856" t="str">
        <f>_xlfn.IFNA(VLOOKUP(F1856,songs!$B$1:$C$1539, 2, FALSE),"")</f>
        <v>Morning Dew</v>
      </c>
      <c r="H1856" t="s">
        <v>212</v>
      </c>
    </row>
    <row r="1857" spans="1:8" x14ac:dyDescent="0.25">
      <c r="A1857">
        <v>1878</v>
      </c>
      <c r="B1857" t="s">
        <v>2291</v>
      </c>
      <c r="C1857" t="s">
        <v>2292</v>
      </c>
      <c r="D1857" t="str">
        <f t="shared" si="62"/>
        <v>&gt;</v>
      </c>
      <c r="E1857" t="str">
        <f t="shared" si="61"/>
        <v>scarlet begonias *</v>
      </c>
      <c r="F1857" t="s">
        <v>6944</v>
      </c>
      <c r="G1857" t="str">
        <f>_xlfn.IFNA(VLOOKUP(F1857,songs!$B$1:$C$1539, 2, FALSE),"")</f>
        <v>Scarlet Begonias</v>
      </c>
      <c r="H1857" t="s">
        <v>7867</v>
      </c>
    </row>
    <row r="1858" spans="1:8" x14ac:dyDescent="0.25">
      <c r="A1858">
        <v>1857</v>
      </c>
      <c r="B1858" t="s">
        <v>2263</v>
      </c>
      <c r="C1858" t="s">
        <v>458</v>
      </c>
      <c r="D1858" t="str">
        <f t="shared" si="62"/>
        <v/>
      </c>
      <c r="E1858" t="str">
        <f t="shared" si="61"/>
        <v>mississippi half-step uptown toodeloo</v>
      </c>
      <c r="F1858" t="s">
        <v>6531</v>
      </c>
      <c r="G1858" t="str">
        <f>_xlfn.IFNA(VLOOKUP(F1858,songs!$B$1:$C$1539, 2, FALSE),"")</f>
        <v>Mississippi Half-Step Uptown Toodeloo</v>
      </c>
      <c r="H1858" t="s">
        <v>458</v>
      </c>
    </row>
    <row r="1859" spans="1:8" x14ac:dyDescent="0.25">
      <c r="A1859">
        <v>1858</v>
      </c>
      <c r="B1859" t="s">
        <v>2264</v>
      </c>
      <c r="C1859" t="s">
        <v>560</v>
      </c>
      <c r="D1859" t="str">
        <f t="shared" si="62"/>
        <v/>
      </c>
      <c r="E1859" t="str">
        <f t="shared" si="61"/>
        <v>passenger</v>
      </c>
      <c r="F1859" t="s">
        <v>6738</v>
      </c>
      <c r="G1859" t="str">
        <f>_xlfn.IFNA(VLOOKUP(F1859,songs!$B$1:$C$1539, 2, FALSE),"")</f>
        <v>Passenger</v>
      </c>
      <c r="H1859" t="s">
        <v>560</v>
      </c>
    </row>
    <row r="1860" spans="1:8" x14ac:dyDescent="0.25">
      <c r="A1860">
        <v>1859</v>
      </c>
      <c r="B1860" t="s">
        <v>2265</v>
      </c>
      <c r="C1860" t="s">
        <v>124</v>
      </c>
      <c r="D1860" t="str">
        <f t="shared" si="62"/>
        <v/>
      </c>
      <c r="E1860" t="str">
        <f t="shared" ref="E1860:E1923" si="63">LOWER(TRIM(SUBSTITUTE(IF(RIGHT(TRIM(C1860),2)="-&gt;",LEFT(TRIM(C1860),LEN(TRIM(C1860))-2),IF(RIGHT(TRIM(C1860),1)="&gt;",LEFT(TRIM(C1860),LEN(TRIM(C1860))-1),C1860)),"//","")))</f>
        <v>friend of the devil</v>
      </c>
      <c r="F1860" t="s">
        <v>5721</v>
      </c>
      <c r="G1860" t="str">
        <f>_xlfn.IFNA(VLOOKUP(F1860,songs!$B$1:$C$1539, 2, FALSE),"")</f>
        <v>Friend Of The Devil</v>
      </c>
      <c r="H1860" t="s">
        <v>464</v>
      </c>
    </row>
    <row r="1861" spans="1:8" x14ac:dyDescent="0.25">
      <c r="A1861">
        <v>1860</v>
      </c>
      <c r="B1861" t="s">
        <v>2266</v>
      </c>
      <c r="C1861" t="s">
        <v>327</v>
      </c>
      <c r="D1861" t="str">
        <f t="shared" si="62"/>
        <v/>
      </c>
      <c r="E1861" t="str">
        <f t="shared" si="63"/>
        <v>el paso</v>
      </c>
      <c r="F1861" t="s">
        <v>5600</v>
      </c>
      <c r="G1861" t="str">
        <f>_xlfn.IFNA(VLOOKUP(F1861,songs!$B$1:$C$1539, 2, FALSE),"")</f>
        <v>El Paso</v>
      </c>
      <c r="H1861" t="s">
        <v>327</v>
      </c>
    </row>
    <row r="1862" spans="1:8" x14ac:dyDescent="0.25">
      <c r="A1862">
        <v>1879</v>
      </c>
      <c r="B1862" t="s">
        <v>2293</v>
      </c>
      <c r="C1862" t="s">
        <v>2294</v>
      </c>
      <c r="D1862" t="str">
        <f t="shared" si="62"/>
        <v>&gt;</v>
      </c>
      <c r="E1862" t="str">
        <f t="shared" si="63"/>
        <v>dancing in the street *</v>
      </c>
      <c r="F1862" t="s">
        <v>5418</v>
      </c>
      <c r="G1862" t="str">
        <f>_xlfn.IFNA(VLOOKUP(F1862,songs!$B$1:$C$1539, 2, FALSE),"")</f>
        <v>Dancin' In The Streets</v>
      </c>
      <c r="H1862" t="s">
        <v>7867</v>
      </c>
    </row>
    <row r="1863" spans="1:8" x14ac:dyDescent="0.25">
      <c r="A1863">
        <v>1862</v>
      </c>
      <c r="B1863" t="s">
        <v>2268</v>
      </c>
      <c r="C1863" t="s">
        <v>389</v>
      </c>
      <c r="D1863" t="str">
        <f t="shared" si="62"/>
        <v/>
      </c>
      <c r="E1863" t="str">
        <f t="shared" si="63"/>
        <v>let it grow</v>
      </c>
      <c r="F1863" t="s">
        <v>6308</v>
      </c>
      <c r="G1863" t="str">
        <f>_xlfn.IFNA(VLOOKUP(F1863,songs!$B$1:$C$1539, 2, FALSE),"")</f>
        <v>Let It Grow</v>
      </c>
      <c r="H1863" t="s">
        <v>389</v>
      </c>
    </row>
    <row r="1864" spans="1:8" x14ac:dyDescent="0.25">
      <c r="A1864">
        <v>1863</v>
      </c>
      <c r="B1864" t="s">
        <v>2269</v>
      </c>
      <c r="C1864" t="s">
        <v>264</v>
      </c>
      <c r="D1864" t="str">
        <f t="shared" si="62"/>
        <v/>
      </c>
      <c r="E1864" t="str">
        <f t="shared" si="63"/>
        <v>deal</v>
      </c>
      <c r="F1864" t="s">
        <v>5461</v>
      </c>
      <c r="G1864" t="str">
        <f>_xlfn.IFNA(VLOOKUP(F1864,songs!$B$1:$C$1539, 2, FALSE),"")</f>
        <v>Deal</v>
      </c>
      <c r="H1864" t="s">
        <v>264</v>
      </c>
    </row>
    <row r="1865" spans="1:8" x14ac:dyDescent="0.25">
      <c r="A1865">
        <v>1864</v>
      </c>
      <c r="B1865" t="s">
        <v>2270</v>
      </c>
      <c r="C1865" t="s">
        <v>2271</v>
      </c>
      <c r="D1865" t="str">
        <f t="shared" si="62"/>
        <v>&gt;</v>
      </c>
      <c r="E1865" t="str">
        <f t="shared" si="63"/>
        <v>bertha</v>
      </c>
      <c r="F1865" t="s">
        <v>5158</v>
      </c>
      <c r="G1865" t="str">
        <f>_xlfn.IFNA(VLOOKUP(F1865,songs!$B$1:$C$1539, 2, FALSE),"")</f>
        <v>Bertha</v>
      </c>
      <c r="H1865" t="s">
        <v>298</v>
      </c>
    </row>
    <row r="1866" spans="1:8" x14ac:dyDescent="0.25">
      <c r="A1866">
        <v>1865</v>
      </c>
      <c r="B1866" t="s">
        <v>2272</v>
      </c>
      <c r="C1866" t="s">
        <v>242</v>
      </c>
      <c r="D1866" t="str">
        <f t="shared" si="62"/>
        <v/>
      </c>
      <c r="E1866" t="str">
        <f t="shared" si="63"/>
        <v>good lovin'</v>
      </c>
      <c r="F1866" t="s">
        <v>5810</v>
      </c>
      <c r="G1866" t="str">
        <f>_xlfn.IFNA(VLOOKUP(F1866,songs!$B$1:$C$1539, 2, FALSE),"")</f>
        <v>Good Lovin'</v>
      </c>
      <c r="H1866" t="s">
        <v>242</v>
      </c>
    </row>
    <row r="1867" spans="1:8" x14ac:dyDescent="0.25">
      <c r="A1867">
        <v>1866</v>
      </c>
      <c r="B1867" t="s">
        <v>2273</v>
      </c>
      <c r="C1867" t="s">
        <v>641</v>
      </c>
      <c r="D1867" t="str">
        <f t="shared" si="62"/>
        <v/>
      </c>
      <c r="E1867" t="str">
        <f t="shared" si="63"/>
        <v>candyman</v>
      </c>
      <c r="F1867" t="s">
        <v>5278</v>
      </c>
      <c r="G1867" t="str">
        <f>_xlfn.IFNA(VLOOKUP(F1867,songs!$B$1:$C$1539, 2, FALSE),"")</f>
        <v>Candyman</v>
      </c>
      <c r="H1867" t="s">
        <v>641</v>
      </c>
    </row>
    <row r="1868" spans="1:8" x14ac:dyDescent="0.25">
      <c r="A1868">
        <v>1867</v>
      </c>
      <c r="B1868" t="s">
        <v>2274</v>
      </c>
      <c r="C1868" t="s">
        <v>2275</v>
      </c>
      <c r="D1868" t="str">
        <f t="shared" si="62"/>
        <v>&gt;</v>
      </c>
      <c r="E1868" t="str">
        <f t="shared" si="63"/>
        <v>sunrise</v>
      </c>
      <c r="F1868" t="s">
        <v>7156</v>
      </c>
      <c r="G1868" t="str">
        <f>_xlfn.IFNA(VLOOKUP(F1868,songs!$B$1:$C$1539, 2, FALSE),"")</f>
        <v>Sunrise</v>
      </c>
      <c r="H1868" t="s">
        <v>67</v>
      </c>
    </row>
    <row r="1869" spans="1:8" x14ac:dyDescent="0.25">
      <c r="A1869">
        <v>1868</v>
      </c>
      <c r="B1869" t="s">
        <v>2276</v>
      </c>
      <c r="C1869" t="s">
        <v>536</v>
      </c>
      <c r="D1869" t="str">
        <f t="shared" si="62"/>
        <v>&gt;</v>
      </c>
      <c r="E1869" t="str">
        <f t="shared" si="63"/>
        <v>playing in the band</v>
      </c>
      <c r="F1869" t="s">
        <v>6769</v>
      </c>
      <c r="G1869" t="str">
        <f>_xlfn.IFNA(VLOOKUP(F1869,songs!$B$1:$C$1539, 2, FALSE),"")</f>
        <v>Playing In The Band</v>
      </c>
      <c r="H1869" t="s">
        <v>419</v>
      </c>
    </row>
    <row r="1870" spans="1:8" x14ac:dyDescent="0.25">
      <c r="A1870">
        <v>1880</v>
      </c>
      <c r="B1870" t="s">
        <v>2295</v>
      </c>
      <c r="C1870" t="s">
        <v>2296</v>
      </c>
      <c r="D1870" t="str">
        <f t="shared" si="62"/>
        <v>&gt;</v>
      </c>
      <c r="E1870" t="str">
        <f t="shared" si="63"/>
        <v>rhythm devils *</v>
      </c>
      <c r="F1870" t="s">
        <v>7837</v>
      </c>
      <c r="G1870" t="s">
        <v>1177</v>
      </c>
      <c r="H1870" t="s">
        <v>7867</v>
      </c>
    </row>
    <row r="1871" spans="1:8" x14ac:dyDescent="0.25">
      <c r="A1871">
        <v>1870</v>
      </c>
      <c r="B1871" t="s">
        <v>2279</v>
      </c>
      <c r="C1871" t="s">
        <v>905</v>
      </c>
      <c r="D1871" t="str">
        <f t="shared" si="62"/>
        <v>&gt;</v>
      </c>
      <c r="E1871" t="str">
        <f t="shared" si="63"/>
        <v>not fade away</v>
      </c>
      <c r="F1871" t="s">
        <v>6651</v>
      </c>
      <c r="G1871" t="str">
        <f>_xlfn.IFNA(VLOOKUP(F1871,songs!$B$1:$C$1539, 2, FALSE),"")</f>
        <v>Not Fade Away</v>
      </c>
      <c r="H1871" t="s">
        <v>34</v>
      </c>
    </row>
    <row r="1872" spans="1:8" x14ac:dyDescent="0.25">
      <c r="A1872">
        <v>1871</v>
      </c>
      <c r="B1872" t="s">
        <v>2280</v>
      </c>
      <c r="C1872" t="s">
        <v>212</v>
      </c>
      <c r="D1872" t="str">
        <f t="shared" si="62"/>
        <v/>
      </c>
      <c r="E1872" t="str">
        <f t="shared" si="63"/>
        <v>morning dew</v>
      </c>
      <c r="F1872" t="s">
        <v>6555</v>
      </c>
      <c r="G1872" t="str">
        <f>_xlfn.IFNA(VLOOKUP(F1872,songs!$B$1:$C$1539, 2, FALSE),"")</f>
        <v>Morning Dew</v>
      </c>
      <c r="H1872" t="s">
        <v>212</v>
      </c>
    </row>
    <row r="1873" spans="1:8" x14ac:dyDescent="0.25">
      <c r="A1873">
        <v>1872</v>
      </c>
      <c r="B1873" t="s">
        <v>2281</v>
      </c>
      <c r="C1873" t="s">
        <v>26</v>
      </c>
      <c r="D1873" t="str">
        <f t="shared" si="62"/>
        <v/>
      </c>
      <c r="E1873" t="str">
        <f t="shared" si="63"/>
        <v>around and around</v>
      </c>
      <c r="F1873" t="s">
        <v>5103</v>
      </c>
      <c r="G1873" t="str">
        <f>_xlfn.IFNA(VLOOKUP(F1873,songs!$B$1:$C$1539, 2, FALSE),"")</f>
        <v>Around And Around</v>
      </c>
      <c r="H1873" t="s">
        <v>579</v>
      </c>
    </row>
    <row r="1874" spans="1:8" x14ac:dyDescent="0.25">
      <c r="A1874">
        <v>1873</v>
      </c>
      <c r="B1874" t="s">
        <v>2282</v>
      </c>
      <c r="C1874" t="s">
        <v>956</v>
      </c>
      <c r="D1874" t="str">
        <f t="shared" si="62"/>
        <v/>
      </c>
      <c r="E1874" t="str">
        <f t="shared" si="63"/>
        <v>one more saturday night</v>
      </c>
      <c r="F1874" t="s">
        <v>6702</v>
      </c>
      <c r="G1874" t="str">
        <f>_xlfn.IFNA(VLOOKUP(F1874,songs!$B$1:$C$1539, 2, FALSE),"")</f>
        <v>One More Saturday Night</v>
      </c>
      <c r="H1874" t="s">
        <v>956</v>
      </c>
    </row>
    <row r="1875" spans="1:8" x14ac:dyDescent="0.25">
      <c r="A1875">
        <v>1881</v>
      </c>
      <c r="B1875" t="s">
        <v>2297</v>
      </c>
      <c r="C1875" t="s">
        <v>2298</v>
      </c>
      <c r="D1875" t="str">
        <f t="shared" si="62"/>
        <v/>
      </c>
      <c r="E1875" t="str">
        <f t="shared" si="63"/>
        <v>samson and delilah *</v>
      </c>
      <c r="F1875" t="s">
        <v>6925</v>
      </c>
      <c r="G1875" t="str">
        <f>_xlfn.IFNA(VLOOKUP(F1875,songs!$B$1:$C$1539, 2, FALSE),"")</f>
        <v>Samson And Delilah</v>
      </c>
      <c r="H1875" t="s">
        <v>7867</v>
      </c>
    </row>
    <row r="1876" spans="1:8" x14ac:dyDescent="0.25">
      <c r="A1876">
        <v>1882</v>
      </c>
      <c r="B1876" t="s">
        <v>2299</v>
      </c>
      <c r="C1876" t="s">
        <v>2300</v>
      </c>
      <c r="D1876" t="str">
        <f t="shared" si="62"/>
        <v>&gt;</v>
      </c>
      <c r="E1876" t="str">
        <f t="shared" si="63"/>
        <v>terrapin station *</v>
      </c>
      <c r="F1876" t="s">
        <v>7237</v>
      </c>
      <c r="G1876" t="str">
        <f>_xlfn.IFNA(VLOOKUP(F1876,songs!$B$1:$C$1539, 2, FALSE),"")</f>
        <v>Terrapin Station</v>
      </c>
      <c r="H1876" t="s">
        <v>7867</v>
      </c>
    </row>
    <row r="1877" spans="1:8" x14ac:dyDescent="0.25">
      <c r="A1877">
        <v>1883</v>
      </c>
      <c r="B1877" t="s">
        <v>2301</v>
      </c>
      <c r="C1877" t="s">
        <v>2302</v>
      </c>
      <c r="D1877" t="str">
        <f t="shared" si="62"/>
        <v/>
      </c>
      <c r="E1877" t="str">
        <f t="shared" si="63"/>
        <v>around and around *</v>
      </c>
      <c r="F1877" t="s">
        <v>5103</v>
      </c>
      <c r="G1877" t="str">
        <f>_xlfn.IFNA(VLOOKUP(F1877,songs!$B$1:$C$1539, 2, FALSE),"")</f>
        <v>Around And Around</v>
      </c>
      <c r="H1877" t="s">
        <v>7867</v>
      </c>
    </row>
    <row r="1878" spans="1:8" x14ac:dyDescent="0.25">
      <c r="A1878">
        <v>1884</v>
      </c>
      <c r="B1878" t="s">
        <v>2303</v>
      </c>
      <c r="C1878" t="s">
        <v>2304</v>
      </c>
      <c r="D1878" t="str">
        <f t="shared" si="62"/>
        <v/>
      </c>
      <c r="E1878" t="str">
        <f t="shared" si="63"/>
        <v>bird song (1st set)</v>
      </c>
      <c r="F1878" t="s">
        <v>5184</v>
      </c>
      <c r="G1878" t="str">
        <f>_xlfn.IFNA(VLOOKUP(F1878,songs!$B$1:$C$1539, 2, FALSE),"")</f>
        <v>Bird Song</v>
      </c>
      <c r="H1878" t="s">
        <v>7867</v>
      </c>
    </row>
    <row r="1879" spans="1:8" x14ac:dyDescent="0.25">
      <c r="A1879">
        <v>1885</v>
      </c>
      <c r="B1879" t="s">
        <v>2305</v>
      </c>
      <c r="C1879" t="s">
        <v>2306</v>
      </c>
      <c r="D1879" t="str">
        <f t="shared" si="62"/>
        <v/>
      </c>
      <c r="E1879" t="str">
        <f t="shared" si="63"/>
        <v>playing in the band (1st set)</v>
      </c>
      <c r="F1879" t="s">
        <v>6769</v>
      </c>
      <c r="G1879" t="str">
        <f>_xlfn.IFNA(VLOOKUP(F1879,songs!$B$1:$C$1539, 2, FALSE),"")</f>
        <v>Playing In The Band</v>
      </c>
      <c r="H1879" t="s">
        <v>7867</v>
      </c>
    </row>
    <row r="1880" spans="1:8" x14ac:dyDescent="0.25">
      <c r="A1880">
        <v>1891</v>
      </c>
      <c r="B1880" t="s">
        <v>2312</v>
      </c>
      <c r="C1880" t="s">
        <v>2313</v>
      </c>
      <c r="D1880" t="str">
        <f t="shared" si="62"/>
        <v>&gt;</v>
      </c>
      <c r="E1880" t="str">
        <f t="shared" si="63"/>
        <v>the other one jam</v>
      </c>
      <c r="F1880" t="s">
        <v>7325</v>
      </c>
      <c r="G1880" t="str">
        <f>_xlfn.IFNA(VLOOKUP(F1880,songs!$B$1:$C$1539, 2, FALSE),"")</f>
        <v>The Other One</v>
      </c>
      <c r="H1880" t="s">
        <v>7867</v>
      </c>
    </row>
    <row r="1881" spans="1:8" x14ac:dyDescent="0.25">
      <c r="A1881">
        <v>1895</v>
      </c>
      <c r="B1881" t="s">
        <v>2317</v>
      </c>
      <c r="C1881" t="s">
        <v>102</v>
      </c>
      <c r="D1881" t="str">
        <f t="shared" si="62"/>
        <v/>
      </c>
      <c r="E1881" t="str">
        <f t="shared" si="63"/>
        <v>me &amp; my uncle</v>
      </c>
      <c r="F1881" t="s">
        <v>6486</v>
      </c>
      <c r="G1881" t="str">
        <f>_xlfn.IFNA(VLOOKUP(F1881,songs!$B$1:$C$1539, 2, FALSE),"")</f>
        <v>Me And My Uncle</v>
      </c>
      <c r="H1881" t="s">
        <v>7867</v>
      </c>
    </row>
    <row r="1882" spans="1:8" x14ac:dyDescent="0.25">
      <c r="A1882">
        <v>1900</v>
      </c>
      <c r="B1882" t="s">
        <v>2322</v>
      </c>
      <c r="C1882" t="s">
        <v>615</v>
      </c>
      <c r="D1882" t="str">
        <f t="shared" si="62"/>
        <v/>
      </c>
      <c r="E1882" t="str">
        <f t="shared" si="63"/>
        <v>brown-eyed women</v>
      </c>
      <c r="F1882" t="s">
        <v>5255</v>
      </c>
      <c r="G1882" t="str">
        <f>_xlfn.IFNA(VLOOKUP(F1882,songs!$B$1:$C$1539, 2, FALSE),"")</f>
        <v>Brown Eyed Women</v>
      </c>
      <c r="H1882" t="s">
        <v>7867</v>
      </c>
    </row>
    <row r="1883" spans="1:8" x14ac:dyDescent="0.25">
      <c r="A1883">
        <v>1903</v>
      </c>
      <c r="B1883" t="s">
        <v>2325</v>
      </c>
      <c r="C1883" t="s">
        <v>7</v>
      </c>
      <c r="D1883" t="str">
        <f t="shared" si="62"/>
        <v/>
      </c>
      <c r="E1883" t="str">
        <f t="shared" si="63"/>
        <v>weather report suite</v>
      </c>
      <c r="F1883" t="s">
        <v>7658</v>
      </c>
      <c r="G1883" t="str">
        <f>_xlfn.IFNA(VLOOKUP(F1883,songs!$B$1:$C$1539, 2, FALSE),"")</f>
        <v>Weather Report Suite Prelude &gt; Weather Report Suite Part 1</v>
      </c>
      <c r="H1883" t="s">
        <v>7867</v>
      </c>
    </row>
    <row r="1884" spans="1:8" x14ac:dyDescent="0.25">
      <c r="A1884">
        <v>1916</v>
      </c>
      <c r="B1884" t="s">
        <v>2341</v>
      </c>
      <c r="C1884" t="s">
        <v>2342</v>
      </c>
      <c r="D1884" t="str">
        <f t="shared" si="62"/>
        <v>&gt;</v>
      </c>
      <c r="E1884" t="str">
        <f t="shared" si="63"/>
        <v>goin' down the road feeling bad</v>
      </c>
      <c r="F1884" t="s">
        <v>5783</v>
      </c>
      <c r="G1884" t="str">
        <f>_xlfn.IFNA(VLOOKUP(F1884,songs!$B$1:$C$1539, 2, FALSE),"")</f>
        <v>Goin' Down The Road Feelin' Bad</v>
      </c>
      <c r="H1884" t="s">
        <v>7867</v>
      </c>
    </row>
    <row r="1885" spans="1:8" x14ac:dyDescent="0.25">
      <c r="A1885">
        <v>1921</v>
      </c>
      <c r="B1885" t="s">
        <v>2348</v>
      </c>
      <c r="C1885" t="s">
        <v>122</v>
      </c>
      <c r="D1885" t="str">
        <f t="shared" si="62"/>
        <v/>
      </c>
      <c r="E1885" t="str">
        <f t="shared" si="63"/>
        <v>new minglewood blues</v>
      </c>
      <c r="F1885" t="s">
        <v>7869</v>
      </c>
      <c r="G1885" t="str">
        <f>_xlfn.IFNA(VLOOKUP(F1885,songs!$B$1:$C$1539, 2, FALSE),"")</f>
        <v>Minglewood Blues</v>
      </c>
      <c r="H1885" t="s">
        <v>7867</v>
      </c>
    </row>
    <row r="1886" spans="1:8" x14ac:dyDescent="0.25">
      <c r="A1886">
        <v>1933</v>
      </c>
      <c r="B1886" t="s">
        <v>2363</v>
      </c>
      <c r="C1886" t="s">
        <v>1090</v>
      </c>
      <c r="D1886" t="str">
        <f t="shared" si="62"/>
        <v/>
      </c>
      <c r="E1886" t="str">
        <f t="shared" si="63"/>
        <v>man smart, woman smarter</v>
      </c>
      <c r="F1886" t="s">
        <v>6459</v>
      </c>
      <c r="G1886" t="str">
        <f>_xlfn.IFNA(VLOOKUP(F1886,songs!$B$1:$C$1539, 2, FALSE),"")</f>
        <v>Man Smart (Woman Smarter)</v>
      </c>
      <c r="H1886" t="s">
        <v>7867</v>
      </c>
    </row>
    <row r="1887" spans="1:8" x14ac:dyDescent="0.25">
      <c r="A1887">
        <v>1886</v>
      </c>
      <c r="B1887" t="s">
        <v>2307</v>
      </c>
      <c r="C1887" t="s">
        <v>1</v>
      </c>
      <c r="D1887" t="str">
        <f t="shared" si="62"/>
        <v/>
      </c>
      <c r="E1887" t="str">
        <f t="shared" si="63"/>
        <v>here comes sunshine</v>
      </c>
      <c r="F1887" t="s">
        <v>5898</v>
      </c>
      <c r="G1887" t="str">
        <f>_xlfn.IFNA(VLOOKUP(F1887,songs!$B$1:$C$1539, 2, FALSE),"")</f>
        <v>Here Comes Sunshine</v>
      </c>
      <c r="H1887" t="s">
        <v>1</v>
      </c>
    </row>
    <row r="1888" spans="1:8" x14ac:dyDescent="0.25">
      <c r="A1888">
        <v>1887</v>
      </c>
      <c r="B1888" t="s">
        <v>2308</v>
      </c>
      <c r="C1888" t="s">
        <v>786</v>
      </c>
      <c r="D1888" t="str">
        <f t="shared" si="62"/>
        <v>&gt;</v>
      </c>
      <c r="E1888" t="str">
        <f t="shared" si="63"/>
        <v>let it grow</v>
      </c>
      <c r="F1888" t="s">
        <v>6308</v>
      </c>
      <c r="G1888" t="str">
        <f>_xlfn.IFNA(VLOOKUP(F1888,songs!$B$1:$C$1539, 2, FALSE),"")</f>
        <v>Let It Grow</v>
      </c>
      <c r="H1888" t="s">
        <v>389</v>
      </c>
    </row>
    <row r="1889" spans="1:8" x14ac:dyDescent="0.25">
      <c r="A1889">
        <v>1888</v>
      </c>
      <c r="B1889" t="s">
        <v>2309</v>
      </c>
      <c r="C1889" t="s">
        <v>24</v>
      </c>
      <c r="D1889" t="str">
        <f t="shared" si="62"/>
        <v/>
      </c>
      <c r="E1889" t="str">
        <f t="shared" si="63"/>
        <v>stella blue</v>
      </c>
      <c r="F1889" t="s">
        <v>7123</v>
      </c>
      <c r="G1889" t="str">
        <f>_xlfn.IFNA(VLOOKUP(F1889,songs!$B$1:$C$1539, 2, FALSE),"")</f>
        <v>Stella Blue</v>
      </c>
      <c r="H1889" t="s">
        <v>24</v>
      </c>
    </row>
    <row r="1890" spans="1:8" x14ac:dyDescent="0.25">
      <c r="A1890">
        <v>1889</v>
      </c>
      <c r="B1890" t="s">
        <v>2310</v>
      </c>
      <c r="C1890" t="s">
        <v>924</v>
      </c>
      <c r="D1890" t="str">
        <f t="shared" si="62"/>
        <v>&gt;</v>
      </c>
      <c r="E1890" t="str">
        <f t="shared" si="63"/>
        <v>truckin'</v>
      </c>
      <c r="F1890" t="s">
        <v>7436</v>
      </c>
      <c r="G1890" t="str">
        <f>_xlfn.IFNA(VLOOKUP(F1890,songs!$B$1:$C$1539, 2, FALSE),"")</f>
        <v>Truckin'</v>
      </c>
      <c r="H1890" t="s">
        <v>15</v>
      </c>
    </row>
    <row r="1891" spans="1:8" x14ac:dyDescent="0.25">
      <c r="A1891">
        <v>1890</v>
      </c>
      <c r="B1891" t="s">
        <v>2311</v>
      </c>
      <c r="C1891" t="s">
        <v>275</v>
      </c>
      <c r="D1891" t="str">
        <f t="shared" si="62"/>
        <v>&gt;</v>
      </c>
      <c r="E1891" t="str">
        <f t="shared" si="63"/>
        <v>drums</v>
      </c>
      <c r="F1891" t="s">
        <v>5568</v>
      </c>
      <c r="G1891" t="str">
        <f>_xlfn.IFNA(VLOOKUP(F1891,songs!$B$1:$C$1539, 2, FALSE),"")</f>
        <v>Drums</v>
      </c>
      <c r="H1891" t="s">
        <v>100</v>
      </c>
    </row>
    <row r="1892" spans="1:8" x14ac:dyDescent="0.25">
      <c r="A1892">
        <v>1946</v>
      </c>
      <c r="B1892" t="s">
        <v>2377</v>
      </c>
      <c r="C1892" t="s">
        <v>1801</v>
      </c>
      <c r="D1892" t="str">
        <f t="shared" si="62"/>
        <v/>
      </c>
      <c r="E1892" t="str">
        <f t="shared" si="63"/>
        <v>(i can't get no) satisfaction</v>
      </c>
      <c r="F1892" t="s">
        <v>6932</v>
      </c>
      <c r="G1892" t="str">
        <f>_xlfn.IFNA(VLOOKUP(F1892,songs!$B$1:$C$1539, 2, FALSE),"")</f>
        <v>Satisfaction</v>
      </c>
      <c r="H1892" t="s">
        <v>7867</v>
      </c>
    </row>
    <row r="1893" spans="1:8" x14ac:dyDescent="0.25">
      <c r="A1893">
        <v>1892</v>
      </c>
      <c r="B1893" t="s">
        <v>2314</v>
      </c>
      <c r="C1893" t="s">
        <v>607</v>
      </c>
      <c r="D1893" t="str">
        <f t="shared" si="62"/>
        <v>&gt;</v>
      </c>
      <c r="E1893" t="str">
        <f t="shared" si="63"/>
        <v>eyes of the world</v>
      </c>
      <c r="F1893" t="s">
        <v>5633</v>
      </c>
      <c r="G1893" t="str">
        <f>_xlfn.IFNA(VLOOKUP(F1893,songs!$B$1:$C$1539, 2, FALSE),"")</f>
        <v>Eyes Of The World</v>
      </c>
      <c r="H1893" t="s">
        <v>471</v>
      </c>
    </row>
    <row r="1894" spans="1:8" x14ac:dyDescent="0.25">
      <c r="A1894">
        <v>1893</v>
      </c>
      <c r="B1894" t="s">
        <v>2315</v>
      </c>
      <c r="C1894" t="s">
        <v>30</v>
      </c>
      <c r="D1894" t="str">
        <f t="shared" si="62"/>
        <v/>
      </c>
      <c r="E1894" t="str">
        <f t="shared" si="63"/>
        <v>sugar magnolia</v>
      </c>
      <c r="F1894" t="s">
        <v>7150</v>
      </c>
      <c r="G1894" t="str">
        <f>_xlfn.IFNA(VLOOKUP(F1894,songs!$B$1:$C$1539, 2, FALSE),"")</f>
        <v>Sugar Magnolia</v>
      </c>
      <c r="H1894" t="s">
        <v>30</v>
      </c>
    </row>
    <row r="1895" spans="1:8" x14ac:dyDescent="0.25">
      <c r="A1895">
        <v>1894</v>
      </c>
      <c r="B1895" t="s">
        <v>2316</v>
      </c>
      <c r="C1895" t="s">
        <v>298</v>
      </c>
      <c r="D1895" t="str">
        <f t="shared" si="62"/>
        <v/>
      </c>
      <c r="E1895" t="str">
        <f t="shared" si="63"/>
        <v>bertha</v>
      </c>
      <c r="F1895" t="s">
        <v>5158</v>
      </c>
      <c r="G1895" t="str">
        <f>_xlfn.IFNA(VLOOKUP(F1895,songs!$B$1:$C$1539, 2, FALSE),"")</f>
        <v>Bertha</v>
      </c>
      <c r="H1895" t="s">
        <v>298</v>
      </c>
    </row>
    <row r="1896" spans="1:8" x14ac:dyDescent="0.25">
      <c r="A1896">
        <v>1952</v>
      </c>
      <c r="B1896" t="s">
        <v>2384</v>
      </c>
      <c r="C1896" t="s">
        <v>122</v>
      </c>
      <c r="D1896" t="str">
        <f t="shared" si="62"/>
        <v/>
      </c>
      <c r="E1896" t="str">
        <f t="shared" si="63"/>
        <v>new minglewood blues</v>
      </c>
      <c r="F1896" t="s">
        <v>7869</v>
      </c>
      <c r="G1896" t="str">
        <f>_xlfn.IFNA(VLOOKUP(F1896,songs!$B$1:$C$1539, 2, FALSE),"")</f>
        <v>Minglewood Blues</v>
      </c>
      <c r="H1896" t="s">
        <v>7867</v>
      </c>
    </row>
    <row r="1897" spans="1:8" x14ac:dyDescent="0.25">
      <c r="A1897">
        <v>1896</v>
      </c>
      <c r="B1897" t="s">
        <v>2318</v>
      </c>
      <c r="C1897" t="s">
        <v>51</v>
      </c>
      <c r="D1897" t="str">
        <f t="shared" si="62"/>
        <v/>
      </c>
      <c r="E1897" t="str">
        <f t="shared" si="63"/>
        <v>sugaree</v>
      </c>
      <c r="F1897" t="s">
        <v>7151</v>
      </c>
      <c r="G1897" t="str">
        <f>_xlfn.IFNA(VLOOKUP(F1897,songs!$B$1:$C$1539, 2, FALSE),"")</f>
        <v>Sugaree</v>
      </c>
      <c r="H1897" t="s">
        <v>51</v>
      </c>
    </row>
    <row r="1898" spans="1:8" x14ac:dyDescent="0.25">
      <c r="A1898">
        <v>1897</v>
      </c>
      <c r="B1898" t="s">
        <v>2319</v>
      </c>
      <c r="C1898" t="s">
        <v>802</v>
      </c>
      <c r="D1898" t="str">
        <f t="shared" si="62"/>
        <v/>
      </c>
      <c r="E1898" t="str">
        <f t="shared" si="63"/>
        <v>beat it on down the line</v>
      </c>
      <c r="F1898" t="s">
        <v>5149</v>
      </c>
      <c r="G1898" t="str">
        <f>_xlfn.IFNA(VLOOKUP(F1898,songs!$B$1:$C$1539, 2, FALSE),"")</f>
        <v>Beat It On Down The Line</v>
      </c>
      <c r="H1898" t="s">
        <v>431</v>
      </c>
    </row>
    <row r="1899" spans="1:8" x14ac:dyDescent="0.25">
      <c r="A1899">
        <v>1898</v>
      </c>
      <c r="B1899" t="s">
        <v>2320</v>
      </c>
      <c r="C1899" t="s">
        <v>164</v>
      </c>
      <c r="D1899" t="str">
        <f t="shared" si="62"/>
        <v/>
      </c>
      <c r="E1899" t="str">
        <f t="shared" si="63"/>
        <v>tennessee jed</v>
      </c>
      <c r="F1899" t="s">
        <v>7234</v>
      </c>
      <c r="G1899" t="str">
        <f>_xlfn.IFNA(VLOOKUP(F1899,songs!$B$1:$C$1539, 2, FALSE),"")</f>
        <v>Tennessee Jed</v>
      </c>
      <c r="H1899" t="s">
        <v>164</v>
      </c>
    </row>
    <row r="1900" spans="1:8" x14ac:dyDescent="0.25">
      <c r="A1900">
        <v>1899</v>
      </c>
      <c r="B1900" t="s">
        <v>2321</v>
      </c>
      <c r="C1900" t="s">
        <v>126</v>
      </c>
      <c r="D1900" t="str">
        <f t="shared" si="62"/>
        <v/>
      </c>
      <c r="E1900" t="str">
        <f t="shared" si="63"/>
        <v>looks like rain</v>
      </c>
      <c r="F1900" t="s">
        <v>6398</v>
      </c>
      <c r="G1900" t="str">
        <f>_xlfn.IFNA(VLOOKUP(F1900,songs!$B$1:$C$1539, 2, FALSE),"")</f>
        <v>Looks Like Rain</v>
      </c>
      <c r="H1900" t="s">
        <v>126</v>
      </c>
    </row>
    <row r="1901" spans="1:8" x14ac:dyDescent="0.25">
      <c r="A1901">
        <v>1956</v>
      </c>
      <c r="B1901" t="s">
        <v>2390</v>
      </c>
      <c r="C1901" t="s">
        <v>615</v>
      </c>
      <c r="D1901" t="str">
        <f t="shared" si="62"/>
        <v/>
      </c>
      <c r="E1901" t="str">
        <f t="shared" si="63"/>
        <v>brown-eyed women</v>
      </c>
      <c r="F1901" t="s">
        <v>5255</v>
      </c>
      <c r="G1901" t="str">
        <f>_xlfn.IFNA(VLOOKUP(F1901,songs!$B$1:$C$1539, 2, FALSE),"")</f>
        <v>Brown Eyed Women</v>
      </c>
      <c r="H1901" t="s">
        <v>7867</v>
      </c>
    </row>
    <row r="1902" spans="1:8" x14ac:dyDescent="0.25">
      <c r="A1902">
        <v>1901</v>
      </c>
      <c r="B1902" t="s">
        <v>2323</v>
      </c>
      <c r="C1902" t="s">
        <v>199</v>
      </c>
      <c r="D1902" t="str">
        <f t="shared" si="62"/>
        <v/>
      </c>
      <c r="E1902" t="str">
        <f t="shared" si="63"/>
        <v>jack straw</v>
      </c>
      <c r="F1902" t="s">
        <v>6161</v>
      </c>
      <c r="G1902" t="str">
        <f>_xlfn.IFNA(VLOOKUP(F1902,songs!$B$1:$C$1539, 2, FALSE),"")</f>
        <v>Jack Straw</v>
      </c>
      <c r="H1902" t="s">
        <v>199</v>
      </c>
    </row>
    <row r="1903" spans="1:8" x14ac:dyDescent="0.25">
      <c r="A1903">
        <v>1902</v>
      </c>
      <c r="B1903" t="s">
        <v>2324</v>
      </c>
      <c r="C1903" t="s">
        <v>188</v>
      </c>
      <c r="D1903" t="str">
        <f t="shared" si="62"/>
        <v/>
      </c>
      <c r="E1903" t="str">
        <f t="shared" si="63"/>
        <v>row jimmy</v>
      </c>
      <c r="F1903" t="s">
        <v>6893</v>
      </c>
      <c r="G1903" t="str">
        <f>_xlfn.IFNA(VLOOKUP(F1903,songs!$B$1:$C$1539, 2, FALSE),"")</f>
        <v>Row Jimmy</v>
      </c>
      <c r="H1903" t="s">
        <v>188</v>
      </c>
    </row>
    <row r="1904" spans="1:8" x14ac:dyDescent="0.25">
      <c r="A1904">
        <v>1990</v>
      </c>
      <c r="B1904" t="s">
        <v>2427</v>
      </c>
      <c r="C1904" t="s">
        <v>190</v>
      </c>
      <c r="D1904" t="str">
        <f t="shared" si="62"/>
        <v/>
      </c>
      <c r="E1904" t="str">
        <f t="shared" si="63"/>
        <v>black-throated wind</v>
      </c>
      <c r="F1904" t="s">
        <v>5193</v>
      </c>
      <c r="G1904" t="str">
        <f>_xlfn.IFNA(VLOOKUP(F1904,songs!$B$1:$C$1539, 2, FALSE),"")</f>
        <v>Black Throated Wind</v>
      </c>
      <c r="H1904" t="s">
        <v>7867</v>
      </c>
    </row>
    <row r="1905" spans="1:8" x14ac:dyDescent="0.25">
      <c r="A1905">
        <v>1904</v>
      </c>
      <c r="B1905" t="s">
        <v>2326</v>
      </c>
      <c r="C1905" t="s">
        <v>2327</v>
      </c>
      <c r="D1905" t="str">
        <f t="shared" si="62"/>
        <v>&gt;</v>
      </c>
      <c r="E1905" t="str">
        <f t="shared" si="63"/>
        <v>eyes of the world</v>
      </c>
      <c r="F1905" t="s">
        <v>5633</v>
      </c>
      <c r="G1905" t="str">
        <f>_xlfn.IFNA(VLOOKUP(F1905,songs!$B$1:$C$1539, 2, FALSE),"")</f>
        <v>Eyes Of The World</v>
      </c>
      <c r="H1905" t="s">
        <v>471</v>
      </c>
    </row>
    <row r="1906" spans="1:8" x14ac:dyDescent="0.25">
      <c r="A1906">
        <v>1905</v>
      </c>
      <c r="B1906" t="s">
        <v>2328</v>
      </c>
      <c r="C1906" t="s">
        <v>304</v>
      </c>
      <c r="D1906" t="str">
        <f t="shared" si="62"/>
        <v/>
      </c>
      <c r="E1906" t="str">
        <f t="shared" si="63"/>
        <v>china doll</v>
      </c>
      <c r="F1906" t="s">
        <v>5320</v>
      </c>
      <c r="G1906" t="str">
        <f>_xlfn.IFNA(VLOOKUP(F1906,songs!$B$1:$C$1539, 2, FALSE),"")</f>
        <v>China Doll</v>
      </c>
      <c r="H1906" t="s">
        <v>304</v>
      </c>
    </row>
    <row r="1907" spans="1:8" x14ac:dyDescent="0.25">
      <c r="A1907">
        <v>1906</v>
      </c>
      <c r="B1907" t="s">
        <v>2329</v>
      </c>
      <c r="C1907" t="s">
        <v>154</v>
      </c>
      <c r="D1907" t="str">
        <f t="shared" si="62"/>
        <v/>
      </c>
      <c r="E1907" t="str">
        <f t="shared" si="63"/>
        <v>greatest story ever told</v>
      </c>
      <c r="F1907" t="s">
        <v>5826</v>
      </c>
      <c r="G1907" t="str">
        <f>_xlfn.IFNA(VLOOKUP(F1907,songs!$B$1:$C$1539, 2, FALSE),"")</f>
        <v>Greatest Story Ever Told</v>
      </c>
      <c r="H1907" t="s">
        <v>154</v>
      </c>
    </row>
    <row r="1908" spans="1:8" x14ac:dyDescent="0.25">
      <c r="A1908">
        <v>1907</v>
      </c>
      <c r="B1908" t="s">
        <v>2330</v>
      </c>
      <c r="C1908" t="s">
        <v>436</v>
      </c>
      <c r="D1908" t="str">
        <f t="shared" si="62"/>
        <v/>
      </c>
      <c r="E1908" t="str">
        <f t="shared" si="63"/>
        <v>ramble on rose</v>
      </c>
      <c r="F1908" t="s">
        <v>6827</v>
      </c>
      <c r="G1908" t="str">
        <f>_xlfn.IFNA(VLOOKUP(F1908,songs!$B$1:$C$1539, 2, FALSE),"")</f>
        <v>Ramble On Rose</v>
      </c>
      <c r="H1908" t="s">
        <v>436</v>
      </c>
    </row>
    <row r="1909" spans="1:8" x14ac:dyDescent="0.25">
      <c r="A1909">
        <v>1908</v>
      </c>
      <c r="B1909" t="s">
        <v>2331</v>
      </c>
      <c r="C1909" t="s">
        <v>3</v>
      </c>
      <c r="D1909" t="str">
        <f t="shared" si="62"/>
        <v/>
      </c>
      <c r="E1909" t="str">
        <f t="shared" si="63"/>
        <v>big river</v>
      </c>
      <c r="F1909" t="s">
        <v>5175</v>
      </c>
      <c r="G1909" t="str">
        <f>_xlfn.IFNA(VLOOKUP(F1909,songs!$B$1:$C$1539, 2, FALSE),"")</f>
        <v>Big River</v>
      </c>
      <c r="H1909" t="s">
        <v>3</v>
      </c>
    </row>
    <row r="1910" spans="1:8" x14ac:dyDescent="0.25">
      <c r="A1910">
        <v>1909</v>
      </c>
      <c r="B1910" t="s">
        <v>2332</v>
      </c>
      <c r="C1910" t="s">
        <v>2333</v>
      </c>
      <c r="D1910" t="str">
        <f t="shared" ref="D1910:D1973" si="64">IF(RIGHT(TRIM(C1910),2)="-&gt;","&gt;",IF(RIGHT(TRIM(C1910),1)="&gt;","&gt;",""))</f>
        <v/>
      </c>
      <c r="E1910" t="str">
        <f t="shared" si="63"/>
        <v>let me sing your blues away</v>
      </c>
      <c r="F1910" t="s">
        <v>6314</v>
      </c>
      <c r="G1910" t="str">
        <f>_xlfn.IFNA(VLOOKUP(F1910,songs!$B$1:$C$1539, 2, FALSE),"")</f>
        <v>Let Me Sing Your Blues Away</v>
      </c>
      <c r="H1910" t="s">
        <v>2333</v>
      </c>
    </row>
    <row r="1911" spans="1:8" x14ac:dyDescent="0.25">
      <c r="A1911">
        <v>1910</v>
      </c>
      <c r="B1911" t="s">
        <v>2334</v>
      </c>
      <c r="C1911" t="s">
        <v>2335</v>
      </c>
      <c r="D1911" t="str">
        <f t="shared" si="64"/>
        <v>&gt;</v>
      </c>
      <c r="E1911" t="str">
        <f t="shared" si="63"/>
        <v>china cat sunflower</v>
      </c>
      <c r="F1911" t="s">
        <v>5319</v>
      </c>
      <c r="G1911" t="str">
        <f>_xlfn.IFNA(VLOOKUP(F1911,songs!$B$1:$C$1539, 2, FALSE),"")</f>
        <v>China Cat Sunflower</v>
      </c>
      <c r="H1911" t="s">
        <v>84</v>
      </c>
    </row>
    <row r="1912" spans="1:8" x14ac:dyDescent="0.25">
      <c r="A1912">
        <v>1911</v>
      </c>
      <c r="B1912" t="s">
        <v>2336</v>
      </c>
      <c r="C1912" t="s">
        <v>86</v>
      </c>
      <c r="D1912" t="str">
        <f t="shared" si="64"/>
        <v/>
      </c>
      <c r="E1912" t="str">
        <f t="shared" si="63"/>
        <v>i know you rider</v>
      </c>
      <c r="F1912" t="s">
        <v>6020</v>
      </c>
      <c r="G1912" t="str">
        <f>_xlfn.IFNA(VLOOKUP(F1912,songs!$B$1:$C$1539, 2, FALSE),"")</f>
        <v>I Know You Rider</v>
      </c>
      <c r="H1912" t="s">
        <v>86</v>
      </c>
    </row>
    <row r="1913" spans="1:8" x14ac:dyDescent="0.25">
      <c r="A1913">
        <v>1912</v>
      </c>
      <c r="B1913" t="s">
        <v>2337</v>
      </c>
      <c r="C1913" t="s">
        <v>327</v>
      </c>
      <c r="D1913" t="str">
        <f t="shared" si="64"/>
        <v/>
      </c>
      <c r="E1913" t="str">
        <f t="shared" si="63"/>
        <v>el paso</v>
      </c>
      <c r="F1913" t="s">
        <v>5600</v>
      </c>
      <c r="G1913" t="str">
        <f>_xlfn.IFNA(VLOOKUP(F1913,songs!$B$1:$C$1539, 2, FALSE),"")</f>
        <v>El Paso</v>
      </c>
      <c r="H1913" t="s">
        <v>327</v>
      </c>
    </row>
    <row r="1914" spans="1:8" x14ac:dyDescent="0.25">
      <c r="A1914">
        <v>1913</v>
      </c>
      <c r="B1914" t="s">
        <v>2338</v>
      </c>
      <c r="C1914" t="s">
        <v>271</v>
      </c>
      <c r="D1914" t="str">
        <f t="shared" si="64"/>
        <v>&gt;</v>
      </c>
      <c r="E1914" t="str">
        <f t="shared" si="63"/>
        <v>he's gone</v>
      </c>
      <c r="F1914" t="s">
        <v>5903</v>
      </c>
      <c r="G1914" t="str">
        <f>_xlfn.IFNA(VLOOKUP(F1914,songs!$B$1:$C$1539, 2, FALSE),"")</f>
        <v>He's Gone</v>
      </c>
      <c r="H1914" t="s">
        <v>13</v>
      </c>
    </row>
    <row r="1915" spans="1:8" x14ac:dyDescent="0.25">
      <c r="A1915">
        <v>1914</v>
      </c>
      <c r="B1915" t="s">
        <v>2339</v>
      </c>
      <c r="C1915" t="s">
        <v>924</v>
      </c>
      <c r="D1915" t="str">
        <f t="shared" si="64"/>
        <v>&gt;</v>
      </c>
      <c r="E1915" t="str">
        <f t="shared" si="63"/>
        <v>truckin'</v>
      </c>
      <c r="F1915" t="s">
        <v>7436</v>
      </c>
      <c r="G1915" t="str">
        <f>_xlfn.IFNA(VLOOKUP(F1915,songs!$B$1:$C$1539, 2, FALSE),"")</f>
        <v>Truckin'</v>
      </c>
      <c r="H1915" t="s">
        <v>15</v>
      </c>
    </row>
    <row r="1916" spans="1:8" x14ac:dyDescent="0.25">
      <c r="A1916">
        <v>1915</v>
      </c>
      <c r="B1916" t="s">
        <v>2340</v>
      </c>
      <c r="C1916" t="s">
        <v>905</v>
      </c>
      <c r="D1916" t="str">
        <f t="shared" si="64"/>
        <v>&gt;</v>
      </c>
      <c r="E1916" t="str">
        <f t="shared" si="63"/>
        <v>not fade away</v>
      </c>
      <c r="F1916" t="s">
        <v>6651</v>
      </c>
      <c r="G1916" t="str">
        <f>_xlfn.IFNA(VLOOKUP(F1916,songs!$B$1:$C$1539, 2, FALSE),"")</f>
        <v>Not Fade Away</v>
      </c>
      <c r="H1916" t="s">
        <v>34</v>
      </c>
    </row>
    <row r="1917" spans="1:8" x14ac:dyDescent="0.25">
      <c r="A1917">
        <v>1998</v>
      </c>
      <c r="B1917" t="s">
        <v>2435</v>
      </c>
      <c r="C1917" t="s">
        <v>615</v>
      </c>
      <c r="D1917" t="str">
        <f t="shared" si="64"/>
        <v/>
      </c>
      <c r="E1917" t="str">
        <f t="shared" si="63"/>
        <v>brown-eyed women</v>
      </c>
      <c r="F1917" t="s">
        <v>5255</v>
      </c>
      <c r="G1917" t="str">
        <f>_xlfn.IFNA(VLOOKUP(F1917,songs!$B$1:$C$1539, 2, FALSE),"")</f>
        <v>Brown Eyed Women</v>
      </c>
      <c r="H1917" t="s">
        <v>7867</v>
      </c>
    </row>
    <row r="1918" spans="1:8" x14ac:dyDescent="0.25">
      <c r="A1918">
        <v>1917</v>
      </c>
      <c r="B1918" t="s">
        <v>2343</v>
      </c>
      <c r="C1918" t="s">
        <v>34</v>
      </c>
      <c r="D1918" t="str">
        <f t="shared" si="64"/>
        <v/>
      </c>
      <c r="E1918" t="str">
        <f t="shared" si="63"/>
        <v>not fade away</v>
      </c>
      <c r="F1918" t="s">
        <v>6651</v>
      </c>
      <c r="G1918" t="str">
        <f>_xlfn.IFNA(VLOOKUP(F1918,songs!$B$1:$C$1539, 2, FALSE),"")</f>
        <v>Not Fade Away</v>
      </c>
      <c r="H1918" t="s">
        <v>34</v>
      </c>
    </row>
    <row r="1919" spans="1:8" x14ac:dyDescent="0.25">
      <c r="A1919">
        <v>1918</v>
      </c>
      <c r="B1919" t="s">
        <v>2344</v>
      </c>
      <c r="C1919" t="s">
        <v>2345</v>
      </c>
      <c r="D1919" t="str">
        <f t="shared" si="64"/>
        <v>&gt;</v>
      </c>
      <c r="E1919" t="str">
        <f t="shared" si="63"/>
        <v>stella blue</v>
      </c>
      <c r="F1919" t="s">
        <v>7123</v>
      </c>
      <c r="G1919" t="str">
        <f>_xlfn.IFNA(VLOOKUP(F1919,songs!$B$1:$C$1539, 2, FALSE),"")</f>
        <v>Stella Blue</v>
      </c>
      <c r="H1919" t="s">
        <v>24</v>
      </c>
    </row>
    <row r="1920" spans="1:8" x14ac:dyDescent="0.25">
      <c r="A1920">
        <v>1919</v>
      </c>
      <c r="B1920" t="s">
        <v>2346</v>
      </c>
      <c r="C1920" t="s">
        <v>956</v>
      </c>
      <c r="D1920" t="str">
        <f t="shared" si="64"/>
        <v/>
      </c>
      <c r="E1920" t="str">
        <f t="shared" si="63"/>
        <v>one more saturday night</v>
      </c>
      <c r="F1920" t="s">
        <v>6702</v>
      </c>
      <c r="G1920" t="str">
        <f>_xlfn.IFNA(VLOOKUP(F1920,songs!$B$1:$C$1539, 2, FALSE),"")</f>
        <v>One More Saturday Night</v>
      </c>
      <c r="H1920" t="s">
        <v>956</v>
      </c>
    </row>
    <row r="1921" spans="1:8" x14ac:dyDescent="0.25">
      <c r="A1921">
        <v>1920</v>
      </c>
      <c r="B1921" t="s">
        <v>2347</v>
      </c>
      <c r="C1921" t="s">
        <v>150</v>
      </c>
      <c r="D1921" t="str">
        <f t="shared" si="64"/>
        <v/>
      </c>
      <c r="E1921" t="str">
        <f t="shared" si="63"/>
        <v>shakedown street</v>
      </c>
      <c r="F1921" t="s">
        <v>6972</v>
      </c>
      <c r="G1921" t="str">
        <f>_xlfn.IFNA(VLOOKUP(F1921,songs!$B$1:$C$1539, 2, FALSE),"")</f>
        <v>Shakedown Street</v>
      </c>
      <c r="H1921" t="s">
        <v>150</v>
      </c>
    </row>
    <row r="1922" spans="1:8" x14ac:dyDescent="0.25">
      <c r="A1922">
        <v>2003</v>
      </c>
      <c r="B1922" t="s">
        <v>2440</v>
      </c>
      <c r="C1922" t="s">
        <v>7</v>
      </c>
      <c r="D1922" t="str">
        <f t="shared" si="64"/>
        <v/>
      </c>
      <c r="E1922" t="str">
        <f t="shared" si="63"/>
        <v>weather report suite</v>
      </c>
      <c r="F1922" t="s">
        <v>7658</v>
      </c>
      <c r="G1922" t="str">
        <f>_xlfn.IFNA(VLOOKUP(F1922,songs!$B$1:$C$1539, 2, FALSE),"")</f>
        <v>Weather Report Suite Prelude &gt; Weather Report Suite Part 1</v>
      </c>
      <c r="H1922" t="s">
        <v>7867</v>
      </c>
    </row>
    <row r="1923" spans="1:8" x14ac:dyDescent="0.25">
      <c r="A1923">
        <v>1922</v>
      </c>
      <c r="B1923" t="s">
        <v>2349</v>
      </c>
      <c r="C1923" t="s">
        <v>156</v>
      </c>
      <c r="D1923" t="str">
        <f t="shared" si="64"/>
        <v/>
      </c>
      <c r="E1923" t="str">
        <f t="shared" si="63"/>
        <v>they love each other</v>
      </c>
      <c r="F1923" t="s">
        <v>7358</v>
      </c>
      <c r="G1923" t="str">
        <f>_xlfn.IFNA(VLOOKUP(F1923,songs!$B$1:$C$1539, 2, FALSE),"")</f>
        <v>They Love Each Other</v>
      </c>
      <c r="H1923" t="s">
        <v>156</v>
      </c>
    </row>
    <row r="1924" spans="1:8" x14ac:dyDescent="0.25">
      <c r="A1924">
        <v>1923</v>
      </c>
      <c r="B1924" t="s">
        <v>2350</v>
      </c>
      <c r="C1924" t="s">
        <v>782</v>
      </c>
      <c r="D1924" t="str">
        <f t="shared" si="64"/>
        <v>&gt;</v>
      </c>
      <c r="E1924" t="str">
        <f t="shared" ref="E1924:E1987" si="65">LOWER(TRIM(SUBSTITUTE(IF(RIGHT(TRIM(C1924),2)="-&gt;",LEFT(TRIM(C1924),LEN(TRIM(C1924))-2),IF(RIGHT(TRIM(C1924),1)="&gt;",LEFT(TRIM(C1924),LEN(TRIM(C1924))-1),C1924)),"//","")))</f>
        <v>me and my uncle</v>
      </c>
      <c r="F1924" t="s">
        <v>6486</v>
      </c>
      <c r="G1924" t="str">
        <f>_xlfn.IFNA(VLOOKUP(F1924,songs!$B$1:$C$1539, 2, FALSE),"")</f>
        <v>Me And My Uncle</v>
      </c>
      <c r="H1924" t="s">
        <v>903</v>
      </c>
    </row>
    <row r="1925" spans="1:8" x14ac:dyDescent="0.25">
      <c r="A1925">
        <v>1924</v>
      </c>
      <c r="B1925" t="s">
        <v>2351</v>
      </c>
      <c r="C1925" t="s">
        <v>186</v>
      </c>
      <c r="D1925" t="str">
        <f t="shared" si="64"/>
        <v/>
      </c>
      <c r="E1925" t="str">
        <f t="shared" si="65"/>
        <v>mexicali blues</v>
      </c>
      <c r="F1925" t="s">
        <v>6499</v>
      </c>
      <c r="G1925" t="str">
        <f>_xlfn.IFNA(VLOOKUP(F1925,songs!$B$1:$C$1539, 2, FALSE),"")</f>
        <v>Mexicali Blues</v>
      </c>
      <c r="H1925" t="s">
        <v>186</v>
      </c>
    </row>
    <row r="1926" spans="1:8" x14ac:dyDescent="0.25">
      <c r="A1926">
        <v>1925</v>
      </c>
      <c r="B1926" t="s">
        <v>2352</v>
      </c>
      <c r="C1926" t="s">
        <v>2353</v>
      </c>
      <c r="D1926" t="str">
        <f t="shared" si="64"/>
        <v/>
      </c>
      <c r="E1926" t="str">
        <f t="shared" si="65"/>
        <v>maybe you know</v>
      </c>
      <c r="F1926" t="s">
        <v>6478</v>
      </c>
      <c r="G1926" t="str">
        <f>_xlfn.IFNA(VLOOKUP(F1926,songs!$B$1:$C$1539, 2, FALSE),"")</f>
        <v>Maybe You Know</v>
      </c>
      <c r="H1926" t="s">
        <v>2353</v>
      </c>
    </row>
    <row r="1927" spans="1:8" x14ac:dyDescent="0.25">
      <c r="A1927">
        <v>1926</v>
      </c>
      <c r="B1927" t="s">
        <v>2354</v>
      </c>
      <c r="C1927" t="s">
        <v>2355</v>
      </c>
      <c r="D1927" t="str">
        <f t="shared" si="64"/>
        <v/>
      </c>
      <c r="E1927" t="str">
        <f t="shared" si="65"/>
        <v>west l.a. fadeaway</v>
      </c>
      <c r="F1927" t="s">
        <v>7663</v>
      </c>
      <c r="G1927" t="str">
        <f>_xlfn.IFNA(VLOOKUP(F1927,songs!$B$1:$C$1539, 2, FALSE),"")</f>
        <v>West L.A. Fadeaway</v>
      </c>
      <c r="H1927" t="s">
        <v>2355</v>
      </c>
    </row>
    <row r="1928" spans="1:8" x14ac:dyDescent="0.25">
      <c r="A1928">
        <v>1927</v>
      </c>
      <c r="B1928" t="s">
        <v>2356</v>
      </c>
      <c r="C1928" t="s">
        <v>2201</v>
      </c>
      <c r="D1928" t="str">
        <f t="shared" si="64"/>
        <v/>
      </c>
      <c r="E1928" t="str">
        <f t="shared" si="65"/>
        <v>my brother esau</v>
      </c>
      <c r="F1928" t="s">
        <v>6590</v>
      </c>
      <c r="G1928" t="str">
        <f>_xlfn.IFNA(VLOOKUP(F1928,songs!$B$1:$C$1539, 2, FALSE),"")</f>
        <v>My Brother Esau</v>
      </c>
      <c r="H1928" t="s">
        <v>2201</v>
      </c>
    </row>
    <row r="1929" spans="1:8" x14ac:dyDescent="0.25">
      <c r="A1929">
        <v>1928</v>
      </c>
      <c r="B1929" t="s">
        <v>2357</v>
      </c>
      <c r="C1929" t="s">
        <v>1463</v>
      </c>
      <c r="D1929" t="str">
        <f t="shared" si="64"/>
        <v/>
      </c>
      <c r="E1929" t="str">
        <f t="shared" si="65"/>
        <v>it must have been the roses</v>
      </c>
      <c r="F1929" t="s">
        <v>6128</v>
      </c>
      <c r="G1929" t="str">
        <f>_xlfn.IFNA(VLOOKUP(F1929,songs!$B$1:$C$1539, 2, FALSE),"")</f>
        <v>It Must Have Been The Roses</v>
      </c>
      <c r="H1929" t="s">
        <v>1057</v>
      </c>
    </row>
    <row r="1930" spans="1:8" x14ac:dyDescent="0.25">
      <c r="A1930">
        <v>1929</v>
      </c>
      <c r="B1930" t="s">
        <v>2358</v>
      </c>
      <c r="C1930" t="s">
        <v>389</v>
      </c>
      <c r="D1930" t="str">
        <f t="shared" si="64"/>
        <v/>
      </c>
      <c r="E1930" t="str">
        <f t="shared" si="65"/>
        <v>let it grow</v>
      </c>
      <c r="F1930" t="s">
        <v>6308</v>
      </c>
      <c r="G1930" t="str">
        <f>_xlfn.IFNA(VLOOKUP(F1930,songs!$B$1:$C$1539, 2, FALSE),"")</f>
        <v>Let It Grow</v>
      </c>
      <c r="H1930" t="s">
        <v>389</v>
      </c>
    </row>
    <row r="1931" spans="1:8" x14ac:dyDescent="0.25">
      <c r="A1931">
        <v>1930</v>
      </c>
      <c r="B1931" t="s">
        <v>2359</v>
      </c>
      <c r="C1931" t="s">
        <v>2360</v>
      </c>
      <c r="D1931" t="str">
        <f t="shared" si="64"/>
        <v>&gt;</v>
      </c>
      <c r="E1931" t="str">
        <f t="shared" si="65"/>
        <v>help on the way</v>
      </c>
      <c r="F1931" t="s">
        <v>5895</v>
      </c>
      <c r="G1931" t="str">
        <f>_xlfn.IFNA(VLOOKUP(F1931,songs!$B$1:$C$1539, 2, FALSE),"")</f>
        <v>Help On The Way</v>
      </c>
      <c r="H1931" t="s">
        <v>1382</v>
      </c>
    </row>
    <row r="1932" spans="1:8" x14ac:dyDescent="0.25">
      <c r="A1932">
        <v>1931</v>
      </c>
      <c r="B1932" t="s">
        <v>2361</v>
      </c>
      <c r="C1932" t="s">
        <v>61</v>
      </c>
      <c r="D1932" t="str">
        <f t="shared" si="64"/>
        <v/>
      </c>
      <c r="E1932" t="str">
        <f t="shared" si="65"/>
        <v>slipknot!</v>
      </c>
      <c r="F1932" t="s">
        <v>7035</v>
      </c>
      <c r="G1932" t="str">
        <f>_xlfn.IFNA(VLOOKUP(F1932,songs!$B$1:$C$1539, 2, FALSE),"")</f>
        <v>Slipknot!</v>
      </c>
      <c r="H1932" t="s">
        <v>61</v>
      </c>
    </row>
    <row r="1933" spans="1:8" x14ac:dyDescent="0.25">
      <c r="A1933">
        <v>1932</v>
      </c>
      <c r="B1933" t="s">
        <v>2362</v>
      </c>
      <c r="C1933" t="s">
        <v>63</v>
      </c>
      <c r="D1933" t="str">
        <f t="shared" si="64"/>
        <v/>
      </c>
      <c r="E1933" t="str">
        <f t="shared" si="65"/>
        <v>franklin's tower</v>
      </c>
      <c r="F1933" t="s">
        <v>5712</v>
      </c>
      <c r="G1933" t="str">
        <f>_xlfn.IFNA(VLOOKUP(F1933,songs!$B$1:$C$1539, 2, FALSE),"")</f>
        <v>Franklin's Tower</v>
      </c>
      <c r="H1933" t="s">
        <v>63</v>
      </c>
    </row>
    <row r="1934" spans="1:8" x14ac:dyDescent="0.25">
      <c r="A1934">
        <v>2008</v>
      </c>
      <c r="B1934" t="s">
        <v>2445</v>
      </c>
      <c r="C1934" t="s">
        <v>44</v>
      </c>
      <c r="D1934" t="str">
        <f t="shared" si="64"/>
        <v/>
      </c>
      <c r="E1934" t="str">
        <f t="shared" si="65"/>
        <v>goin' down the road feeling bad</v>
      </c>
      <c r="F1934" t="s">
        <v>5783</v>
      </c>
      <c r="G1934" t="str">
        <f>_xlfn.IFNA(VLOOKUP(F1934,songs!$B$1:$C$1539, 2, FALSE),"")</f>
        <v>Goin' Down The Road Feelin' Bad</v>
      </c>
      <c r="H1934" t="s">
        <v>7867</v>
      </c>
    </row>
    <row r="1935" spans="1:8" x14ac:dyDescent="0.25">
      <c r="A1935">
        <v>1934</v>
      </c>
      <c r="B1935" t="s">
        <v>2364</v>
      </c>
      <c r="C1935" t="s">
        <v>100</v>
      </c>
      <c r="D1935" t="str">
        <f t="shared" si="64"/>
        <v/>
      </c>
      <c r="E1935" t="str">
        <f t="shared" si="65"/>
        <v>drums</v>
      </c>
      <c r="F1935" t="s">
        <v>5568</v>
      </c>
      <c r="G1935" t="str">
        <f>_xlfn.IFNA(VLOOKUP(F1935,songs!$B$1:$C$1539, 2, FALSE),"")</f>
        <v>Drums</v>
      </c>
      <c r="H1935" t="s">
        <v>100</v>
      </c>
    </row>
    <row r="1936" spans="1:8" x14ac:dyDescent="0.25">
      <c r="A1936">
        <v>1935</v>
      </c>
      <c r="B1936" t="s">
        <v>2365</v>
      </c>
      <c r="C1936" t="s">
        <v>277</v>
      </c>
      <c r="D1936" t="str">
        <f t="shared" si="64"/>
        <v/>
      </c>
      <c r="E1936" t="str">
        <f t="shared" si="65"/>
        <v>space</v>
      </c>
      <c r="F1936" t="s">
        <v>7091</v>
      </c>
      <c r="G1936" t="str">
        <f>_xlfn.IFNA(VLOOKUP(F1936,songs!$B$1:$C$1539, 2, FALSE),"")</f>
        <v>Space</v>
      </c>
      <c r="H1936" t="s">
        <v>277</v>
      </c>
    </row>
    <row r="1937" spans="1:8" x14ac:dyDescent="0.25">
      <c r="A1937">
        <v>1936</v>
      </c>
      <c r="B1937" t="s">
        <v>2366</v>
      </c>
      <c r="C1937" t="s">
        <v>15</v>
      </c>
      <c r="D1937" t="str">
        <f t="shared" si="64"/>
        <v/>
      </c>
      <c r="E1937" t="str">
        <f t="shared" si="65"/>
        <v>truckin'</v>
      </c>
      <c r="F1937" t="s">
        <v>7436</v>
      </c>
      <c r="G1937" t="str">
        <f>_xlfn.IFNA(VLOOKUP(F1937,songs!$B$1:$C$1539, 2, FALSE),"")</f>
        <v>Truckin'</v>
      </c>
      <c r="H1937" t="s">
        <v>15</v>
      </c>
    </row>
    <row r="1938" spans="1:8" x14ac:dyDescent="0.25">
      <c r="A1938">
        <v>1937</v>
      </c>
      <c r="B1938" t="s">
        <v>2367</v>
      </c>
      <c r="C1938" t="s">
        <v>212</v>
      </c>
      <c r="D1938" t="str">
        <f t="shared" si="64"/>
        <v/>
      </c>
      <c r="E1938" t="str">
        <f t="shared" si="65"/>
        <v>morning dew</v>
      </c>
      <c r="F1938" t="s">
        <v>6555</v>
      </c>
      <c r="G1938" t="str">
        <f>_xlfn.IFNA(VLOOKUP(F1938,songs!$B$1:$C$1539, 2, FALSE),"")</f>
        <v>Morning Dew</v>
      </c>
      <c r="H1938" t="s">
        <v>212</v>
      </c>
    </row>
    <row r="1939" spans="1:8" x14ac:dyDescent="0.25">
      <c r="A1939">
        <v>1938</v>
      </c>
      <c r="B1939" t="s">
        <v>2368</v>
      </c>
      <c r="C1939" t="s">
        <v>877</v>
      </c>
      <c r="D1939" t="str">
        <f t="shared" si="64"/>
        <v/>
      </c>
      <c r="E1939" t="str">
        <f t="shared" si="65"/>
        <v>throwing stones</v>
      </c>
      <c r="F1939" t="s">
        <v>7383</v>
      </c>
      <c r="G1939" t="str">
        <f>_xlfn.IFNA(VLOOKUP(F1939,songs!$B$1:$C$1539, 2, FALSE),"")</f>
        <v>Throwing Stones</v>
      </c>
      <c r="H1939" t="s">
        <v>877</v>
      </c>
    </row>
    <row r="1940" spans="1:8" x14ac:dyDescent="0.25">
      <c r="A1940">
        <v>1939</v>
      </c>
      <c r="B1940" t="s">
        <v>2369</v>
      </c>
      <c r="C1940" t="s">
        <v>34</v>
      </c>
      <c r="D1940" t="str">
        <f t="shared" si="64"/>
        <v/>
      </c>
      <c r="E1940" t="str">
        <f t="shared" si="65"/>
        <v>not fade away</v>
      </c>
      <c r="F1940" t="s">
        <v>6651</v>
      </c>
      <c r="G1940" t="str">
        <f>_xlfn.IFNA(VLOOKUP(F1940,songs!$B$1:$C$1539, 2, FALSE),"")</f>
        <v>Not Fade Away</v>
      </c>
      <c r="H1940" t="s">
        <v>34</v>
      </c>
    </row>
    <row r="1941" spans="1:8" x14ac:dyDescent="0.25">
      <c r="A1941">
        <v>1940</v>
      </c>
      <c r="B1941" t="s">
        <v>2370</v>
      </c>
      <c r="C1941" t="s">
        <v>183</v>
      </c>
      <c r="D1941" t="str">
        <f t="shared" si="64"/>
        <v/>
      </c>
      <c r="E1941" t="str">
        <f t="shared" si="65"/>
        <v>u.s. blues</v>
      </c>
      <c r="F1941" t="s">
        <v>7464</v>
      </c>
      <c r="G1941" t="str">
        <f>_xlfn.IFNA(VLOOKUP(F1941,songs!$B$1:$C$1539, 2, FALSE),"")</f>
        <v>U.S. Blues</v>
      </c>
      <c r="H1941" t="s">
        <v>183</v>
      </c>
    </row>
    <row r="1942" spans="1:8" x14ac:dyDescent="0.25">
      <c r="A1942">
        <v>1941</v>
      </c>
      <c r="B1942" t="s">
        <v>2371</v>
      </c>
      <c r="C1942" t="s">
        <v>277</v>
      </c>
      <c r="D1942" t="str">
        <f t="shared" si="64"/>
        <v/>
      </c>
      <c r="E1942" t="str">
        <f t="shared" si="65"/>
        <v>space</v>
      </c>
      <c r="F1942" t="s">
        <v>7091</v>
      </c>
      <c r="G1942" t="str">
        <f>_xlfn.IFNA(VLOOKUP(F1942,songs!$B$1:$C$1539, 2, FALSE),"")</f>
        <v>Space</v>
      </c>
      <c r="H1942" t="s">
        <v>277</v>
      </c>
    </row>
    <row r="1943" spans="1:8" x14ac:dyDescent="0.25">
      <c r="A1943">
        <v>1942</v>
      </c>
      <c r="B1943" t="s">
        <v>2372</v>
      </c>
      <c r="C1943" t="s">
        <v>567</v>
      </c>
      <c r="D1943" t="str">
        <f t="shared" si="64"/>
        <v/>
      </c>
      <c r="E1943" t="str">
        <f t="shared" si="65"/>
        <v>the wheel</v>
      </c>
      <c r="F1943" t="s">
        <v>7343</v>
      </c>
      <c r="G1943" t="str">
        <f>_xlfn.IFNA(VLOOKUP(F1943,songs!$B$1:$C$1539, 2, FALSE),"")</f>
        <v>The Wheel</v>
      </c>
      <c r="H1943" t="s">
        <v>567</v>
      </c>
    </row>
    <row r="1944" spans="1:8" x14ac:dyDescent="0.25">
      <c r="A1944">
        <v>1943</v>
      </c>
      <c r="B1944" t="s">
        <v>2373</v>
      </c>
      <c r="C1944" t="s">
        <v>419</v>
      </c>
      <c r="D1944" t="str">
        <f t="shared" si="64"/>
        <v/>
      </c>
      <c r="E1944" t="str">
        <f t="shared" si="65"/>
        <v>playing in the band</v>
      </c>
      <c r="F1944" t="s">
        <v>6769</v>
      </c>
      <c r="G1944" t="str">
        <f>_xlfn.IFNA(VLOOKUP(F1944,songs!$B$1:$C$1539, 2, FALSE),"")</f>
        <v>Playing In The Band</v>
      </c>
      <c r="H1944" t="s">
        <v>419</v>
      </c>
    </row>
    <row r="1945" spans="1:8" x14ac:dyDescent="0.25">
      <c r="A1945">
        <v>1944</v>
      </c>
      <c r="B1945" t="s">
        <v>2374</v>
      </c>
      <c r="C1945" t="s">
        <v>2375</v>
      </c>
      <c r="D1945" t="str">
        <f t="shared" si="64"/>
        <v/>
      </c>
      <c r="E1945" t="str">
        <f t="shared" si="65"/>
        <v>goin' down the road feelin' bad</v>
      </c>
      <c r="F1945" t="s">
        <v>5783</v>
      </c>
      <c r="G1945" t="str">
        <f>_xlfn.IFNA(VLOOKUP(F1945,songs!$B$1:$C$1539, 2, FALSE),"")</f>
        <v>Goin' Down The Road Feelin' Bad</v>
      </c>
      <c r="H1945" t="s">
        <v>2375</v>
      </c>
    </row>
    <row r="1946" spans="1:8" x14ac:dyDescent="0.25">
      <c r="A1946">
        <v>1945</v>
      </c>
      <c r="B1946" t="s">
        <v>2376</v>
      </c>
      <c r="C1946" t="s">
        <v>30</v>
      </c>
      <c r="D1946" t="str">
        <f t="shared" si="64"/>
        <v/>
      </c>
      <c r="E1946" t="str">
        <f t="shared" si="65"/>
        <v>sugar magnolia</v>
      </c>
      <c r="F1946" t="s">
        <v>7150</v>
      </c>
      <c r="G1946" t="str">
        <f>_xlfn.IFNA(VLOOKUP(F1946,songs!$B$1:$C$1539, 2, FALSE),"")</f>
        <v>Sugar Magnolia</v>
      </c>
      <c r="H1946" t="s">
        <v>30</v>
      </c>
    </row>
    <row r="1947" spans="1:8" x14ac:dyDescent="0.25">
      <c r="A1947">
        <v>2023</v>
      </c>
      <c r="B1947" t="s">
        <v>2462</v>
      </c>
      <c r="C1947" t="s">
        <v>615</v>
      </c>
      <c r="D1947" t="str">
        <f t="shared" si="64"/>
        <v/>
      </c>
      <c r="E1947" t="str">
        <f t="shared" si="65"/>
        <v>brown-eyed women</v>
      </c>
      <c r="F1947" t="s">
        <v>5255</v>
      </c>
      <c r="G1947" t="str">
        <f>_xlfn.IFNA(VLOOKUP(F1947,songs!$B$1:$C$1539, 2, FALSE),"")</f>
        <v>Brown Eyed Women</v>
      </c>
      <c r="H1947" t="s">
        <v>7867</v>
      </c>
    </row>
    <row r="1948" spans="1:8" x14ac:dyDescent="0.25">
      <c r="A1948">
        <v>1947</v>
      </c>
      <c r="B1948" t="s">
        <v>2378</v>
      </c>
      <c r="C1948" t="s">
        <v>13</v>
      </c>
      <c r="D1948" t="str">
        <f t="shared" si="64"/>
        <v/>
      </c>
      <c r="E1948" t="str">
        <f t="shared" si="65"/>
        <v>he's gone</v>
      </c>
      <c r="F1948" t="s">
        <v>5903</v>
      </c>
      <c r="G1948" t="str">
        <f>_xlfn.IFNA(VLOOKUP(F1948,songs!$B$1:$C$1539, 2, FALSE),"")</f>
        <v>He's Gone</v>
      </c>
      <c r="H1948" t="s">
        <v>13</v>
      </c>
    </row>
    <row r="1949" spans="1:8" x14ac:dyDescent="0.25">
      <c r="A1949">
        <v>1948</v>
      </c>
      <c r="B1949" t="s">
        <v>2379</v>
      </c>
      <c r="C1949" t="s">
        <v>2380</v>
      </c>
      <c r="D1949" t="str">
        <f t="shared" si="64"/>
        <v/>
      </c>
      <c r="E1949" t="str">
        <f t="shared" si="65"/>
        <v>little star</v>
      </c>
      <c r="F1949" t="s">
        <v>6362</v>
      </c>
      <c r="G1949" t="str">
        <f>_xlfn.IFNA(VLOOKUP(F1949,songs!$B$1:$C$1539, 2, FALSE),"")</f>
        <v>Little Star</v>
      </c>
      <c r="H1949" t="s">
        <v>2380</v>
      </c>
    </row>
    <row r="1950" spans="1:8" x14ac:dyDescent="0.25">
      <c r="A1950">
        <v>1949</v>
      </c>
      <c r="B1950" t="s">
        <v>2381</v>
      </c>
      <c r="C1950" t="s">
        <v>1382</v>
      </c>
      <c r="D1950" t="str">
        <f t="shared" si="64"/>
        <v/>
      </c>
      <c r="E1950" t="str">
        <f t="shared" si="65"/>
        <v>help on the way</v>
      </c>
      <c r="F1950" t="s">
        <v>5895</v>
      </c>
      <c r="G1950" t="str">
        <f>_xlfn.IFNA(VLOOKUP(F1950,songs!$B$1:$C$1539, 2, FALSE),"")</f>
        <v>Help On The Way</v>
      </c>
      <c r="H1950" t="s">
        <v>1382</v>
      </c>
    </row>
    <row r="1951" spans="1:8" x14ac:dyDescent="0.25">
      <c r="A1951">
        <v>1950</v>
      </c>
      <c r="B1951" t="s">
        <v>2382</v>
      </c>
      <c r="C1951" t="s">
        <v>61</v>
      </c>
      <c r="D1951" t="str">
        <f t="shared" si="64"/>
        <v/>
      </c>
      <c r="E1951" t="str">
        <f t="shared" si="65"/>
        <v>slipknot!</v>
      </c>
      <c r="F1951" t="s">
        <v>7035</v>
      </c>
      <c r="G1951" t="str">
        <f>_xlfn.IFNA(VLOOKUP(F1951,songs!$B$1:$C$1539, 2, FALSE),"")</f>
        <v>Slipknot!</v>
      </c>
      <c r="H1951" t="s">
        <v>61</v>
      </c>
    </row>
    <row r="1952" spans="1:8" x14ac:dyDescent="0.25">
      <c r="A1952">
        <v>1951</v>
      </c>
      <c r="B1952" t="s">
        <v>2383</v>
      </c>
      <c r="C1952" t="s">
        <v>63</v>
      </c>
      <c r="D1952" t="str">
        <f t="shared" si="64"/>
        <v/>
      </c>
      <c r="E1952" t="str">
        <f t="shared" si="65"/>
        <v>franklin's tower</v>
      </c>
      <c r="F1952" t="s">
        <v>5712</v>
      </c>
      <c r="G1952" t="str">
        <f>_xlfn.IFNA(VLOOKUP(F1952,songs!$B$1:$C$1539, 2, FALSE),"")</f>
        <v>Franklin's Tower</v>
      </c>
      <c r="H1952" t="s">
        <v>63</v>
      </c>
    </row>
    <row r="1953" spans="1:8" x14ac:dyDescent="0.25">
      <c r="A1953">
        <v>2024</v>
      </c>
      <c r="B1953" t="s">
        <v>2463</v>
      </c>
      <c r="C1953" t="s">
        <v>122</v>
      </c>
      <c r="D1953" t="str">
        <f t="shared" si="64"/>
        <v/>
      </c>
      <c r="E1953" t="str">
        <f t="shared" si="65"/>
        <v>new minglewood blues</v>
      </c>
      <c r="F1953" t="s">
        <v>7869</v>
      </c>
      <c r="G1953" t="str">
        <f>_xlfn.IFNA(VLOOKUP(F1953,songs!$B$1:$C$1539, 2, FALSE),"")</f>
        <v>Minglewood Blues</v>
      </c>
      <c r="H1953" t="s">
        <v>7867</v>
      </c>
    </row>
    <row r="1954" spans="1:8" x14ac:dyDescent="0.25">
      <c r="A1954">
        <v>1953</v>
      </c>
      <c r="B1954" t="s">
        <v>2385</v>
      </c>
      <c r="C1954" t="s">
        <v>2386</v>
      </c>
      <c r="D1954" t="str">
        <f t="shared" si="64"/>
        <v/>
      </c>
      <c r="E1954" t="str">
        <f t="shared" si="65"/>
        <v>easy to love you</v>
      </c>
      <c r="F1954" t="s">
        <v>5584</v>
      </c>
      <c r="G1954" t="str">
        <f>_xlfn.IFNA(VLOOKUP(F1954,songs!$B$1:$C$1539, 2, FALSE),"")</f>
        <v>Easy To Love You</v>
      </c>
      <c r="H1954" t="s">
        <v>2386</v>
      </c>
    </row>
    <row r="1955" spans="1:8" x14ac:dyDescent="0.25">
      <c r="A1955">
        <v>1954</v>
      </c>
      <c r="B1955" t="s">
        <v>2387</v>
      </c>
      <c r="C1955" t="s">
        <v>461</v>
      </c>
      <c r="D1955" t="str">
        <f t="shared" si="64"/>
        <v/>
      </c>
      <c r="E1955" t="str">
        <f t="shared" si="65"/>
        <v>peggy-o</v>
      </c>
      <c r="F1955" t="s">
        <v>6749</v>
      </c>
      <c r="G1955" t="str">
        <f>_xlfn.IFNA(VLOOKUP(F1955,songs!$B$1:$C$1539, 2, FALSE),"")</f>
        <v>Peggy-O</v>
      </c>
      <c r="H1955" t="s">
        <v>461</v>
      </c>
    </row>
    <row r="1956" spans="1:8" x14ac:dyDescent="0.25">
      <c r="A1956">
        <v>1955</v>
      </c>
      <c r="B1956" t="s">
        <v>2388</v>
      </c>
      <c r="C1956" t="s">
        <v>2389</v>
      </c>
      <c r="D1956" t="str">
        <f t="shared" si="64"/>
        <v/>
      </c>
      <c r="E1956" t="str">
        <f t="shared" si="65"/>
        <v>when i paint my masterpiece</v>
      </c>
      <c r="F1956" t="s">
        <v>7692</v>
      </c>
      <c r="G1956" t="str">
        <f>_xlfn.IFNA(VLOOKUP(F1956,songs!$B$1:$C$1539, 2, FALSE),"")</f>
        <v>When I Paint My Masterpiece</v>
      </c>
      <c r="H1956" t="s">
        <v>2389</v>
      </c>
    </row>
    <row r="1957" spans="1:8" x14ac:dyDescent="0.25">
      <c r="A1957">
        <v>2038</v>
      </c>
      <c r="B1957" t="s">
        <v>2486</v>
      </c>
      <c r="C1957" t="s">
        <v>2487</v>
      </c>
      <c r="D1957" t="str">
        <f t="shared" si="64"/>
        <v>&gt;</v>
      </c>
      <c r="E1957" t="str">
        <f t="shared" si="65"/>
        <v>goin' down the road feeling bad</v>
      </c>
      <c r="F1957" t="s">
        <v>5783</v>
      </c>
      <c r="G1957" t="str">
        <f>_xlfn.IFNA(VLOOKUP(F1957,songs!$B$1:$C$1539, 2, FALSE),"")</f>
        <v>Goin' Down The Road Feelin' Bad</v>
      </c>
      <c r="H1957" t="s">
        <v>7867</v>
      </c>
    </row>
    <row r="1958" spans="1:8" x14ac:dyDescent="0.25">
      <c r="A1958">
        <v>1957</v>
      </c>
      <c r="B1958" t="s">
        <v>2391</v>
      </c>
      <c r="C1958" t="s">
        <v>262</v>
      </c>
      <c r="D1958" t="str">
        <f t="shared" si="64"/>
        <v/>
      </c>
      <c r="E1958" t="str">
        <f t="shared" si="65"/>
        <v>cassidy</v>
      </c>
      <c r="F1958" t="s">
        <v>5291</v>
      </c>
      <c r="G1958" t="str">
        <f>_xlfn.IFNA(VLOOKUP(F1958,songs!$B$1:$C$1539, 2, FALSE),"")</f>
        <v>Cassidy</v>
      </c>
      <c r="H1958" t="s">
        <v>262</v>
      </c>
    </row>
    <row r="1959" spans="1:8" x14ac:dyDescent="0.25">
      <c r="A1959">
        <v>1958</v>
      </c>
      <c r="B1959" t="s">
        <v>2392</v>
      </c>
      <c r="C1959" t="s">
        <v>264</v>
      </c>
      <c r="D1959" t="str">
        <f t="shared" si="64"/>
        <v/>
      </c>
      <c r="E1959" t="str">
        <f t="shared" si="65"/>
        <v>deal</v>
      </c>
      <c r="F1959" t="s">
        <v>5461</v>
      </c>
      <c r="G1959" t="str">
        <f>_xlfn.IFNA(VLOOKUP(F1959,songs!$B$1:$C$1539, 2, FALSE),"")</f>
        <v>Deal</v>
      </c>
      <c r="H1959" t="s">
        <v>264</v>
      </c>
    </row>
    <row r="1960" spans="1:8" x14ac:dyDescent="0.25">
      <c r="A1960">
        <v>1959</v>
      </c>
      <c r="B1960" t="s">
        <v>2393</v>
      </c>
      <c r="C1960" t="s">
        <v>84</v>
      </c>
      <c r="D1960" t="str">
        <f t="shared" si="64"/>
        <v/>
      </c>
      <c r="E1960" t="str">
        <f t="shared" si="65"/>
        <v>china cat sunflower</v>
      </c>
      <c r="F1960" t="s">
        <v>5319</v>
      </c>
      <c r="G1960" t="str">
        <f>_xlfn.IFNA(VLOOKUP(F1960,songs!$B$1:$C$1539, 2, FALSE),"")</f>
        <v>China Cat Sunflower</v>
      </c>
      <c r="H1960" t="s">
        <v>84</v>
      </c>
    </row>
    <row r="1961" spans="1:8" x14ac:dyDescent="0.25">
      <c r="A1961">
        <v>1960</v>
      </c>
      <c r="B1961" t="s">
        <v>2394</v>
      </c>
      <c r="C1961" t="s">
        <v>86</v>
      </c>
      <c r="D1961" t="str">
        <f t="shared" si="64"/>
        <v/>
      </c>
      <c r="E1961" t="str">
        <f t="shared" si="65"/>
        <v>i know you rider</v>
      </c>
      <c r="F1961" t="s">
        <v>6020</v>
      </c>
      <c r="G1961" t="str">
        <f>_xlfn.IFNA(VLOOKUP(F1961,songs!$B$1:$C$1539, 2, FALSE),"")</f>
        <v>I Know You Rider</v>
      </c>
      <c r="H1961" t="s">
        <v>86</v>
      </c>
    </row>
    <row r="1962" spans="1:8" x14ac:dyDescent="0.25">
      <c r="A1962">
        <v>1961</v>
      </c>
      <c r="B1962" t="s">
        <v>2395</v>
      </c>
      <c r="C1962" t="s">
        <v>126</v>
      </c>
      <c r="D1962" t="str">
        <f t="shared" si="64"/>
        <v/>
      </c>
      <c r="E1962" t="str">
        <f t="shared" si="65"/>
        <v>looks like rain</v>
      </c>
      <c r="F1962" t="s">
        <v>6398</v>
      </c>
      <c r="G1962" t="str">
        <f>_xlfn.IFNA(VLOOKUP(F1962,songs!$B$1:$C$1539, 2, FALSE),"")</f>
        <v>Looks Like Rain</v>
      </c>
      <c r="H1962" t="s">
        <v>126</v>
      </c>
    </row>
    <row r="1963" spans="1:8" x14ac:dyDescent="0.25">
      <c r="A1963">
        <v>1962</v>
      </c>
      <c r="B1963" t="s">
        <v>2396</v>
      </c>
      <c r="C1963" t="s">
        <v>75</v>
      </c>
      <c r="D1963" t="str">
        <f t="shared" si="64"/>
        <v/>
      </c>
      <c r="E1963" t="str">
        <f t="shared" si="65"/>
        <v>terrapin station</v>
      </c>
      <c r="F1963" t="s">
        <v>7237</v>
      </c>
      <c r="G1963" t="str">
        <f>_xlfn.IFNA(VLOOKUP(F1963,songs!$B$1:$C$1539, 2, FALSE),"")</f>
        <v>Terrapin Station</v>
      </c>
      <c r="H1963" t="s">
        <v>75</v>
      </c>
    </row>
    <row r="1964" spans="1:8" x14ac:dyDescent="0.25">
      <c r="A1964">
        <v>1963</v>
      </c>
      <c r="B1964" t="s">
        <v>2397</v>
      </c>
      <c r="C1964" t="s">
        <v>19</v>
      </c>
      <c r="D1964" t="str">
        <f t="shared" si="64"/>
        <v/>
      </c>
      <c r="E1964" t="str">
        <f t="shared" si="65"/>
        <v>jam</v>
      </c>
      <c r="F1964" t="s">
        <v>6165</v>
      </c>
      <c r="G1964" t="str">
        <f>_xlfn.IFNA(VLOOKUP(F1964,songs!$B$1:$C$1539, 2, FALSE),"")</f>
        <v>Jam</v>
      </c>
      <c r="H1964" t="s">
        <v>19</v>
      </c>
    </row>
    <row r="1965" spans="1:8" x14ac:dyDescent="0.25">
      <c r="A1965">
        <v>1964</v>
      </c>
      <c r="B1965" t="s">
        <v>2398</v>
      </c>
      <c r="C1965" t="s">
        <v>100</v>
      </c>
      <c r="D1965" t="str">
        <f t="shared" si="64"/>
        <v/>
      </c>
      <c r="E1965" t="str">
        <f t="shared" si="65"/>
        <v>drums</v>
      </c>
      <c r="F1965" t="s">
        <v>5568</v>
      </c>
      <c r="G1965" t="str">
        <f>_xlfn.IFNA(VLOOKUP(F1965,songs!$B$1:$C$1539, 2, FALSE),"")</f>
        <v>Drums</v>
      </c>
      <c r="H1965" t="s">
        <v>100</v>
      </c>
    </row>
    <row r="1966" spans="1:8" x14ac:dyDescent="0.25">
      <c r="A1966">
        <v>1965</v>
      </c>
      <c r="B1966" t="s">
        <v>2399</v>
      </c>
      <c r="C1966" t="s">
        <v>277</v>
      </c>
      <c r="D1966" t="str">
        <f t="shared" si="64"/>
        <v/>
      </c>
      <c r="E1966" t="str">
        <f t="shared" si="65"/>
        <v>space</v>
      </c>
      <c r="F1966" t="s">
        <v>7091</v>
      </c>
      <c r="G1966" t="str">
        <f>_xlfn.IFNA(VLOOKUP(F1966,songs!$B$1:$C$1539, 2, FALSE),"")</f>
        <v>Space</v>
      </c>
      <c r="H1966" t="s">
        <v>277</v>
      </c>
    </row>
    <row r="1967" spans="1:8" x14ac:dyDescent="0.25">
      <c r="A1967">
        <v>1966</v>
      </c>
      <c r="B1967" t="s">
        <v>2400</v>
      </c>
      <c r="C1967" t="s">
        <v>139</v>
      </c>
      <c r="D1967" t="str">
        <f t="shared" si="64"/>
        <v/>
      </c>
      <c r="E1967" t="str">
        <f t="shared" si="65"/>
        <v>the other one</v>
      </c>
      <c r="F1967" t="s">
        <v>7325</v>
      </c>
      <c r="G1967" t="str">
        <f>_xlfn.IFNA(VLOOKUP(F1967,songs!$B$1:$C$1539, 2, FALSE),"")</f>
        <v>The Other One</v>
      </c>
      <c r="H1967" t="s">
        <v>139</v>
      </c>
    </row>
    <row r="1968" spans="1:8" x14ac:dyDescent="0.25">
      <c r="A1968">
        <v>1967</v>
      </c>
      <c r="B1968" t="s">
        <v>2401</v>
      </c>
      <c r="C1968" t="s">
        <v>212</v>
      </c>
      <c r="D1968" t="str">
        <f t="shared" si="64"/>
        <v/>
      </c>
      <c r="E1968" t="str">
        <f t="shared" si="65"/>
        <v>morning dew</v>
      </c>
      <c r="F1968" t="s">
        <v>6555</v>
      </c>
      <c r="G1968" t="str">
        <f>_xlfn.IFNA(VLOOKUP(F1968,songs!$B$1:$C$1539, 2, FALSE),"")</f>
        <v>Morning Dew</v>
      </c>
      <c r="H1968" t="s">
        <v>212</v>
      </c>
    </row>
    <row r="1969" spans="1:8" x14ac:dyDescent="0.25">
      <c r="A1969">
        <v>1968</v>
      </c>
      <c r="B1969" t="s">
        <v>2402</v>
      </c>
      <c r="C1969" t="s">
        <v>2403</v>
      </c>
      <c r="D1969" t="str">
        <f t="shared" si="64"/>
        <v/>
      </c>
      <c r="E1969" t="str">
        <f t="shared" si="65"/>
        <v>the weight</v>
      </c>
      <c r="F1969" t="s">
        <v>7342</v>
      </c>
      <c r="G1969" t="str">
        <f>_xlfn.IFNA(VLOOKUP(F1969,songs!$B$1:$C$1539, 2, FALSE),"")</f>
        <v>The Weight</v>
      </c>
      <c r="H1969" t="s">
        <v>2403</v>
      </c>
    </row>
    <row r="1970" spans="1:8" x14ac:dyDescent="0.25">
      <c r="A1970">
        <v>1969</v>
      </c>
      <c r="B1970" t="s">
        <v>2404</v>
      </c>
      <c r="C1970" t="s">
        <v>199</v>
      </c>
      <c r="D1970" t="str">
        <f t="shared" si="64"/>
        <v/>
      </c>
      <c r="E1970" t="str">
        <f t="shared" si="65"/>
        <v>jack straw</v>
      </c>
      <c r="F1970" t="s">
        <v>6161</v>
      </c>
      <c r="G1970" t="str">
        <f>_xlfn.IFNA(VLOOKUP(F1970,songs!$B$1:$C$1539, 2, FALSE),"")</f>
        <v>Jack Straw</v>
      </c>
      <c r="H1970" t="s">
        <v>199</v>
      </c>
    </row>
    <row r="1971" spans="1:8" x14ac:dyDescent="0.25">
      <c r="A1971">
        <v>1970</v>
      </c>
      <c r="B1971" t="s">
        <v>2405</v>
      </c>
      <c r="C1971" t="s">
        <v>156</v>
      </c>
      <c r="D1971" t="str">
        <f t="shared" si="64"/>
        <v/>
      </c>
      <c r="E1971" t="str">
        <f t="shared" si="65"/>
        <v>they love each other</v>
      </c>
      <c r="F1971" t="s">
        <v>7358</v>
      </c>
      <c r="G1971" t="str">
        <f>_xlfn.IFNA(VLOOKUP(F1971,songs!$B$1:$C$1539, 2, FALSE),"")</f>
        <v>They Love Each Other</v>
      </c>
      <c r="H1971" t="s">
        <v>156</v>
      </c>
    </row>
    <row r="1972" spans="1:8" x14ac:dyDescent="0.25">
      <c r="A1972">
        <v>1971</v>
      </c>
      <c r="B1972" t="s">
        <v>2406</v>
      </c>
      <c r="C1972" t="s">
        <v>2227</v>
      </c>
      <c r="D1972" t="str">
        <f t="shared" si="64"/>
        <v/>
      </c>
      <c r="E1972" t="str">
        <f t="shared" si="65"/>
        <v>desolation row</v>
      </c>
      <c r="F1972" t="s">
        <v>5484</v>
      </c>
      <c r="G1972" t="str">
        <f>_xlfn.IFNA(VLOOKUP(F1972,songs!$B$1:$C$1539, 2, FALSE),"")</f>
        <v>Desolation Row</v>
      </c>
      <c r="H1972" t="s">
        <v>2227</v>
      </c>
    </row>
    <row r="1973" spans="1:8" x14ac:dyDescent="0.25">
      <c r="A1973">
        <v>1972</v>
      </c>
      <c r="B1973" t="s">
        <v>2407</v>
      </c>
      <c r="C1973" t="s">
        <v>188</v>
      </c>
      <c r="D1973" t="str">
        <f t="shared" si="64"/>
        <v/>
      </c>
      <c r="E1973" t="str">
        <f t="shared" si="65"/>
        <v>row jimmy</v>
      </c>
      <c r="F1973" t="s">
        <v>6893</v>
      </c>
      <c r="G1973" t="str">
        <f>_xlfn.IFNA(VLOOKUP(F1973,songs!$B$1:$C$1539, 2, FALSE),"")</f>
        <v>Row Jimmy</v>
      </c>
      <c r="H1973" t="s">
        <v>188</v>
      </c>
    </row>
    <row r="1974" spans="1:8" x14ac:dyDescent="0.25">
      <c r="A1974">
        <v>1973</v>
      </c>
      <c r="B1974" t="s">
        <v>2408</v>
      </c>
      <c r="C1974" t="s">
        <v>2409</v>
      </c>
      <c r="D1974" t="str">
        <f t="shared" ref="D1974:D2037" si="66">IF(RIGHT(TRIM(C1974),2)="-&gt;","&gt;",IF(RIGHT(TRIM(C1974),1)="&gt;","&gt;",""))</f>
        <v/>
      </c>
      <c r="E1974" t="str">
        <f t="shared" si="65"/>
        <v>picasso moon</v>
      </c>
      <c r="F1974" t="s">
        <v>6756</v>
      </c>
      <c r="G1974" t="str">
        <f>_xlfn.IFNA(VLOOKUP(F1974,songs!$B$1:$C$1539, 2, FALSE),"")</f>
        <v>Picasso Moon</v>
      </c>
      <c r="H1974" t="s">
        <v>2409</v>
      </c>
    </row>
    <row r="1975" spans="1:8" x14ac:dyDescent="0.25">
      <c r="A1975">
        <v>1974</v>
      </c>
      <c r="B1975" t="s">
        <v>2410</v>
      </c>
      <c r="C1975" t="s">
        <v>161</v>
      </c>
      <c r="D1975" t="str">
        <f t="shared" si="66"/>
        <v/>
      </c>
      <c r="E1975" t="str">
        <f t="shared" si="65"/>
        <v>althea</v>
      </c>
      <c r="F1975" t="s">
        <v>5073</v>
      </c>
      <c r="G1975" t="str">
        <f>_xlfn.IFNA(VLOOKUP(F1975,songs!$B$1:$C$1539, 2, FALSE),"")</f>
        <v>Althea</v>
      </c>
      <c r="H1975" t="s">
        <v>161</v>
      </c>
    </row>
    <row r="1976" spans="1:8" x14ac:dyDescent="0.25">
      <c r="A1976">
        <v>1975</v>
      </c>
      <c r="B1976" t="s">
        <v>2411</v>
      </c>
      <c r="C1976" t="s">
        <v>130</v>
      </c>
      <c r="D1976" t="str">
        <f t="shared" si="66"/>
        <v/>
      </c>
      <c r="E1976" t="str">
        <f t="shared" si="65"/>
        <v>promised land</v>
      </c>
      <c r="F1976" t="s">
        <v>6797</v>
      </c>
      <c r="G1976" t="str">
        <f>_xlfn.IFNA(VLOOKUP(F1976,songs!$B$1:$C$1539, 2, FALSE),"")</f>
        <v>Promised Land</v>
      </c>
      <c r="H1976" t="s">
        <v>130</v>
      </c>
    </row>
    <row r="1977" spans="1:8" x14ac:dyDescent="0.25">
      <c r="A1977">
        <v>1976</v>
      </c>
      <c r="B1977" t="s">
        <v>2412</v>
      </c>
      <c r="C1977" t="s">
        <v>524</v>
      </c>
      <c r="D1977" t="str">
        <f t="shared" si="66"/>
        <v/>
      </c>
      <c r="E1977" t="str">
        <f t="shared" si="65"/>
        <v>victim or the crime</v>
      </c>
      <c r="F1977" t="s">
        <v>7594</v>
      </c>
      <c r="G1977" t="str">
        <f>_xlfn.IFNA(VLOOKUP(F1977,songs!$B$1:$C$1539, 2, FALSE),"")</f>
        <v>Victim Or The Crime</v>
      </c>
      <c r="H1977" t="s">
        <v>524</v>
      </c>
    </row>
    <row r="1978" spans="1:8" x14ac:dyDescent="0.25">
      <c r="A1978">
        <v>1977</v>
      </c>
      <c r="B1978" t="s">
        <v>2413</v>
      </c>
      <c r="C1978" t="s">
        <v>2414</v>
      </c>
      <c r="D1978" t="str">
        <f t="shared" si="66"/>
        <v/>
      </c>
      <c r="E1978" t="str">
        <f t="shared" si="65"/>
        <v>foolish heart</v>
      </c>
      <c r="F1978" t="s">
        <v>5700</v>
      </c>
      <c r="G1978" t="str">
        <f>_xlfn.IFNA(VLOOKUP(F1978,songs!$B$1:$C$1539, 2, FALSE),"")</f>
        <v>Foolish Heart</v>
      </c>
      <c r="H1978" t="s">
        <v>2414</v>
      </c>
    </row>
    <row r="1979" spans="1:8" x14ac:dyDescent="0.25">
      <c r="A1979">
        <v>1978</v>
      </c>
      <c r="B1979" t="s">
        <v>2415</v>
      </c>
      <c r="C1979" t="s">
        <v>419</v>
      </c>
      <c r="D1979" t="str">
        <f t="shared" si="66"/>
        <v/>
      </c>
      <c r="E1979" t="str">
        <f t="shared" si="65"/>
        <v>playing in the band</v>
      </c>
      <c r="F1979" t="s">
        <v>6769</v>
      </c>
      <c r="G1979" t="str">
        <f>_xlfn.IFNA(VLOOKUP(F1979,songs!$B$1:$C$1539, 2, FALSE),"")</f>
        <v>Playing In The Band</v>
      </c>
      <c r="H1979" t="s">
        <v>419</v>
      </c>
    </row>
    <row r="1980" spans="1:8" x14ac:dyDescent="0.25">
      <c r="A1980">
        <v>1979</v>
      </c>
      <c r="B1980" t="s">
        <v>2416</v>
      </c>
      <c r="C1980" t="s">
        <v>304</v>
      </c>
      <c r="D1980" t="str">
        <f t="shared" si="66"/>
        <v/>
      </c>
      <c r="E1980" t="str">
        <f t="shared" si="65"/>
        <v>china doll</v>
      </c>
      <c r="F1980" t="s">
        <v>5320</v>
      </c>
      <c r="G1980" t="str">
        <f>_xlfn.IFNA(VLOOKUP(F1980,songs!$B$1:$C$1539, 2, FALSE),"")</f>
        <v>China Doll</v>
      </c>
      <c r="H1980" t="s">
        <v>304</v>
      </c>
    </row>
    <row r="1981" spans="1:8" x14ac:dyDescent="0.25">
      <c r="A1981">
        <v>1980</v>
      </c>
      <c r="B1981" t="s">
        <v>2417</v>
      </c>
      <c r="C1981" t="s">
        <v>133</v>
      </c>
      <c r="D1981" t="str">
        <f t="shared" si="66"/>
        <v/>
      </c>
      <c r="E1981" t="str">
        <f t="shared" si="65"/>
        <v>uncle john's band</v>
      </c>
      <c r="F1981" t="s">
        <v>7466</v>
      </c>
      <c r="G1981" t="str">
        <f>_xlfn.IFNA(VLOOKUP(F1981,songs!$B$1:$C$1539, 2, FALSE),"")</f>
        <v>Uncle John's Band</v>
      </c>
      <c r="H1981" t="s">
        <v>133</v>
      </c>
    </row>
    <row r="1982" spans="1:8" x14ac:dyDescent="0.25">
      <c r="A1982">
        <v>1981</v>
      </c>
      <c r="B1982" t="s">
        <v>2418</v>
      </c>
      <c r="C1982" t="s">
        <v>100</v>
      </c>
      <c r="D1982" t="str">
        <f t="shared" si="66"/>
        <v/>
      </c>
      <c r="E1982" t="str">
        <f t="shared" si="65"/>
        <v>drums</v>
      </c>
      <c r="F1982" t="s">
        <v>5568</v>
      </c>
      <c r="G1982" t="str">
        <f>_xlfn.IFNA(VLOOKUP(F1982,songs!$B$1:$C$1539, 2, FALSE),"")</f>
        <v>Drums</v>
      </c>
      <c r="H1982" t="s">
        <v>100</v>
      </c>
    </row>
    <row r="1983" spans="1:8" x14ac:dyDescent="0.25">
      <c r="A1983">
        <v>1982</v>
      </c>
      <c r="B1983" t="s">
        <v>2419</v>
      </c>
      <c r="C1983" t="s">
        <v>277</v>
      </c>
      <c r="D1983" t="str">
        <f t="shared" si="66"/>
        <v/>
      </c>
      <c r="E1983" t="str">
        <f t="shared" si="65"/>
        <v>space</v>
      </c>
      <c r="F1983" t="s">
        <v>7091</v>
      </c>
      <c r="G1983" t="str">
        <f>_xlfn.IFNA(VLOOKUP(F1983,songs!$B$1:$C$1539, 2, FALSE),"")</f>
        <v>Space</v>
      </c>
      <c r="H1983" t="s">
        <v>277</v>
      </c>
    </row>
    <row r="1984" spans="1:8" x14ac:dyDescent="0.25">
      <c r="A1984">
        <v>1983</v>
      </c>
      <c r="B1984" t="s">
        <v>2420</v>
      </c>
      <c r="C1984" t="s">
        <v>872</v>
      </c>
      <c r="D1984" t="str">
        <f t="shared" si="66"/>
        <v/>
      </c>
      <c r="E1984" t="str">
        <f t="shared" si="65"/>
        <v>all along the watchtower</v>
      </c>
      <c r="F1984" t="s">
        <v>5051</v>
      </c>
      <c r="G1984" t="str">
        <f>_xlfn.IFNA(VLOOKUP(F1984,songs!$B$1:$C$1539, 2, FALSE),"")</f>
        <v>All Along The Watchtower</v>
      </c>
      <c r="H1984" t="s">
        <v>872</v>
      </c>
    </row>
    <row r="1985" spans="1:8" x14ac:dyDescent="0.25">
      <c r="A1985">
        <v>1984</v>
      </c>
      <c r="B1985" t="s">
        <v>2421</v>
      </c>
      <c r="C1985" t="s">
        <v>221</v>
      </c>
      <c r="D1985" t="str">
        <f t="shared" si="66"/>
        <v/>
      </c>
      <c r="E1985" t="str">
        <f t="shared" si="65"/>
        <v>black peter</v>
      </c>
      <c r="F1985" t="s">
        <v>5190</v>
      </c>
      <c r="G1985" t="str">
        <f>_xlfn.IFNA(VLOOKUP(F1985,songs!$B$1:$C$1539, 2, FALSE),"")</f>
        <v>Black Peter</v>
      </c>
      <c r="H1985" t="s">
        <v>221</v>
      </c>
    </row>
    <row r="1986" spans="1:8" x14ac:dyDescent="0.25">
      <c r="A1986">
        <v>1985</v>
      </c>
      <c r="B1986" t="s">
        <v>2422</v>
      </c>
      <c r="C1986" t="s">
        <v>34</v>
      </c>
      <c r="D1986" t="str">
        <f t="shared" si="66"/>
        <v/>
      </c>
      <c r="E1986" t="str">
        <f t="shared" si="65"/>
        <v>not fade away</v>
      </c>
      <c r="F1986" t="s">
        <v>6651</v>
      </c>
      <c r="G1986" t="str">
        <f>_xlfn.IFNA(VLOOKUP(F1986,songs!$B$1:$C$1539, 2, FALSE),"")</f>
        <v>Not Fade Away</v>
      </c>
      <c r="H1986" t="s">
        <v>34</v>
      </c>
    </row>
    <row r="1987" spans="1:8" x14ac:dyDescent="0.25">
      <c r="A1987">
        <v>1986</v>
      </c>
      <c r="B1987" t="s">
        <v>2423</v>
      </c>
      <c r="C1987" t="s">
        <v>183</v>
      </c>
      <c r="D1987" t="str">
        <f t="shared" si="66"/>
        <v/>
      </c>
      <c r="E1987" t="str">
        <f t="shared" si="65"/>
        <v>u.s. blues</v>
      </c>
      <c r="F1987" t="s">
        <v>7464</v>
      </c>
      <c r="G1987" t="str">
        <f>_xlfn.IFNA(VLOOKUP(F1987,songs!$B$1:$C$1539, 2, FALSE),"")</f>
        <v>U.S. Blues</v>
      </c>
      <c r="H1987" t="s">
        <v>183</v>
      </c>
    </row>
    <row r="1988" spans="1:8" x14ac:dyDescent="0.25">
      <c r="A1988">
        <v>1987</v>
      </c>
      <c r="B1988" t="s">
        <v>2424</v>
      </c>
      <c r="C1988" t="s">
        <v>298</v>
      </c>
      <c r="D1988" t="str">
        <f t="shared" si="66"/>
        <v/>
      </c>
      <c r="E1988" t="str">
        <f t="shared" ref="E1988:E2051" si="67">LOWER(TRIM(SUBSTITUTE(IF(RIGHT(TRIM(C1988),2)="-&gt;",LEFT(TRIM(C1988),LEN(TRIM(C1988))-2),IF(RIGHT(TRIM(C1988),1)="&gt;",LEFT(TRIM(C1988),LEN(TRIM(C1988))-1),C1988)),"//","")))</f>
        <v>bertha</v>
      </c>
      <c r="F1988" t="s">
        <v>5158</v>
      </c>
      <c r="G1988" t="str">
        <f>_xlfn.IFNA(VLOOKUP(F1988,songs!$B$1:$C$1539, 2, FALSE),"")</f>
        <v>Bertha</v>
      </c>
      <c r="H1988" t="s">
        <v>298</v>
      </c>
    </row>
    <row r="1989" spans="1:8" x14ac:dyDescent="0.25">
      <c r="A1989">
        <v>1988</v>
      </c>
      <c r="B1989" t="s">
        <v>2425</v>
      </c>
      <c r="C1989" t="s">
        <v>903</v>
      </c>
      <c r="D1989" t="str">
        <f t="shared" si="66"/>
        <v/>
      </c>
      <c r="E1989" t="str">
        <f t="shared" si="67"/>
        <v>me and my uncle</v>
      </c>
      <c r="F1989" t="s">
        <v>6486</v>
      </c>
      <c r="G1989" t="str">
        <f>_xlfn.IFNA(VLOOKUP(F1989,songs!$B$1:$C$1539, 2, FALSE),"")</f>
        <v>Me And My Uncle</v>
      </c>
      <c r="H1989" t="s">
        <v>903</v>
      </c>
    </row>
    <row r="1990" spans="1:8" x14ac:dyDescent="0.25">
      <c r="A1990">
        <v>1989</v>
      </c>
      <c r="B1990" t="s">
        <v>2426</v>
      </c>
      <c r="C1990" t="s">
        <v>291</v>
      </c>
      <c r="D1990" t="str">
        <f t="shared" si="66"/>
        <v/>
      </c>
      <c r="E1990" t="str">
        <f t="shared" si="67"/>
        <v>loser</v>
      </c>
      <c r="F1990" t="s">
        <v>6400</v>
      </c>
      <c r="G1990" t="str">
        <f>_xlfn.IFNA(VLOOKUP(F1990,songs!$B$1:$C$1539, 2, FALSE),"")</f>
        <v>Loser</v>
      </c>
      <c r="H1990" t="s">
        <v>291</v>
      </c>
    </row>
    <row r="1991" spans="1:8" x14ac:dyDescent="0.25">
      <c r="A1991">
        <v>2051</v>
      </c>
      <c r="B1991" t="s">
        <v>2501</v>
      </c>
      <c r="C1991" t="s">
        <v>615</v>
      </c>
      <c r="D1991" t="str">
        <f t="shared" si="66"/>
        <v/>
      </c>
      <c r="E1991" t="str">
        <f t="shared" si="67"/>
        <v>brown-eyed women</v>
      </c>
      <c r="F1991" t="s">
        <v>5255</v>
      </c>
      <c r="G1991" t="str">
        <f>_xlfn.IFNA(VLOOKUP(F1991,songs!$B$1:$C$1539, 2, FALSE),"")</f>
        <v>Brown Eyed Women</v>
      </c>
      <c r="H1991" t="s">
        <v>7867</v>
      </c>
    </row>
    <row r="1992" spans="1:8" x14ac:dyDescent="0.25">
      <c r="A1992">
        <v>1991</v>
      </c>
      <c r="B1992" t="s">
        <v>2428</v>
      </c>
      <c r="C1992" t="s">
        <v>170</v>
      </c>
      <c r="D1992" t="str">
        <f t="shared" si="66"/>
        <v/>
      </c>
      <c r="E1992" t="str">
        <f t="shared" si="67"/>
        <v>scarlet begonias</v>
      </c>
      <c r="F1992" t="s">
        <v>6944</v>
      </c>
      <c r="G1992" t="str">
        <f>_xlfn.IFNA(VLOOKUP(F1992,songs!$B$1:$C$1539, 2, FALSE),"")</f>
        <v>Scarlet Begonias</v>
      </c>
      <c r="H1992" t="s">
        <v>170</v>
      </c>
    </row>
    <row r="1993" spans="1:8" x14ac:dyDescent="0.25">
      <c r="A1993">
        <v>1992</v>
      </c>
      <c r="B1993" t="s">
        <v>2429</v>
      </c>
      <c r="C1993" t="s">
        <v>1057</v>
      </c>
      <c r="D1993" t="str">
        <f t="shared" si="66"/>
        <v/>
      </c>
      <c r="E1993" t="str">
        <f t="shared" si="67"/>
        <v>it must have been the roses</v>
      </c>
      <c r="F1993" t="s">
        <v>6128</v>
      </c>
      <c r="G1993" t="str">
        <f>_xlfn.IFNA(VLOOKUP(F1993,songs!$B$1:$C$1539, 2, FALSE),"")</f>
        <v>It Must Have Been The Roses</v>
      </c>
      <c r="H1993" t="s">
        <v>1057</v>
      </c>
    </row>
    <row r="1994" spans="1:8" x14ac:dyDescent="0.25">
      <c r="A1994">
        <v>1993</v>
      </c>
      <c r="B1994" t="s">
        <v>2430</v>
      </c>
      <c r="C1994" t="s">
        <v>199</v>
      </c>
      <c r="D1994" t="str">
        <f t="shared" si="66"/>
        <v/>
      </c>
      <c r="E1994" t="str">
        <f t="shared" si="67"/>
        <v>jack straw</v>
      </c>
      <c r="F1994" t="s">
        <v>6161</v>
      </c>
      <c r="G1994" t="str">
        <f>_xlfn.IFNA(VLOOKUP(F1994,songs!$B$1:$C$1539, 2, FALSE),"")</f>
        <v>Jack Straw</v>
      </c>
      <c r="H1994" t="s">
        <v>199</v>
      </c>
    </row>
    <row r="1995" spans="1:8" x14ac:dyDescent="0.25">
      <c r="A1995">
        <v>1994</v>
      </c>
      <c r="B1995" t="s">
        <v>2431</v>
      </c>
      <c r="C1995" t="s">
        <v>164</v>
      </c>
      <c r="D1995" t="str">
        <f t="shared" si="66"/>
        <v/>
      </c>
      <c r="E1995" t="str">
        <f t="shared" si="67"/>
        <v>tennessee jed</v>
      </c>
      <c r="F1995" t="s">
        <v>7234</v>
      </c>
      <c r="G1995" t="str">
        <f>_xlfn.IFNA(VLOOKUP(F1995,songs!$B$1:$C$1539, 2, FALSE),"")</f>
        <v>Tennessee Jed</v>
      </c>
      <c r="H1995" t="s">
        <v>164</v>
      </c>
    </row>
    <row r="1996" spans="1:8" x14ac:dyDescent="0.25">
      <c r="A1996">
        <v>1995</v>
      </c>
      <c r="B1996" t="s">
        <v>2432</v>
      </c>
      <c r="C1996" t="s">
        <v>186</v>
      </c>
      <c r="D1996" t="str">
        <f t="shared" si="66"/>
        <v/>
      </c>
      <c r="E1996" t="str">
        <f t="shared" si="67"/>
        <v>mexicali blues</v>
      </c>
      <c r="F1996" t="s">
        <v>6499</v>
      </c>
      <c r="G1996" t="str">
        <f>_xlfn.IFNA(VLOOKUP(F1996,songs!$B$1:$C$1539, 2, FALSE),"")</f>
        <v>Mexicali Blues</v>
      </c>
      <c r="H1996" t="s">
        <v>186</v>
      </c>
    </row>
    <row r="1997" spans="1:8" x14ac:dyDescent="0.25">
      <c r="A1997">
        <v>1996</v>
      </c>
      <c r="B1997" t="s">
        <v>2433</v>
      </c>
      <c r="C1997" t="s">
        <v>264</v>
      </c>
      <c r="D1997" t="str">
        <f t="shared" si="66"/>
        <v/>
      </c>
      <c r="E1997" t="str">
        <f t="shared" si="67"/>
        <v>deal</v>
      </c>
      <c r="F1997" t="s">
        <v>5461</v>
      </c>
      <c r="G1997" t="str">
        <f>_xlfn.IFNA(VLOOKUP(F1997,songs!$B$1:$C$1539, 2, FALSE),"")</f>
        <v>Deal</v>
      </c>
      <c r="H1997" t="s">
        <v>264</v>
      </c>
    </row>
    <row r="1998" spans="1:8" x14ac:dyDescent="0.25">
      <c r="A1998">
        <v>1997</v>
      </c>
      <c r="B1998" t="s">
        <v>2434</v>
      </c>
      <c r="C1998" t="s">
        <v>3</v>
      </c>
      <c r="D1998" t="str">
        <f t="shared" si="66"/>
        <v/>
      </c>
      <c r="E1998" t="str">
        <f t="shared" si="67"/>
        <v>big river</v>
      </c>
      <c r="F1998" t="s">
        <v>5175</v>
      </c>
      <c r="G1998" t="str">
        <f>_xlfn.IFNA(VLOOKUP(F1998,songs!$B$1:$C$1539, 2, FALSE),"")</f>
        <v>Big River</v>
      </c>
      <c r="H1998" t="s">
        <v>3</v>
      </c>
    </row>
    <row r="1999" spans="1:8" x14ac:dyDescent="0.25">
      <c r="A1999">
        <v>2054</v>
      </c>
      <c r="B1999" t="s">
        <v>2504</v>
      </c>
      <c r="C1999" t="s">
        <v>122</v>
      </c>
      <c r="D1999" t="str">
        <f t="shared" si="66"/>
        <v/>
      </c>
      <c r="E1999" t="str">
        <f t="shared" si="67"/>
        <v>new minglewood blues</v>
      </c>
      <c r="F1999" t="s">
        <v>7869</v>
      </c>
      <c r="G1999" t="str">
        <f>_xlfn.IFNA(VLOOKUP(F1999,songs!$B$1:$C$1539, 2, FALSE),"")</f>
        <v>Minglewood Blues</v>
      </c>
      <c r="H1999" t="s">
        <v>7867</v>
      </c>
    </row>
    <row r="2000" spans="1:8" x14ac:dyDescent="0.25">
      <c r="A2000">
        <v>1999</v>
      </c>
      <c r="B2000" t="s">
        <v>2436</v>
      </c>
      <c r="C2000" t="s">
        <v>419</v>
      </c>
      <c r="D2000" t="str">
        <f t="shared" si="66"/>
        <v/>
      </c>
      <c r="E2000" t="str">
        <f t="shared" si="67"/>
        <v>playing in the band</v>
      </c>
      <c r="F2000" t="s">
        <v>6769</v>
      </c>
      <c r="G2000" t="str">
        <f>_xlfn.IFNA(VLOOKUP(F2000,songs!$B$1:$C$1539, 2, FALSE),"")</f>
        <v>Playing In The Band</v>
      </c>
      <c r="H2000" t="s">
        <v>419</v>
      </c>
    </row>
    <row r="2001" spans="1:8" x14ac:dyDescent="0.25">
      <c r="A2001">
        <v>2000</v>
      </c>
      <c r="B2001" t="s">
        <v>2437</v>
      </c>
      <c r="C2001" t="s">
        <v>183</v>
      </c>
      <c r="D2001" t="str">
        <f t="shared" si="66"/>
        <v/>
      </c>
      <c r="E2001" t="str">
        <f t="shared" si="67"/>
        <v>u.s. blues</v>
      </c>
      <c r="F2001" t="s">
        <v>7464</v>
      </c>
      <c r="G2001" t="str">
        <f>_xlfn.IFNA(VLOOKUP(F2001,songs!$B$1:$C$1539, 2, FALSE),"")</f>
        <v>U.S. Blues</v>
      </c>
      <c r="H2001" t="s">
        <v>183</v>
      </c>
    </row>
    <row r="2002" spans="1:8" x14ac:dyDescent="0.25">
      <c r="A2002">
        <v>2001</v>
      </c>
      <c r="B2002" t="s">
        <v>2438</v>
      </c>
      <c r="C2002" t="s">
        <v>327</v>
      </c>
      <c r="D2002" t="str">
        <f t="shared" si="66"/>
        <v/>
      </c>
      <c r="E2002" t="str">
        <f t="shared" si="67"/>
        <v>el paso</v>
      </c>
      <c r="F2002" t="s">
        <v>5600</v>
      </c>
      <c r="G2002" t="str">
        <f>_xlfn.IFNA(VLOOKUP(F2002,songs!$B$1:$C$1539, 2, FALSE),"")</f>
        <v>El Paso</v>
      </c>
      <c r="H2002" t="s">
        <v>327</v>
      </c>
    </row>
    <row r="2003" spans="1:8" x14ac:dyDescent="0.25">
      <c r="A2003">
        <v>2002</v>
      </c>
      <c r="B2003" t="s">
        <v>2439</v>
      </c>
      <c r="C2003" t="s">
        <v>188</v>
      </c>
      <c r="D2003" t="str">
        <f t="shared" si="66"/>
        <v/>
      </c>
      <c r="E2003" t="str">
        <f t="shared" si="67"/>
        <v>row jimmy</v>
      </c>
      <c r="F2003" t="s">
        <v>6893</v>
      </c>
      <c r="G2003" t="str">
        <f>_xlfn.IFNA(VLOOKUP(F2003,songs!$B$1:$C$1539, 2, FALSE),"")</f>
        <v>Row Jimmy</v>
      </c>
      <c r="H2003" t="s">
        <v>188</v>
      </c>
    </row>
    <row r="2004" spans="1:8" x14ac:dyDescent="0.25">
      <c r="A2004">
        <v>2063</v>
      </c>
      <c r="B2004" t="s">
        <v>2513</v>
      </c>
      <c r="C2004" t="s">
        <v>44</v>
      </c>
      <c r="D2004" t="str">
        <f t="shared" si="66"/>
        <v/>
      </c>
      <c r="E2004" t="str">
        <f t="shared" si="67"/>
        <v>goin' down the road feeling bad</v>
      </c>
      <c r="F2004" t="s">
        <v>5783</v>
      </c>
      <c r="G2004" t="str">
        <f>_xlfn.IFNA(VLOOKUP(F2004,songs!$B$1:$C$1539, 2, FALSE),"")</f>
        <v>Goin' Down The Road Feelin' Bad</v>
      </c>
      <c r="H2004" t="s">
        <v>7867</v>
      </c>
    </row>
    <row r="2005" spans="1:8" x14ac:dyDescent="0.25">
      <c r="A2005">
        <v>2004</v>
      </c>
      <c r="B2005" t="s">
        <v>2441</v>
      </c>
      <c r="C2005" t="s">
        <v>92</v>
      </c>
      <c r="D2005" t="str">
        <f t="shared" si="66"/>
        <v/>
      </c>
      <c r="E2005" t="str">
        <f t="shared" si="67"/>
        <v>dark star</v>
      </c>
      <c r="F2005" t="s">
        <v>5428</v>
      </c>
      <c r="G2005" t="str">
        <f>_xlfn.IFNA(VLOOKUP(F2005,songs!$B$1:$C$1539, 2, FALSE),"")</f>
        <v>Dark Star</v>
      </c>
      <c r="H2005" t="s">
        <v>92</v>
      </c>
    </row>
    <row r="2006" spans="1:8" x14ac:dyDescent="0.25">
      <c r="A2006">
        <v>2005</v>
      </c>
      <c r="B2006" t="s">
        <v>2442</v>
      </c>
      <c r="C2006" t="s">
        <v>304</v>
      </c>
      <c r="D2006" t="str">
        <f t="shared" si="66"/>
        <v/>
      </c>
      <c r="E2006" t="str">
        <f t="shared" si="67"/>
        <v>china doll</v>
      </c>
      <c r="F2006" t="s">
        <v>5320</v>
      </c>
      <c r="G2006" t="str">
        <f>_xlfn.IFNA(VLOOKUP(F2006,songs!$B$1:$C$1539, 2, FALSE),"")</f>
        <v>China Doll</v>
      </c>
      <c r="H2006" t="s">
        <v>304</v>
      </c>
    </row>
    <row r="2007" spans="1:8" x14ac:dyDescent="0.25">
      <c r="A2007">
        <v>2006</v>
      </c>
      <c r="B2007" t="s">
        <v>2443</v>
      </c>
      <c r="C2007" t="s">
        <v>130</v>
      </c>
      <c r="D2007" t="str">
        <f t="shared" si="66"/>
        <v/>
      </c>
      <c r="E2007" t="str">
        <f t="shared" si="67"/>
        <v>promised land</v>
      </c>
      <c r="F2007" t="s">
        <v>6797</v>
      </c>
      <c r="G2007" t="str">
        <f>_xlfn.IFNA(VLOOKUP(F2007,songs!$B$1:$C$1539, 2, FALSE),"")</f>
        <v>Promised Land</v>
      </c>
      <c r="H2007" t="s">
        <v>130</v>
      </c>
    </row>
    <row r="2008" spans="1:8" x14ac:dyDescent="0.25">
      <c r="A2008">
        <v>2007</v>
      </c>
      <c r="B2008" t="s">
        <v>2444</v>
      </c>
      <c r="C2008" t="s">
        <v>34</v>
      </c>
      <c r="D2008" t="str">
        <f t="shared" si="66"/>
        <v/>
      </c>
      <c r="E2008" t="str">
        <f t="shared" si="67"/>
        <v>not fade away</v>
      </c>
      <c r="F2008" t="s">
        <v>6651</v>
      </c>
      <c r="G2008" t="str">
        <f>_xlfn.IFNA(VLOOKUP(F2008,songs!$B$1:$C$1539, 2, FALSE),"")</f>
        <v>Not Fade Away</v>
      </c>
      <c r="H2008" t="s">
        <v>34</v>
      </c>
    </row>
    <row r="2009" spans="1:8" x14ac:dyDescent="0.25">
      <c r="A2009">
        <v>2072</v>
      </c>
      <c r="B2009" t="s">
        <v>2522</v>
      </c>
      <c r="C2009" t="s">
        <v>615</v>
      </c>
      <c r="D2009" t="str">
        <f t="shared" si="66"/>
        <v/>
      </c>
      <c r="E2009" t="str">
        <f t="shared" si="67"/>
        <v>brown-eyed women</v>
      </c>
      <c r="F2009" t="s">
        <v>5255</v>
      </c>
      <c r="G2009" t="str">
        <f>_xlfn.IFNA(VLOOKUP(F2009,songs!$B$1:$C$1539, 2, FALSE),"")</f>
        <v>Brown Eyed Women</v>
      </c>
      <c r="H2009" t="s">
        <v>7867</v>
      </c>
    </row>
    <row r="2010" spans="1:8" x14ac:dyDescent="0.25">
      <c r="A2010">
        <v>2009</v>
      </c>
      <c r="B2010" t="s">
        <v>2446</v>
      </c>
      <c r="C2010" t="s">
        <v>956</v>
      </c>
      <c r="D2010" t="str">
        <f t="shared" si="66"/>
        <v/>
      </c>
      <c r="E2010" t="str">
        <f t="shared" si="67"/>
        <v>one more saturday night</v>
      </c>
      <c r="F2010" t="s">
        <v>6702</v>
      </c>
      <c r="G2010" t="str">
        <f>_xlfn.IFNA(VLOOKUP(F2010,songs!$B$1:$C$1539, 2, FALSE),"")</f>
        <v>One More Saturday Night</v>
      </c>
      <c r="H2010" t="s">
        <v>956</v>
      </c>
    </row>
    <row r="2011" spans="1:8" x14ac:dyDescent="0.25">
      <c r="A2011">
        <v>2010</v>
      </c>
      <c r="B2011" t="s">
        <v>2447</v>
      </c>
      <c r="C2011" t="s">
        <v>419</v>
      </c>
      <c r="D2011" t="str">
        <f t="shared" si="66"/>
        <v/>
      </c>
      <c r="E2011" t="str">
        <f t="shared" si="67"/>
        <v>playing in the band</v>
      </c>
      <c r="F2011" t="s">
        <v>6769</v>
      </c>
      <c r="G2011" t="str">
        <f>_xlfn.IFNA(VLOOKUP(F2011,songs!$B$1:$C$1539, 2, FALSE),"")</f>
        <v>Playing In The Band</v>
      </c>
      <c r="H2011" t="s">
        <v>419</v>
      </c>
    </row>
    <row r="2012" spans="1:8" x14ac:dyDescent="0.25">
      <c r="A2012">
        <v>2011</v>
      </c>
      <c r="B2012" t="s">
        <v>2448</v>
      </c>
      <c r="C2012" t="s">
        <v>239</v>
      </c>
      <c r="D2012" t="str">
        <f t="shared" si="66"/>
        <v/>
      </c>
      <c r="E2012" t="str">
        <f t="shared" si="67"/>
        <v>cosmic charlie</v>
      </c>
      <c r="F2012" t="s">
        <v>5373</v>
      </c>
      <c r="G2012" t="str">
        <f>_xlfn.IFNA(VLOOKUP(F2012,songs!$B$1:$C$1539, 2, FALSE),"")</f>
        <v>Cosmic Charlie</v>
      </c>
      <c r="H2012" t="s">
        <v>239</v>
      </c>
    </row>
    <row r="2013" spans="1:8" x14ac:dyDescent="0.25">
      <c r="A2013">
        <v>2012</v>
      </c>
      <c r="B2013" t="s">
        <v>2449</v>
      </c>
      <c r="C2013" t="s">
        <v>177</v>
      </c>
      <c r="D2013" t="str">
        <f t="shared" si="66"/>
        <v/>
      </c>
      <c r="E2013" t="str">
        <f t="shared" si="67"/>
        <v>spanish jam</v>
      </c>
      <c r="F2013" t="s">
        <v>7094</v>
      </c>
      <c r="G2013" t="str">
        <f>_xlfn.IFNA(VLOOKUP(F2013,songs!$B$1:$C$1539, 2, FALSE),"")</f>
        <v>Spanish Jam</v>
      </c>
      <c r="H2013" t="s">
        <v>177</v>
      </c>
    </row>
    <row r="2014" spans="1:8" x14ac:dyDescent="0.25">
      <c r="A2014">
        <v>2013</v>
      </c>
      <c r="B2014" t="s">
        <v>2450</v>
      </c>
      <c r="C2014" t="s">
        <v>100</v>
      </c>
      <c r="D2014" t="str">
        <f t="shared" si="66"/>
        <v/>
      </c>
      <c r="E2014" t="str">
        <f t="shared" si="67"/>
        <v>drums</v>
      </c>
      <c r="F2014" t="s">
        <v>5568</v>
      </c>
      <c r="G2014" t="str">
        <f>_xlfn.IFNA(VLOOKUP(F2014,songs!$B$1:$C$1539, 2, FALSE),"")</f>
        <v>Drums</v>
      </c>
      <c r="H2014" t="s">
        <v>100</v>
      </c>
    </row>
    <row r="2015" spans="1:8" x14ac:dyDescent="0.25">
      <c r="A2015">
        <v>2014</v>
      </c>
      <c r="B2015" t="s">
        <v>2451</v>
      </c>
      <c r="C2015" t="s">
        <v>567</v>
      </c>
      <c r="D2015" t="str">
        <f t="shared" si="66"/>
        <v/>
      </c>
      <c r="E2015" t="str">
        <f t="shared" si="67"/>
        <v>the wheel</v>
      </c>
      <c r="F2015" t="s">
        <v>7343</v>
      </c>
      <c r="G2015" t="str">
        <f>_xlfn.IFNA(VLOOKUP(F2015,songs!$B$1:$C$1539, 2, FALSE),"")</f>
        <v>The Wheel</v>
      </c>
      <c r="H2015" t="s">
        <v>567</v>
      </c>
    </row>
    <row r="2016" spans="1:8" x14ac:dyDescent="0.25">
      <c r="A2016">
        <v>2015</v>
      </c>
      <c r="B2016" t="s">
        <v>2452</v>
      </c>
      <c r="C2016" t="s">
        <v>419</v>
      </c>
      <c r="D2016" t="str">
        <f t="shared" si="66"/>
        <v/>
      </c>
      <c r="E2016" t="str">
        <f t="shared" si="67"/>
        <v>playing in the band</v>
      </c>
      <c r="F2016" t="s">
        <v>6769</v>
      </c>
      <c r="G2016" t="str">
        <f>_xlfn.IFNA(VLOOKUP(F2016,songs!$B$1:$C$1539, 2, FALSE),"")</f>
        <v>Playing In The Band</v>
      </c>
      <c r="H2016" t="s">
        <v>419</v>
      </c>
    </row>
    <row r="2017" spans="1:8" x14ac:dyDescent="0.25">
      <c r="A2017">
        <v>2016</v>
      </c>
      <c r="B2017" t="s">
        <v>2453</v>
      </c>
      <c r="C2017" t="s">
        <v>88</v>
      </c>
      <c r="D2017" t="str">
        <f t="shared" si="66"/>
        <v/>
      </c>
      <c r="E2017" t="str">
        <f t="shared" si="67"/>
        <v>high time</v>
      </c>
      <c r="F2017" t="s">
        <v>5920</v>
      </c>
      <c r="G2017" t="str">
        <f>_xlfn.IFNA(VLOOKUP(F2017,songs!$B$1:$C$1539, 2, FALSE),"")</f>
        <v>High Time</v>
      </c>
      <c r="H2017" t="s">
        <v>88</v>
      </c>
    </row>
    <row r="2018" spans="1:8" x14ac:dyDescent="0.25">
      <c r="A2018">
        <v>2017</v>
      </c>
      <c r="B2018" t="s">
        <v>2454</v>
      </c>
      <c r="C2018" t="s">
        <v>30</v>
      </c>
      <c r="D2018" t="str">
        <f t="shared" si="66"/>
        <v/>
      </c>
      <c r="E2018" t="str">
        <f t="shared" si="67"/>
        <v>sugar magnolia</v>
      </c>
      <c r="F2018" t="s">
        <v>7150</v>
      </c>
      <c r="G2018" t="str">
        <f>_xlfn.IFNA(VLOOKUP(F2018,songs!$B$1:$C$1539, 2, FALSE),"")</f>
        <v>Sugar Magnolia</v>
      </c>
      <c r="H2018" t="s">
        <v>30</v>
      </c>
    </row>
    <row r="2019" spans="1:8" x14ac:dyDescent="0.25">
      <c r="A2019">
        <v>2018</v>
      </c>
      <c r="B2019" t="s">
        <v>2455</v>
      </c>
      <c r="C2019" t="s">
        <v>2456</v>
      </c>
      <c r="D2019" t="str">
        <f t="shared" si="66"/>
        <v>&gt;</v>
      </c>
      <c r="E2019" t="str">
        <f t="shared" si="67"/>
        <v>wang dang doodle</v>
      </c>
      <c r="F2019" t="s">
        <v>7634</v>
      </c>
      <c r="G2019" t="str">
        <f>_xlfn.IFNA(VLOOKUP(F2019,songs!$B$1:$C$1539, 2, FALSE),"")</f>
        <v>Wang Dang Doodle</v>
      </c>
      <c r="H2019" t="s">
        <v>2920</v>
      </c>
    </row>
    <row r="2020" spans="1:8" x14ac:dyDescent="0.25">
      <c r="A2020">
        <v>2019</v>
      </c>
      <c r="B2020" t="s">
        <v>2457</v>
      </c>
      <c r="C2020" t="s">
        <v>199</v>
      </c>
      <c r="D2020" t="str">
        <f t="shared" si="66"/>
        <v/>
      </c>
      <c r="E2020" t="str">
        <f t="shared" si="67"/>
        <v>jack straw</v>
      </c>
      <c r="F2020" t="s">
        <v>6161</v>
      </c>
      <c r="G2020" t="str">
        <f>_xlfn.IFNA(VLOOKUP(F2020,songs!$B$1:$C$1539, 2, FALSE),"")</f>
        <v>Jack Straw</v>
      </c>
      <c r="H2020" t="s">
        <v>199</v>
      </c>
    </row>
    <row r="2021" spans="1:8" x14ac:dyDescent="0.25">
      <c r="A2021">
        <v>2020</v>
      </c>
      <c r="B2021" t="s">
        <v>2458</v>
      </c>
      <c r="C2021" t="s">
        <v>156</v>
      </c>
      <c r="D2021" t="str">
        <f t="shared" si="66"/>
        <v/>
      </c>
      <c r="E2021" t="str">
        <f t="shared" si="67"/>
        <v>they love each other</v>
      </c>
      <c r="F2021" t="s">
        <v>7358</v>
      </c>
      <c r="G2021" t="str">
        <f>_xlfn.IFNA(VLOOKUP(F2021,songs!$B$1:$C$1539, 2, FALSE),"")</f>
        <v>They Love Each Other</v>
      </c>
      <c r="H2021" t="s">
        <v>156</v>
      </c>
    </row>
    <row r="2022" spans="1:8" x14ac:dyDescent="0.25">
      <c r="A2022">
        <v>2021</v>
      </c>
      <c r="B2022" t="s">
        <v>2459</v>
      </c>
      <c r="C2022" t="s">
        <v>2460</v>
      </c>
      <c r="D2022" t="str">
        <f t="shared" si="66"/>
        <v>&gt;</v>
      </c>
      <c r="E2022" t="str">
        <f t="shared" si="67"/>
        <v>mama tried</v>
      </c>
      <c r="F2022" t="s">
        <v>6454</v>
      </c>
      <c r="G2022" t="str">
        <f>_xlfn.IFNA(VLOOKUP(F2022,songs!$B$1:$C$1539, 2, FALSE),"")</f>
        <v>Mama Tried</v>
      </c>
      <c r="H2022" t="s">
        <v>158</v>
      </c>
    </row>
    <row r="2023" spans="1:8" x14ac:dyDescent="0.25">
      <c r="A2023">
        <v>2022</v>
      </c>
      <c r="B2023" t="s">
        <v>2461</v>
      </c>
      <c r="C2023" t="s">
        <v>3</v>
      </c>
      <c r="D2023" t="str">
        <f t="shared" si="66"/>
        <v/>
      </c>
      <c r="E2023" t="str">
        <f t="shared" si="67"/>
        <v>big river</v>
      </c>
      <c r="F2023" t="s">
        <v>5175</v>
      </c>
      <c r="G2023" t="str">
        <f>_xlfn.IFNA(VLOOKUP(F2023,songs!$B$1:$C$1539, 2, FALSE),"")</f>
        <v>Big River</v>
      </c>
      <c r="H2023" t="s">
        <v>3</v>
      </c>
    </row>
    <row r="2024" spans="1:8" x14ac:dyDescent="0.25">
      <c r="A2024">
        <v>2074</v>
      </c>
      <c r="B2024" t="s">
        <v>2524</v>
      </c>
      <c r="C2024" t="s">
        <v>190</v>
      </c>
      <c r="D2024" t="str">
        <f t="shared" si="66"/>
        <v/>
      </c>
      <c r="E2024" t="str">
        <f t="shared" si="67"/>
        <v>black-throated wind</v>
      </c>
      <c r="F2024" t="s">
        <v>5193</v>
      </c>
      <c r="G2024" t="str">
        <f>_xlfn.IFNA(VLOOKUP(F2024,songs!$B$1:$C$1539, 2, FALSE),"")</f>
        <v>Black Throated Wind</v>
      </c>
      <c r="H2024" t="s">
        <v>7867</v>
      </c>
    </row>
    <row r="2025" spans="1:8" x14ac:dyDescent="0.25">
      <c r="A2025">
        <v>2095</v>
      </c>
      <c r="B2025" t="s">
        <v>2545</v>
      </c>
      <c r="C2025" t="s">
        <v>7</v>
      </c>
      <c r="D2025" t="str">
        <f t="shared" si="66"/>
        <v/>
      </c>
      <c r="E2025" t="str">
        <f t="shared" si="67"/>
        <v>weather report suite</v>
      </c>
      <c r="F2025" t="s">
        <v>7658</v>
      </c>
      <c r="G2025" t="str">
        <f>_xlfn.IFNA(VLOOKUP(F2025,songs!$B$1:$C$1539, 2, FALSE),"")</f>
        <v>Weather Report Suite Prelude &gt; Weather Report Suite Part 1</v>
      </c>
      <c r="H2025" t="s">
        <v>7867</v>
      </c>
    </row>
    <row r="2026" spans="1:8" x14ac:dyDescent="0.25">
      <c r="A2026">
        <v>2025</v>
      </c>
      <c r="B2026" t="s">
        <v>2464</v>
      </c>
      <c r="C2026" t="s">
        <v>9</v>
      </c>
      <c r="D2026" t="str">
        <f t="shared" si="66"/>
        <v/>
      </c>
      <c r="E2026" t="str">
        <f t="shared" si="67"/>
        <v>big railroad blues</v>
      </c>
      <c r="F2026" t="s">
        <v>5174</v>
      </c>
      <c r="G2026" t="str">
        <f>_xlfn.IFNA(VLOOKUP(F2026,songs!$B$1:$C$1539, 2, FALSE),"")</f>
        <v>Big Railroad Blues</v>
      </c>
      <c r="H2026" t="s">
        <v>9</v>
      </c>
    </row>
    <row r="2027" spans="1:8" x14ac:dyDescent="0.25">
      <c r="A2027">
        <v>2026</v>
      </c>
      <c r="B2027" t="s">
        <v>2465</v>
      </c>
      <c r="C2027" t="s">
        <v>2466</v>
      </c>
      <c r="D2027" t="str">
        <f t="shared" si="66"/>
        <v>&gt;</v>
      </c>
      <c r="E2027" t="str">
        <f t="shared" si="67"/>
        <v>looks like rain</v>
      </c>
      <c r="F2027" t="s">
        <v>6398</v>
      </c>
      <c r="G2027" t="str">
        <f>_xlfn.IFNA(VLOOKUP(F2027,songs!$B$1:$C$1539, 2, FALSE),"")</f>
        <v>Looks Like Rain</v>
      </c>
      <c r="H2027" t="s">
        <v>126</v>
      </c>
    </row>
    <row r="2028" spans="1:8" x14ac:dyDescent="0.25">
      <c r="A2028">
        <v>2027</v>
      </c>
      <c r="B2028" t="s">
        <v>2467</v>
      </c>
      <c r="C2028" t="s">
        <v>264</v>
      </c>
      <c r="D2028" t="str">
        <f t="shared" si="66"/>
        <v/>
      </c>
      <c r="E2028" t="str">
        <f t="shared" si="67"/>
        <v>deal</v>
      </c>
      <c r="F2028" t="s">
        <v>5461</v>
      </c>
      <c r="G2028" t="str">
        <f>_xlfn.IFNA(VLOOKUP(F2028,songs!$B$1:$C$1539, 2, FALSE),"")</f>
        <v>Deal</v>
      </c>
      <c r="H2028" t="s">
        <v>264</v>
      </c>
    </row>
    <row r="2029" spans="1:8" x14ac:dyDescent="0.25">
      <c r="A2029">
        <v>2028</v>
      </c>
      <c r="B2029" t="s">
        <v>2468</v>
      </c>
      <c r="C2029" t="s">
        <v>264</v>
      </c>
      <c r="D2029" t="str">
        <f t="shared" si="66"/>
        <v/>
      </c>
      <c r="E2029" t="str">
        <f t="shared" si="67"/>
        <v>deal</v>
      </c>
      <c r="F2029" t="s">
        <v>5461</v>
      </c>
      <c r="G2029" t="str">
        <f>_xlfn.IFNA(VLOOKUP(F2029,songs!$B$1:$C$1539, 2, FALSE),"")</f>
        <v>Deal</v>
      </c>
      <c r="H2029" t="s">
        <v>264</v>
      </c>
    </row>
    <row r="2030" spans="1:8" x14ac:dyDescent="0.25">
      <c r="A2030">
        <v>2029</v>
      </c>
      <c r="B2030" t="s">
        <v>2469</v>
      </c>
      <c r="C2030" t="s">
        <v>2470</v>
      </c>
      <c r="D2030" t="str">
        <f t="shared" si="66"/>
        <v>&gt;</v>
      </c>
      <c r="E2030" t="str">
        <f t="shared" si="67"/>
        <v>help on the way</v>
      </c>
      <c r="F2030" t="s">
        <v>5895</v>
      </c>
      <c r="G2030" t="str">
        <f>_xlfn.IFNA(VLOOKUP(F2030,songs!$B$1:$C$1539, 2, FALSE),"")</f>
        <v>Help On The Way</v>
      </c>
      <c r="H2030" t="s">
        <v>1382</v>
      </c>
    </row>
    <row r="2031" spans="1:8" x14ac:dyDescent="0.25">
      <c r="A2031">
        <v>2030</v>
      </c>
      <c r="B2031" t="s">
        <v>2471</v>
      </c>
      <c r="C2031" t="s">
        <v>2472</v>
      </c>
      <c r="D2031" t="str">
        <f t="shared" si="66"/>
        <v>&gt;</v>
      </c>
      <c r="E2031" t="str">
        <f t="shared" si="67"/>
        <v>slipknot!</v>
      </c>
      <c r="F2031" t="s">
        <v>7035</v>
      </c>
      <c r="G2031" t="str">
        <f>_xlfn.IFNA(VLOOKUP(F2031,songs!$B$1:$C$1539, 2, FALSE),"")</f>
        <v>Slipknot!</v>
      </c>
      <c r="H2031" t="s">
        <v>61</v>
      </c>
    </row>
    <row r="2032" spans="1:8" x14ac:dyDescent="0.25">
      <c r="A2032">
        <v>2031</v>
      </c>
      <c r="B2032" t="s">
        <v>2473</v>
      </c>
      <c r="C2032" t="s">
        <v>63</v>
      </c>
      <c r="D2032" t="str">
        <f t="shared" si="66"/>
        <v/>
      </c>
      <c r="E2032" t="str">
        <f t="shared" si="67"/>
        <v>franklin's tower</v>
      </c>
      <c r="F2032" t="s">
        <v>5712</v>
      </c>
      <c r="G2032" t="str">
        <f>_xlfn.IFNA(VLOOKUP(F2032,songs!$B$1:$C$1539, 2, FALSE),"")</f>
        <v>Franklin's Tower</v>
      </c>
      <c r="H2032" t="s">
        <v>63</v>
      </c>
    </row>
    <row r="2033" spans="1:8" x14ac:dyDescent="0.25">
      <c r="A2033">
        <v>2032</v>
      </c>
      <c r="B2033" t="s">
        <v>2474</v>
      </c>
      <c r="C2033" t="s">
        <v>2475</v>
      </c>
      <c r="D2033" t="str">
        <f t="shared" si="66"/>
        <v>&gt;</v>
      </c>
      <c r="E2033" t="str">
        <f t="shared" si="67"/>
        <v>estimated prophet</v>
      </c>
      <c r="F2033" t="s">
        <v>5612</v>
      </c>
      <c r="G2033" t="str">
        <f>_xlfn.IFNA(VLOOKUP(F2033,songs!$B$1:$C$1539, 2, FALSE),"")</f>
        <v>Estimated Prophet</v>
      </c>
      <c r="H2033" t="s">
        <v>69</v>
      </c>
    </row>
    <row r="2034" spans="1:8" x14ac:dyDescent="0.25">
      <c r="A2034">
        <v>2033</v>
      </c>
      <c r="B2034" t="s">
        <v>2476</v>
      </c>
      <c r="C2034" t="s">
        <v>2477</v>
      </c>
      <c r="D2034" t="str">
        <f t="shared" si="66"/>
        <v>&gt;</v>
      </c>
      <c r="E2034" t="str">
        <f t="shared" si="67"/>
        <v>eyes of the world</v>
      </c>
      <c r="F2034" t="s">
        <v>5633</v>
      </c>
      <c r="G2034" t="str">
        <f>_xlfn.IFNA(VLOOKUP(F2034,songs!$B$1:$C$1539, 2, FALSE),"")</f>
        <v>Eyes Of The World</v>
      </c>
      <c r="H2034" t="s">
        <v>471</v>
      </c>
    </row>
    <row r="2035" spans="1:8" x14ac:dyDescent="0.25">
      <c r="A2035">
        <v>2034</v>
      </c>
      <c r="B2035" t="s">
        <v>2478</v>
      </c>
      <c r="C2035" t="s">
        <v>2479</v>
      </c>
      <c r="D2035" t="str">
        <f t="shared" si="66"/>
        <v>&gt;</v>
      </c>
      <c r="E2035" t="str">
        <f t="shared" si="67"/>
        <v>jam</v>
      </c>
      <c r="F2035" t="s">
        <v>6165</v>
      </c>
      <c r="G2035" t="str">
        <f>_xlfn.IFNA(VLOOKUP(F2035,songs!$B$1:$C$1539, 2, FALSE),"")</f>
        <v>Jam</v>
      </c>
      <c r="H2035" t="s">
        <v>19</v>
      </c>
    </row>
    <row r="2036" spans="1:8" x14ac:dyDescent="0.25">
      <c r="A2036">
        <v>2035</v>
      </c>
      <c r="B2036" t="s">
        <v>2480</v>
      </c>
      <c r="C2036" t="s">
        <v>2481</v>
      </c>
      <c r="D2036" t="str">
        <f t="shared" si="66"/>
        <v>&gt;</v>
      </c>
      <c r="E2036" t="str">
        <f t="shared" si="67"/>
        <v>drums</v>
      </c>
      <c r="F2036" t="s">
        <v>5568</v>
      </c>
      <c r="G2036" t="str">
        <f>_xlfn.IFNA(VLOOKUP(F2036,songs!$B$1:$C$1539, 2, FALSE),"")</f>
        <v>Drums</v>
      </c>
      <c r="H2036" t="s">
        <v>100</v>
      </c>
    </row>
    <row r="2037" spans="1:8" x14ac:dyDescent="0.25">
      <c r="A2037">
        <v>2036</v>
      </c>
      <c r="B2037" t="s">
        <v>2482</v>
      </c>
      <c r="C2037" t="s">
        <v>2483</v>
      </c>
      <c r="D2037" t="str">
        <f t="shared" si="66"/>
        <v>&gt;</v>
      </c>
      <c r="E2037" t="str">
        <f t="shared" si="67"/>
        <v>space</v>
      </c>
      <c r="F2037" t="s">
        <v>7091</v>
      </c>
      <c r="G2037" t="str">
        <f>_xlfn.IFNA(VLOOKUP(F2037,songs!$B$1:$C$1539, 2, FALSE),"")</f>
        <v>Space</v>
      </c>
      <c r="H2037" t="s">
        <v>277</v>
      </c>
    </row>
    <row r="2038" spans="1:8" x14ac:dyDescent="0.25">
      <c r="A2038">
        <v>2037</v>
      </c>
      <c r="B2038" t="s">
        <v>2484</v>
      </c>
      <c r="C2038" t="s">
        <v>2485</v>
      </c>
      <c r="D2038" t="str">
        <f t="shared" ref="D2038:D2101" si="68">IF(RIGHT(TRIM(C2038),2)="-&gt;","&gt;",IF(RIGHT(TRIM(C2038),1)="&gt;","&gt;",""))</f>
        <v>&gt;</v>
      </c>
      <c r="E2038" t="str">
        <f t="shared" si="67"/>
        <v>throwing stones</v>
      </c>
      <c r="F2038" t="s">
        <v>7383</v>
      </c>
      <c r="G2038" t="str">
        <f>_xlfn.IFNA(VLOOKUP(F2038,songs!$B$1:$C$1539, 2, FALSE),"")</f>
        <v>Throwing Stones</v>
      </c>
      <c r="H2038" t="s">
        <v>877</v>
      </c>
    </row>
    <row r="2039" spans="1:8" x14ac:dyDescent="0.25">
      <c r="A2039">
        <v>2101</v>
      </c>
      <c r="B2039" t="s">
        <v>2551</v>
      </c>
      <c r="C2039" t="s">
        <v>1452</v>
      </c>
      <c r="D2039" t="str">
        <f t="shared" si="68"/>
        <v/>
      </c>
      <c r="E2039" t="str">
        <f t="shared" si="67"/>
        <v>and we bid you goodnight</v>
      </c>
      <c r="F2039" t="s">
        <v>5082</v>
      </c>
      <c r="G2039" t="str">
        <f>_xlfn.IFNA(VLOOKUP(F2039,songs!$B$1:$C$1539, 2, FALSE),"")</f>
        <v>And We Bid You Good Night</v>
      </c>
      <c r="H2039" t="s">
        <v>7867</v>
      </c>
    </row>
    <row r="2040" spans="1:8" x14ac:dyDescent="0.25">
      <c r="A2040">
        <v>2039</v>
      </c>
      <c r="B2040" t="s">
        <v>2488</v>
      </c>
      <c r="C2040" t="s">
        <v>2489</v>
      </c>
      <c r="D2040" t="str">
        <f t="shared" si="68"/>
        <v>&gt;</v>
      </c>
      <c r="E2040" t="str">
        <f t="shared" si="67"/>
        <v>black peter</v>
      </c>
      <c r="F2040" t="s">
        <v>5190</v>
      </c>
      <c r="G2040" t="str">
        <f>_xlfn.IFNA(VLOOKUP(F2040,songs!$B$1:$C$1539, 2, FALSE),"")</f>
        <v>Black Peter</v>
      </c>
      <c r="H2040" t="s">
        <v>221</v>
      </c>
    </row>
    <row r="2041" spans="1:8" x14ac:dyDescent="0.25">
      <c r="A2041">
        <v>2040</v>
      </c>
      <c r="B2041" t="s">
        <v>2490</v>
      </c>
      <c r="C2041" t="s">
        <v>30</v>
      </c>
      <c r="D2041" t="str">
        <f t="shared" si="68"/>
        <v/>
      </c>
      <c r="E2041" t="str">
        <f t="shared" si="67"/>
        <v>sugar magnolia</v>
      </c>
      <c r="F2041" t="s">
        <v>7150</v>
      </c>
      <c r="G2041" t="str">
        <f>_xlfn.IFNA(VLOOKUP(F2041,songs!$B$1:$C$1539, 2, FALSE),"")</f>
        <v>Sugar Magnolia</v>
      </c>
      <c r="H2041" t="s">
        <v>30</v>
      </c>
    </row>
    <row r="2042" spans="1:8" x14ac:dyDescent="0.25">
      <c r="A2042">
        <v>2041</v>
      </c>
      <c r="B2042" t="s">
        <v>2491</v>
      </c>
      <c r="C2042" t="s">
        <v>1617</v>
      </c>
      <c r="D2042" t="str">
        <f t="shared" si="68"/>
        <v/>
      </c>
      <c r="E2042" t="str">
        <f t="shared" si="67"/>
        <v>it's all over now, baby blue</v>
      </c>
      <c r="F2042" t="s">
        <v>6136</v>
      </c>
      <c r="G2042" t="str">
        <f>_xlfn.IFNA(VLOOKUP(F2042,songs!$B$1:$C$1539, 2, FALSE),"")</f>
        <v>It's All Over Now, Baby Blue</v>
      </c>
      <c r="H2042" t="s">
        <v>1617</v>
      </c>
    </row>
    <row r="2043" spans="1:8" x14ac:dyDescent="0.25">
      <c r="A2043">
        <v>2042</v>
      </c>
      <c r="B2043" t="s">
        <v>2492</v>
      </c>
      <c r="C2043" t="s">
        <v>84</v>
      </c>
      <c r="D2043" t="str">
        <f t="shared" si="68"/>
        <v/>
      </c>
      <c r="E2043" t="str">
        <f t="shared" si="67"/>
        <v>china cat sunflower</v>
      </c>
      <c r="F2043" t="s">
        <v>5319</v>
      </c>
      <c r="G2043" t="str">
        <f>_xlfn.IFNA(VLOOKUP(F2043,songs!$B$1:$C$1539, 2, FALSE),"")</f>
        <v>China Cat Sunflower</v>
      </c>
      <c r="H2043" t="s">
        <v>84</v>
      </c>
    </row>
    <row r="2044" spans="1:8" x14ac:dyDescent="0.25">
      <c r="A2044">
        <v>2043</v>
      </c>
      <c r="B2044" t="s">
        <v>2493</v>
      </c>
      <c r="C2044" t="s">
        <v>86</v>
      </c>
      <c r="D2044" t="str">
        <f t="shared" si="68"/>
        <v/>
      </c>
      <c r="E2044" t="str">
        <f t="shared" si="67"/>
        <v>i know you rider</v>
      </c>
      <c r="F2044" t="s">
        <v>6020</v>
      </c>
      <c r="G2044" t="str">
        <f>_xlfn.IFNA(VLOOKUP(F2044,songs!$B$1:$C$1539, 2, FALSE),"")</f>
        <v>I Know You Rider</v>
      </c>
      <c r="H2044" t="s">
        <v>86</v>
      </c>
    </row>
    <row r="2045" spans="1:8" x14ac:dyDescent="0.25">
      <c r="A2045">
        <v>2044</v>
      </c>
      <c r="B2045" t="s">
        <v>2494</v>
      </c>
      <c r="C2045" t="s">
        <v>69</v>
      </c>
      <c r="D2045" t="str">
        <f t="shared" si="68"/>
        <v/>
      </c>
      <c r="E2045" t="str">
        <f t="shared" si="67"/>
        <v>estimated prophet</v>
      </c>
      <c r="F2045" t="s">
        <v>5612</v>
      </c>
      <c r="G2045" t="str">
        <f>_xlfn.IFNA(VLOOKUP(F2045,songs!$B$1:$C$1539, 2, FALSE),"")</f>
        <v>Estimated Prophet</v>
      </c>
      <c r="H2045" t="s">
        <v>69</v>
      </c>
    </row>
    <row r="2046" spans="1:8" x14ac:dyDescent="0.25">
      <c r="A2046">
        <v>2045</v>
      </c>
      <c r="B2046" t="s">
        <v>2495</v>
      </c>
      <c r="C2046" t="s">
        <v>75</v>
      </c>
      <c r="D2046" t="str">
        <f t="shared" si="68"/>
        <v/>
      </c>
      <c r="E2046" t="str">
        <f t="shared" si="67"/>
        <v>terrapin station</v>
      </c>
      <c r="F2046" t="s">
        <v>7237</v>
      </c>
      <c r="G2046" t="str">
        <f>_xlfn.IFNA(VLOOKUP(F2046,songs!$B$1:$C$1539, 2, FALSE),"")</f>
        <v>Terrapin Station</v>
      </c>
      <c r="H2046" t="s">
        <v>75</v>
      </c>
    </row>
    <row r="2047" spans="1:8" x14ac:dyDescent="0.25">
      <c r="A2047">
        <v>2046</v>
      </c>
      <c r="B2047" t="s">
        <v>2496</v>
      </c>
      <c r="C2047" t="s">
        <v>49</v>
      </c>
      <c r="D2047" t="str">
        <f t="shared" si="68"/>
        <v/>
      </c>
      <c r="E2047" t="str">
        <f t="shared" si="67"/>
        <v>the music never stopped</v>
      </c>
      <c r="F2047" t="s">
        <v>7316</v>
      </c>
      <c r="G2047" t="str">
        <f>_xlfn.IFNA(VLOOKUP(F2047,songs!$B$1:$C$1539, 2, FALSE),"")</f>
        <v>The Music Never Stopped</v>
      </c>
      <c r="H2047" t="s">
        <v>49</v>
      </c>
    </row>
    <row r="2048" spans="1:8" x14ac:dyDescent="0.25">
      <c r="A2048">
        <v>2047</v>
      </c>
      <c r="B2048" t="s">
        <v>2497</v>
      </c>
      <c r="C2048" t="s">
        <v>51</v>
      </c>
      <c r="D2048" t="str">
        <f t="shared" si="68"/>
        <v/>
      </c>
      <c r="E2048" t="str">
        <f t="shared" si="67"/>
        <v>sugaree</v>
      </c>
      <c r="F2048" t="s">
        <v>7151</v>
      </c>
      <c r="G2048" t="str">
        <f>_xlfn.IFNA(VLOOKUP(F2048,songs!$B$1:$C$1539, 2, FALSE),"")</f>
        <v>Sugaree</v>
      </c>
      <c r="H2048" t="s">
        <v>51</v>
      </c>
    </row>
    <row r="2049" spans="1:8" x14ac:dyDescent="0.25">
      <c r="A2049">
        <v>2048</v>
      </c>
      <c r="B2049" t="s">
        <v>2498</v>
      </c>
      <c r="C2049" t="s">
        <v>67</v>
      </c>
      <c r="D2049" t="str">
        <f t="shared" si="68"/>
        <v/>
      </c>
      <c r="E2049" t="str">
        <f t="shared" si="67"/>
        <v>sunrise</v>
      </c>
      <c r="F2049" t="s">
        <v>7156</v>
      </c>
      <c r="G2049" t="str">
        <f>_xlfn.IFNA(VLOOKUP(F2049,songs!$B$1:$C$1539, 2, FALSE),"")</f>
        <v>Sunrise</v>
      </c>
      <c r="H2049" t="s">
        <v>67</v>
      </c>
    </row>
    <row r="2050" spans="1:8" x14ac:dyDescent="0.25">
      <c r="A2050">
        <v>2049</v>
      </c>
      <c r="B2050" t="s">
        <v>2499</v>
      </c>
      <c r="C2050" t="s">
        <v>264</v>
      </c>
      <c r="D2050" t="str">
        <f t="shared" si="68"/>
        <v/>
      </c>
      <c r="E2050" t="str">
        <f t="shared" si="67"/>
        <v>deal</v>
      </c>
      <c r="F2050" t="s">
        <v>5461</v>
      </c>
      <c r="G2050" t="str">
        <f>_xlfn.IFNA(VLOOKUP(F2050,songs!$B$1:$C$1539, 2, FALSE),"")</f>
        <v>Deal</v>
      </c>
      <c r="H2050" t="s">
        <v>264</v>
      </c>
    </row>
    <row r="2051" spans="1:8" x14ac:dyDescent="0.25">
      <c r="A2051">
        <v>2050</v>
      </c>
      <c r="B2051" t="s">
        <v>2500</v>
      </c>
      <c r="C2051" t="s">
        <v>560</v>
      </c>
      <c r="D2051" t="str">
        <f t="shared" si="68"/>
        <v/>
      </c>
      <c r="E2051" t="str">
        <f t="shared" si="67"/>
        <v>passenger</v>
      </c>
      <c r="F2051" t="s">
        <v>6738</v>
      </c>
      <c r="G2051" t="str">
        <f>_xlfn.IFNA(VLOOKUP(F2051,songs!$B$1:$C$1539, 2, FALSE),"")</f>
        <v>Passenger</v>
      </c>
      <c r="H2051" t="s">
        <v>560</v>
      </c>
    </row>
    <row r="2052" spans="1:8" x14ac:dyDescent="0.25">
      <c r="A2052">
        <v>2110</v>
      </c>
      <c r="B2052" t="s">
        <v>2560</v>
      </c>
      <c r="C2052" t="s">
        <v>2561</v>
      </c>
      <c r="D2052" t="str">
        <f t="shared" si="68"/>
        <v/>
      </c>
      <c r="E2052" t="str">
        <f t="shared" ref="E2052:E2115" si="69">LOWER(TRIM(SUBSTITUTE(IF(RIGHT(TRIM(C2052),2)="-&gt;",LEFT(TRIM(C2052),LEN(TRIM(C2052))-2),IF(RIGHT(TRIM(C2052),1)="&gt;",LEFT(TRIM(C2052),LEN(TRIM(C2052))-1),C2052)),"//","")))</f>
        <v>in the midnight hour (san francisco, 11/2/69)</v>
      </c>
      <c r="F2052" t="s">
        <v>6508</v>
      </c>
      <c r="G2052" t="str">
        <f>_xlfn.IFNA(VLOOKUP(F2052,songs!$B$1:$C$1539, 2, FALSE),"")</f>
        <v>Midnight Hour</v>
      </c>
      <c r="H2052" t="s">
        <v>7867</v>
      </c>
    </row>
    <row r="2053" spans="1:8" x14ac:dyDescent="0.25">
      <c r="A2053">
        <v>2052</v>
      </c>
      <c r="B2053" t="s">
        <v>2502</v>
      </c>
      <c r="C2053" t="s">
        <v>126</v>
      </c>
      <c r="D2053" t="str">
        <f t="shared" si="68"/>
        <v/>
      </c>
      <c r="E2053" t="str">
        <f t="shared" si="69"/>
        <v>looks like rain</v>
      </c>
      <c r="F2053" t="s">
        <v>6398</v>
      </c>
      <c r="G2053" t="str">
        <f>_xlfn.IFNA(VLOOKUP(F2053,songs!$B$1:$C$1539, 2, FALSE),"")</f>
        <v>Looks Like Rain</v>
      </c>
      <c r="H2053" t="s">
        <v>126</v>
      </c>
    </row>
    <row r="2054" spans="1:8" x14ac:dyDescent="0.25">
      <c r="A2054">
        <v>2053</v>
      </c>
      <c r="B2054" t="s">
        <v>2503</v>
      </c>
      <c r="C2054" t="s">
        <v>383</v>
      </c>
      <c r="D2054" t="str">
        <f t="shared" si="68"/>
        <v/>
      </c>
      <c r="E2054" t="str">
        <f t="shared" si="69"/>
        <v>jack-a-roe</v>
      </c>
      <c r="F2054" t="s">
        <v>6162</v>
      </c>
      <c r="G2054" t="str">
        <f>_xlfn.IFNA(VLOOKUP(F2054,songs!$B$1:$C$1539, 2, FALSE),"")</f>
        <v>Jack-A-Roe</v>
      </c>
      <c r="H2054" t="s">
        <v>383</v>
      </c>
    </row>
    <row r="2055" spans="1:8" x14ac:dyDescent="0.25">
      <c r="A2055">
        <v>2111</v>
      </c>
      <c r="B2055" t="s">
        <v>2562</v>
      </c>
      <c r="C2055" t="s">
        <v>2563</v>
      </c>
      <c r="D2055" t="str">
        <f t="shared" si="68"/>
        <v/>
      </c>
      <c r="E2055" t="str">
        <f t="shared" si="69"/>
        <v>seasons of my heart (san francisco, 11/2/69)</v>
      </c>
      <c r="F2055" t="s">
        <v>6955</v>
      </c>
      <c r="G2055" t="str">
        <f>_xlfn.IFNA(VLOOKUP(F2055,songs!$B$1:$C$1539, 2, FALSE),"")</f>
        <v>Seasons Of My Heart</v>
      </c>
      <c r="H2055" t="s">
        <v>7867</v>
      </c>
    </row>
    <row r="2056" spans="1:8" x14ac:dyDescent="0.25">
      <c r="A2056">
        <v>2055</v>
      </c>
      <c r="B2056" t="s">
        <v>2505</v>
      </c>
      <c r="C2056" t="s">
        <v>298</v>
      </c>
      <c r="D2056" t="str">
        <f t="shared" si="68"/>
        <v/>
      </c>
      <c r="E2056" t="str">
        <f t="shared" si="69"/>
        <v>bertha</v>
      </c>
      <c r="F2056" t="s">
        <v>5158</v>
      </c>
      <c r="G2056" t="str">
        <f>_xlfn.IFNA(VLOOKUP(F2056,songs!$B$1:$C$1539, 2, FALSE),"")</f>
        <v>Bertha</v>
      </c>
      <c r="H2056" t="s">
        <v>298</v>
      </c>
    </row>
    <row r="2057" spans="1:8" x14ac:dyDescent="0.25">
      <c r="A2057">
        <v>2056</v>
      </c>
      <c r="B2057" t="s">
        <v>2506</v>
      </c>
      <c r="C2057" t="s">
        <v>266</v>
      </c>
      <c r="D2057" t="str">
        <f t="shared" si="68"/>
        <v/>
      </c>
      <c r="E2057" t="str">
        <f t="shared" si="69"/>
        <v>samson and delilah</v>
      </c>
      <c r="F2057" t="s">
        <v>6925</v>
      </c>
      <c r="G2057" t="str">
        <f>_xlfn.IFNA(VLOOKUP(F2057,songs!$B$1:$C$1539, 2, FALSE),"")</f>
        <v>Samson And Delilah</v>
      </c>
      <c r="H2057" t="s">
        <v>266</v>
      </c>
    </row>
    <row r="2058" spans="1:8" x14ac:dyDescent="0.25">
      <c r="A2058">
        <v>2057</v>
      </c>
      <c r="B2058" t="s">
        <v>2507</v>
      </c>
      <c r="C2058" t="s">
        <v>88</v>
      </c>
      <c r="D2058" t="str">
        <f t="shared" si="68"/>
        <v/>
      </c>
      <c r="E2058" t="str">
        <f t="shared" si="69"/>
        <v>high time</v>
      </c>
      <c r="F2058" t="s">
        <v>5920</v>
      </c>
      <c r="G2058" t="str">
        <f>_xlfn.IFNA(VLOOKUP(F2058,songs!$B$1:$C$1539, 2, FALSE),"")</f>
        <v>High Time</v>
      </c>
      <c r="H2058" t="s">
        <v>88</v>
      </c>
    </row>
    <row r="2059" spans="1:8" x14ac:dyDescent="0.25">
      <c r="A2059">
        <v>2058</v>
      </c>
      <c r="B2059" t="s">
        <v>2508</v>
      </c>
      <c r="C2059" t="s">
        <v>3</v>
      </c>
      <c r="D2059" t="str">
        <f t="shared" si="68"/>
        <v/>
      </c>
      <c r="E2059" t="str">
        <f t="shared" si="69"/>
        <v>big river</v>
      </c>
      <c r="F2059" t="s">
        <v>5175</v>
      </c>
      <c r="G2059" t="str">
        <f>_xlfn.IFNA(VLOOKUP(F2059,songs!$B$1:$C$1539, 2, FALSE),"")</f>
        <v>Big River</v>
      </c>
      <c r="H2059" t="s">
        <v>3</v>
      </c>
    </row>
    <row r="2060" spans="1:8" x14ac:dyDescent="0.25">
      <c r="A2060">
        <v>2059</v>
      </c>
      <c r="B2060" t="s">
        <v>2509</v>
      </c>
      <c r="C2060" t="s">
        <v>75</v>
      </c>
      <c r="D2060" t="str">
        <f t="shared" si="68"/>
        <v/>
      </c>
      <c r="E2060" t="str">
        <f t="shared" si="69"/>
        <v>terrapin station</v>
      </c>
      <c r="F2060" t="s">
        <v>7237</v>
      </c>
      <c r="G2060" t="str">
        <f>_xlfn.IFNA(VLOOKUP(F2060,songs!$B$1:$C$1539, 2, FALSE),"")</f>
        <v>Terrapin Station</v>
      </c>
      <c r="H2060" t="s">
        <v>75</v>
      </c>
    </row>
    <row r="2061" spans="1:8" x14ac:dyDescent="0.25">
      <c r="A2061">
        <v>2060</v>
      </c>
      <c r="B2061" t="s">
        <v>2510</v>
      </c>
      <c r="C2061" t="s">
        <v>69</v>
      </c>
      <c r="D2061" t="str">
        <f t="shared" si="68"/>
        <v/>
      </c>
      <c r="E2061" t="str">
        <f t="shared" si="69"/>
        <v>estimated prophet</v>
      </c>
      <c r="F2061" t="s">
        <v>5612</v>
      </c>
      <c r="G2061" t="str">
        <f>_xlfn.IFNA(VLOOKUP(F2061,songs!$B$1:$C$1539, 2, FALSE),"")</f>
        <v>Estimated Prophet</v>
      </c>
      <c r="H2061" t="s">
        <v>69</v>
      </c>
    </row>
    <row r="2062" spans="1:8" x14ac:dyDescent="0.25">
      <c r="A2062">
        <v>2061</v>
      </c>
      <c r="B2062" t="s">
        <v>2511</v>
      </c>
      <c r="C2062" t="s">
        <v>471</v>
      </c>
      <c r="D2062" t="str">
        <f t="shared" si="68"/>
        <v/>
      </c>
      <c r="E2062" t="str">
        <f t="shared" si="69"/>
        <v>eyes of the world</v>
      </c>
      <c r="F2062" t="s">
        <v>5633</v>
      </c>
      <c r="G2062" t="str">
        <f>_xlfn.IFNA(VLOOKUP(F2062,songs!$B$1:$C$1539, 2, FALSE),"")</f>
        <v>Eyes Of The World</v>
      </c>
      <c r="H2062" t="s">
        <v>471</v>
      </c>
    </row>
    <row r="2063" spans="1:8" x14ac:dyDescent="0.25">
      <c r="A2063">
        <v>2062</v>
      </c>
      <c r="B2063" t="s">
        <v>2512</v>
      </c>
      <c r="C2063" t="s">
        <v>34</v>
      </c>
      <c r="D2063" t="str">
        <f t="shared" si="68"/>
        <v/>
      </c>
      <c r="E2063" t="str">
        <f t="shared" si="69"/>
        <v>not fade away</v>
      </c>
      <c r="F2063" t="s">
        <v>6651</v>
      </c>
      <c r="G2063" t="str">
        <f>_xlfn.IFNA(VLOOKUP(F2063,songs!$B$1:$C$1539, 2, FALSE),"")</f>
        <v>Not Fade Away</v>
      </c>
      <c r="H2063" t="s">
        <v>34</v>
      </c>
    </row>
    <row r="2064" spans="1:8" x14ac:dyDescent="0.25">
      <c r="A2064">
        <v>2113</v>
      </c>
      <c r="B2064" t="s">
        <v>2565</v>
      </c>
      <c r="C2064" t="s">
        <v>2566</v>
      </c>
      <c r="D2064" t="str">
        <f t="shared" si="68"/>
        <v/>
      </c>
      <c r="E2064" t="str">
        <f t="shared" si="69"/>
        <v>next time you see me (san francisco, 11/2/69)</v>
      </c>
      <c r="F2064" t="s">
        <v>6629</v>
      </c>
      <c r="G2064" t="str">
        <f>_xlfn.IFNA(VLOOKUP(F2064,songs!$B$1:$C$1539, 2, FALSE),"")</f>
        <v>Next Time You See Me</v>
      </c>
      <c r="H2064" t="s">
        <v>7867</v>
      </c>
    </row>
    <row r="2065" spans="1:8" x14ac:dyDescent="0.25">
      <c r="A2065">
        <v>2064</v>
      </c>
      <c r="B2065" t="s">
        <v>2514</v>
      </c>
      <c r="C2065" t="s">
        <v>579</v>
      </c>
      <c r="D2065" t="str">
        <f t="shared" si="68"/>
        <v/>
      </c>
      <c r="E2065" t="str">
        <f t="shared" si="69"/>
        <v>around and around</v>
      </c>
      <c r="F2065" t="s">
        <v>5103</v>
      </c>
      <c r="G2065" t="str">
        <f>_xlfn.IFNA(VLOOKUP(F2065,songs!$B$1:$C$1539, 2, FALSE),"")</f>
        <v>Around And Around</v>
      </c>
      <c r="H2065" t="s">
        <v>579</v>
      </c>
    </row>
    <row r="2066" spans="1:8" x14ac:dyDescent="0.25">
      <c r="A2066">
        <v>2065</v>
      </c>
      <c r="B2066" t="s">
        <v>2515</v>
      </c>
      <c r="C2066" t="s">
        <v>133</v>
      </c>
      <c r="D2066" t="str">
        <f t="shared" si="68"/>
        <v/>
      </c>
      <c r="E2066" t="str">
        <f t="shared" si="69"/>
        <v>uncle john's band</v>
      </c>
      <c r="F2066" t="s">
        <v>7466</v>
      </c>
      <c r="G2066" t="str">
        <f>_xlfn.IFNA(VLOOKUP(F2066,songs!$B$1:$C$1539, 2, FALSE),"")</f>
        <v>Uncle John's Band</v>
      </c>
      <c r="H2066" t="s">
        <v>133</v>
      </c>
    </row>
    <row r="2067" spans="1:8" x14ac:dyDescent="0.25">
      <c r="A2067">
        <v>2066</v>
      </c>
      <c r="B2067" t="s">
        <v>2516</v>
      </c>
      <c r="C2067" t="s">
        <v>277</v>
      </c>
      <c r="D2067" t="str">
        <f t="shared" si="68"/>
        <v/>
      </c>
      <c r="E2067" t="str">
        <f t="shared" si="69"/>
        <v>space</v>
      </c>
      <c r="F2067" t="s">
        <v>7091</v>
      </c>
      <c r="G2067" t="str">
        <f>_xlfn.IFNA(VLOOKUP(F2067,songs!$B$1:$C$1539, 2, FALSE),"")</f>
        <v>Space</v>
      </c>
      <c r="H2067" t="s">
        <v>277</v>
      </c>
    </row>
    <row r="2068" spans="1:8" x14ac:dyDescent="0.25">
      <c r="A2068">
        <v>2067</v>
      </c>
      <c r="B2068" t="s">
        <v>2517</v>
      </c>
      <c r="C2068" t="s">
        <v>34</v>
      </c>
      <c r="D2068" t="str">
        <f t="shared" si="68"/>
        <v/>
      </c>
      <c r="E2068" t="str">
        <f t="shared" si="69"/>
        <v>not fade away</v>
      </c>
      <c r="F2068" t="s">
        <v>6651</v>
      </c>
      <c r="G2068" t="str">
        <f>_xlfn.IFNA(VLOOKUP(F2068,songs!$B$1:$C$1539, 2, FALSE),"")</f>
        <v>Not Fade Away</v>
      </c>
      <c r="H2068" t="s">
        <v>34</v>
      </c>
    </row>
    <row r="2069" spans="1:8" x14ac:dyDescent="0.25">
      <c r="A2069">
        <v>2068</v>
      </c>
      <c r="B2069" t="s">
        <v>2518</v>
      </c>
      <c r="C2069" t="s">
        <v>24</v>
      </c>
      <c r="D2069" t="str">
        <f t="shared" si="68"/>
        <v/>
      </c>
      <c r="E2069" t="str">
        <f t="shared" si="69"/>
        <v>stella blue</v>
      </c>
      <c r="F2069" t="s">
        <v>7123</v>
      </c>
      <c r="G2069" t="str">
        <f>_xlfn.IFNA(VLOOKUP(F2069,songs!$B$1:$C$1539, 2, FALSE),"")</f>
        <v>Stella Blue</v>
      </c>
      <c r="H2069" t="s">
        <v>24</v>
      </c>
    </row>
    <row r="2070" spans="1:8" x14ac:dyDescent="0.25">
      <c r="A2070">
        <v>2069</v>
      </c>
      <c r="B2070" t="s">
        <v>2519</v>
      </c>
      <c r="C2070" t="s">
        <v>30</v>
      </c>
      <c r="D2070" t="str">
        <f t="shared" si="68"/>
        <v/>
      </c>
      <c r="E2070" t="str">
        <f t="shared" si="69"/>
        <v>sugar magnolia</v>
      </c>
      <c r="F2070" t="s">
        <v>7150</v>
      </c>
      <c r="G2070" t="str">
        <f>_xlfn.IFNA(VLOOKUP(F2070,songs!$B$1:$C$1539, 2, FALSE),"")</f>
        <v>Sugar Magnolia</v>
      </c>
      <c r="H2070" t="s">
        <v>30</v>
      </c>
    </row>
    <row r="2071" spans="1:8" x14ac:dyDescent="0.25">
      <c r="A2071">
        <v>2070</v>
      </c>
      <c r="B2071" t="s">
        <v>2520</v>
      </c>
      <c r="C2071" t="s">
        <v>183</v>
      </c>
      <c r="D2071" t="str">
        <f t="shared" si="68"/>
        <v/>
      </c>
      <c r="E2071" t="str">
        <f t="shared" si="69"/>
        <v>u.s. blues</v>
      </c>
      <c r="F2071" t="s">
        <v>7464</v>
      </c>
      <c r="G2071" t="str">
        <f>_xlfn.IFNA(VLOOKUP(F2071,songs!$B$1:$C$1539, 2, FALSE),"")</f>
        <v>U.S. Blues</v>
      </c>
      <c r="H2071" t="s">
        <v>183</v>
      </c>
    </row>
    <row r="2072" spans="1:8" x14ac:dyDescent="0.25">
      <c r="A2072">
        <v>2071</v>
      </c>
      <c r="B2072" t="s">
        <v>2521</v>
      </c>
      <c r="C2072" t="s">
        <v>183</v>
      </c>
      <c r="D2072" t="str">
        <f t="shared" si="68"/>
        <v/>
      </c>
      <c r="E2072" t="str">
        <f t="shared" si="69"/>
        <v>u.s. blues</v>
      </c>
      <c r="F2072" t="s">
        <v>7464</v>
      </c>
      <c r="G2072" t="str">
        <f>_xlfn.IFNA(VLOOKUP(F2072,songs!$B$1:$C$1539, 2, FALSE),"")</f>
        <v>U.S. Blues</v>
      </c>
      <c r="H2072" t="s">
        <v>183</v>
      </c>
    </row>
    <row r="2073" spans="1:8" x14ac:dyDescent="0.25">
      <c r="A2073">
        <v>2114</v>
      </c>
      <c r="B2073" t="s">
        <v>2567</v>
      </c>
      <c r="C2073" t="s">
        <v>2568</v>
      </c>
      <c r="D2073" t="str">
        <f t="shared" si="68"/>
        <v/>
      </c>
      <c r="E2073" t="str">
        <f t="shared" si="69"/>
        <v>good lovin' (san francisco, 11/2/69)</v>
      </c>
      <c r="F2073" t="s">
        <v>5810</v>
      </c>
      <c r="G2073" t="str">
        <f>_xlfn.IFNA(VLOOKUP(F2073,songs!$B$1:$C$1539, 2, FALSE),"")</f>
        <v>Good Lovin'</v>
      </c>
      <c r="H2073" t="s">
        <v>7867</v>
      </c>
    </row>
    <row r="2074" spans="1:8" x14ac:dyDescent="0.25">
      <c r="A2074">
        <v>2073</v>
      </c>
      <c r="B2074" t="s">
        <v>2523</v>
      </c>
      <c r="C2074" t="s">
        <v>1463</v>
      </c>
      <c r="D2074" t="str">
        <f t="shared" si="68"/>
        <v/>
      </c>
      <c r="E2074" t="str">
        <f t="shared" si="69"/>
        <v>it must have been the roses</v>
      </c>
      <c r="F2074" t="s">
        <v>6128</v>
      </c>
      <c r="G2074" t="str">
        <f>_xlfn.IFNA(VLOOKUP(F2074,songs!$B$1:$C$1539, 2, FALSE),"")</f>
        <v>It Must Have Been The Roses</v>
      </c>
      <c r="H2074" t="s">
        <v>1057</v>
      </c>
    </row>
    <row r="2075" spans="1:8" x14ac:dyDescent="0.25">
      <c r="A2075">
        <v>2115</v>
      </c>
      <c r="B2075" t="s">
        <v>2569</v>
      </c>
      <c r="C2075" t="s">
        <v>2570</v>
      </c>
      <c r="D2075" t="str">
        <f t="shared" si="68"/>
        <v/>
      </c>
      <c r="E2075" t="str">
        <f t="shared" si="69"/>
        <v>big boss man (san francisco, 11/2/69)</v>
      </c>
      <c r="F2075" t="s">
        <v>5163</v>
      </c>
      <c r="G2075" t="str">
        <f>_xlfn.IFNA(VLOOKUP(F2075,songs!$B$1:$C$1539, 2, FALSE),"")</f>
        <v>Big Boss Man</v>
      </c>
      <c r="H2075" t="s">
        <v>7867</v>
      </c>
    </row>
    <row r="2076" spans="1:8" x14ac:dyDescent="0.25">
      <c r="A2076">
        <v>2075</v>
      </c>
      <c r="B2076" t="s">
        <v>2525</v>
      </c>
      <c r="C2076" t="s">
        <v>858</v>
      </c>
      <c r="D2076" t="str">
        <f t="shared" si="68"/>
        <v/>
      </c>
      <c r="E2076" t="str">
        <f t="shared" si="69"/>
        <v>loose lucy</v>
      </c>
      <c r="F2076" t="s">
        <v>6399</v>
      </c>
      <c r="G2076" t="str">
        <f>_xlfn.IFNA(VLOOKUP(F2076,songs!$B$1:$C$1539, 2, FALSE),"")</f>
        <v>Loose Lucy</v>
      </c>
      <c r="H2076" t="s">
        <v>858</v>
      </c>
    </row>
    <row r="2077" spans="1:8" x14ac:dyDescent="0.25">
      <c r="A2077">
        <v>2076</v>
      </c>
      <c r="B2077" t="s">
        <v>2526</v>
      </c>
      <c r="C2077" t="s">
        <v>11</v>
      </c>
      <c r="D2077" t="str">
        <f t="shared" si="68"/>
        <v/>
      </c>
      <c r="E2077" t="str">
        <f t="shared" si="69"/>
        <v>playing in the band</v>
      </c>
      <c r="F2077" t="s">
        <v>6769</v>
      </c>
      <c r="G2077" t="str">
        <f>_xlfn.IFNA(VLOOKUP(F2077,songs!$B$1:$C$1539, 2, FALSE),"")</f>
        <v>Playing In The Band</v>
      </c>
      <c r="H2077" t="s">
        <v>419</v>
      </c>
    </row>
    <row r="2078" spans="1:8" x14ac:dyDescent="0.25">
      <c r="A2078">
        <v>2077</v>
      </c>
      <c r="B2078" t="s">
        <v>2527</v>
      </c>
      <c r="C2078" t="s">
        <v>377</v>
      </c>
      <c r="D2078" t="str">
        <f t="shared" si="68"/>
        <v/>
      </c>
      <c r="E2078" t="str">
        <f t="shared" si="69"/>
        <v>ship of fools</v>
      </c>
      <c r="F2078" t="s">
        <v>6999</v>
      </c>
      <c r="G2078" t="str">
        <f>_xlfn.IFNA(VLOOKUP(F2078,songs!$B$1:$C$1539, 2, FALSE),"")</f>
        <v>Ship Of Fools</v>
      </c>
      <c r="H2078" t="s">
        <v>866</v>
      </c>
    </row>
    <row r="2079" spans="1:8" x14ac:dyDescent="0.25">
      <c r="A2079">
        <v>2078</v>
      </c>
      <c r="B2079" t="s">
        <v>2528</v>
      </c>
      <c r="C2079" t="s">
        <v>84</v>
      </c>
      <c r="D2079" t="str">
        <f t="shared" si="68"/>
        <v/>
      </c>
      <c r="E2079" t="str">
        <f t="shared" si="69"/>
        <v>china cat sunflower</v>
      </c>
      <c r="F2079" t="s">
        <v>5319</v>
      </c>
      <c r="G2079" t="str">
        <f>_xlfn.IFNA(VLOOKUP(F2079,songs!$B$1:$C$1539, 2, FALSE),"")</f>
        <v>China Cat Sunflower</v>
      </c>
      <c r="H2079" t="s">
        <v>84</v>
      </c>
    </row>
    <row r="2080" spans="1:8" x14ac:dyDescent="0.25">
      <c r="A2080">
        <v>2079</v>
      </c>
      <c r="B2080" t="s">
        <v>2529</v>
      </c>
      <c r="C2080" t="s">
        <v>86</v>
      </c>
      <c r="D2080" t="str">
        <f t="shared" si="68"/>
        <v/>
      </c>
      <c r="E2080" t="str">
        <f t="shared" si="69"/>
        <v>i know you rider</v>
      </c>
      <c r="F2080" t="s">
        <v>6020</v>
      </c>
      <c r="G2080" t="str">
        <f>_xlfn.IFNA(VLOOKUP(F2080,songs!$B$1:$C$1539, 2, FALSE),"")</f>
        <v>I Know You Rider</v>
      </c>
      <c r="H2080" t="s">
        <v>86</v>
      </c>
    </row>
    <row r="2081" spans="1:8" x14ac:dyDescent="0.25">
      <c r="A2081">
        <v>2080</v>
      </c>
      <c r="B2081" t="s">
        <v>2530</v>
      </c>
      <c r="C2081" t="s">
        <v>133</v>
      </c>
      <c r="D2081" t="str">
        <f t="shared" si="68"/>
        <v/>
      </c>
      <c r="E2081" t="str">
        <f t="shared" si="69"/>
        <v>uncle john's band</v>
      </c>
      <c r="F2081" t="s">
        <v>7466</v>
      </c>
      <c r="G2081" t="str">
        <f>_xlfn.IFNA(VLOOKUP(F2081,songs!$B$1:$C$1539, 2, FALSE),"")</f>
        <v>Uncle John's Band</v>
      </c>
      <c r="H2081" t="s">
        <v>133</v>
      </c>
    </row>
    <row r="2082" spans="1:8" x14ac:dyDescent="0.25">
      <c r="A2082">
        <v>2081</v>
      </c>
      <c r="B2082" t="s">
        <v>2531</v>
      </c>
      <c r="C2082" t="s">
        <v>579</v>
      </c>
      <c r="D2082" t="str">
        <f t="shared" si="68"/>
        <v/>
      </c>
      <c r="E2082" t="str">
        <f t="shared" si="69"/>
        <v>around and around</v>
      </c>
      <c r="F2082" t="s">
        <v>5103</v>
      </c>
      <c r="G2082" t="str">
        <f>_xlfn.IFNA(VLOOKUP(F2082,songs!$B$1:$C$1539, 2, FALSE),"")</f>
        <v>Around And Around</v>
      </c>
      <c r="H2082" t="s">
        <v>579</v>
      </c>
    </row>
    <row r="2083" spans="1:8" x14ac:dyDescent="0.25">
      <c r="A2083">
        <v>2082</v>
      </c>
      <c r="B2083" t="s">
        <v>2532</v>
      </c>
      <c r="C2083" t="s">
        <v>90</v>
      </c>
      <c r="D2083" t="str">
        <f t="shared" si="68"/>
        <v/>
      </c>
      <c r="E2083" t="str">
        <f t="shared" si="69"/>
        <v>dire wolf</v>
      </c>
      <c r="F2083" t="s">
        <v>5497</v>
      </c>
      <c r="G2083" t="str">
        <f>_xlfn.IFNA(VLOOKUP(F2083,songs!$B$1:$C$1539, 2, FALSE),"")</f>
        <v>Dire Wolf</v>
      </c>
      <c r="H2083" t="s">
        <v>90</v>
      </c>
    </row>
    <row r="2084" spans="1:8" x14ac:dyDescent="0.25">
      <c r="A2084">
        <v>2083</v>
      </c>
      <c r="B2084" t="s">
        <v>2533</v>
      </c>
      <c r="C2084" t="s">
        <v>1228</v>
      </c>
      <c r="D2084" t="str">
        <f t="shared" si="68"/>
        <v/>
      </c>
      <c r="E2084" t="str">
        <f t="shared" si="69"/>
        <v>me and bobby mcgee</v>
      </c>
      <c r="F2084" t="s">
        <v>6483</v>
      </c>
      <c r="G2084" t="str">
        <f>_xlfn.IFNA(VLOOKUP(F2084,songs!$B$1:$C$1539, 2, FALSE),"")</f>
        <v>Me And Bobby McGee</v>
      </c>
      <c r="H2084" t="s">
        <v>1228</v>
      </c>
    </row>
    <row r="2085" spans="1:8" x14ac:dyDescent="0.25">
      <c r="A2085">
        <v>2084</v>
      </c>
      <c r="B2085" t="s">
        <v>2534</v>
      </c>
      <c r="C2085" t="s">
        <v>51</v>
      </c>
      <c r="D2085" t="str">
        <f t="shared" si="68"/>
        <v/>
      </c>
      <c r="E2085" t="str">
        <f t="shared" si="69"/>
        <v>sugaree</v>
      </c>
      <c r="F2085" t="s">
        <v>7151</v>
      </c>
      <c r="G2085" t="str">
        <f>_xlfn.IFNA(VLOOKUP(F2085,songs!$B$1:$C$1539, 2, FALSE),"")</f>
        <v>Sugaree</v>
      </c>
      <c r="H2085" t="s">
        <v>51</v>
      </c>
    </row>
    <row r="2086" spans="1:8" x14ac:dyDescent="0.25">
      <c r="A2086">
        <v>2085</v>
      </c>
      <c r="B2086" t="s">
        <v>2535</v>
      </c>
      <c r="C2086" t="s">
        <v>186</v>
      </c>
      <c r="D2086" t="str">
        <f t="shared" si="68"/>
        <v/>
      </c>
      <c r="E2086" t="str">
        <f t="shared" si="69"/>
        <v>mexicali blues</v>
      </c>
      <c r="F2086" t="s">
        <v>6499</v>
      </c>
      <c r="G2086" t="str">
        <f>_xlfn.IFNA(VLOOKUP(F2086,songs!$B$1:$C$1539, 2, FALSE),"")</f>
        <v>Mexicali Blues</v>
      </c>
      <c r="H2086" t="s">
        <v>186</v>
      </c>
    </row>
    <row r="2087" spans="1:8" x14ac:dyDescent="0.25">
      <c r="A2087">
        <v>2086</v>
      </c>
      <c r="B2087" t="s">
        <v>2536</v>
      </c>
      <c r="C2087" t="s">
        <v>1</v>
      </c>
      <c r="D2087" t="str">
        <f t="shared" si="68"/>
        <v/>
      </c>
      <c r="E2087" t="str">
        <f t="shared" si="69"/>
        <v>here comes sunshine</v>
      </c>
      <c r="F2087" t="s">
        <v>5898</v>
      </c>
      <c r="G2087" t="str">
        <f>_xlfn.IFNA(VLOOKUP(F2087,songs!$B$1:$C$1539, 2, FALSE),"")</f>
        <v>Here Comes Sunshine</v>
      </c>
      <c r="H2087" t="s">
        <v>1</v>
      </c>
    </row>
    <row r="2088" spans="1:8" x14ac:dyDescent="0.25">
      <c r="A2088">
        <v>2087</v>
      </c>
      <c r="B2088" t="s">
        <v>2537</v>
      </c>
      <c r="C2088" t="s">
        <v>431</v>
      </c>
      <c r="D2088" t="str">
        <f t="shared" si="68"/>
        <v/>
      </c>
      <c r="E2088" t="str">
        <f t="shared" si="69"/>
        <v>beat it on down the line</v>
      </c>
      <c r="F2088" t="s">
        <v>5149</v>
      </c>
      <c r="G2088" t="str">
        <f>_xlfn.IFNA(VLOOKUP(F2088,songs!$B$1:$C$1539, 2, FALSE),"")</f>
        <v>Beat It On Down The Line</v>
      </c>
      <c r="H2088" t="s">
        <v>431</v>
      </c>
    </row>
    <row r="2089" spans="1:8" x14ac:dyDescent="0.25">
      <c r="A2089">
        <v>2088</v>
      </c>
      <c r="B2089" t="s">
        <v>2538</v>
      </c>
      <c r="C2089" t="s">
        <v>866</v>
      </c>
      <c r="D2089" t="str">
        <f t="shared" si="68"/>
        <v/>
      </c>
      <c r="E2089" t="str">
        <f t="shared" si="69"/>
        <v>ship of fools</v>
      </c>
      <c r="F2089" t="s">
        <v>6999</v>
      </c>
      <c r="G2089" t="str">
        <f>_xlfn.IFNA(VLOOKUP(F2089,songs!$B$1:$C$1539, 2, FALSE),"")</f>
        <v>Ship Of Fools</v>
      </c>
      <c r="H2089" t="s">
        <v>866</v>
      </c>
    </row>
    <row r="2090" spans="1:8" x14ac:dyDescent="0.25">
      <c r="A2090">
        <v>2089</v>
      </c>
      <c r="B2090" t="s">
        <v>2539</v>
      </c>
      <c r="C2090" t="s">
        <v>199</v>
      </c>
      <c r="D2090" t="str">
        <f t="shared" si="68"/>
        <v/>
      </c>
      <c r="E2090" t="str">
        <f t="shared" si="69"/>
        <v>jack straw</v>
      </c>
      <c r="F2090" t="s">
        <v>6161</v>
      </c>
      <c r="G2090" t="str">
        <f>_xlfn.IFNA(VLOOKUP(F2090,songs!$B$1:$C$1539, 2, FALSE),"")</f>
        <v>Jack Straw</v>
      </c>
      <c r="H2090" t="s">
        <v>199</v>
      </c>
    </row>
    <row r="2091" spans="1:8" x14ac:dyDescent="0.25">
      <c r="A2091">
        <v>2090</v>
      </c>
      <c r="B2091" t="s">
        <v>2540</v>
      </c>
      <c r="C2091" t="s">
        <v>264</v>
      </c>
      <c r="D2091" t="str">
        <f t="shared" si="68"/>
        <v/>
      </c>
      <c r="E2091" t="str">
        <f t="shared" si="69"/>
        <v>deal</v>
      </c>
      <c r="F2091" t="s">
        <v>5461</v>
      </c>
      <c r="G2091" t="str">
        <f>_xlfn.IFNA(VLOOKUP(F2091,songs!$B$1:$C$1539, 2, FALSE),"")</f>
        <v>Deal</v>
      </c>
      <c r="H2091" t="s">
        <v>264</v>
      </c>
    </row>
    <row r="2092" spans="1:8" x14ac:dyDescent="0.25">
      <c r="A2092">
        <v>2091</v>
      </c>
      <c r="B2092" t="s">
        <v>2541</v>
      </c>
      <c r="C2092" t="s">
        <v>130</v>
      </c>
      <c r="D2092" t="str">
        <f t="shared" si="68"/>
        <v/>
      </c>
      <c r="E2092" t="str">
        <f t="shared" si="69"/>
        <v>promised land</v>
      </c>
      <c r="F2092" t="s">
        <v>6797</v>
      </c>
      <c r="G2092" t="str">
        <f>_xlfn.IFNA(VLOOKUP(F2092,songs!$B$1:$C$1539, 2, FALSE),"")</f>
        <v>Promised Land</v>
      </c>
      <c r="H2092" t="s">
        <v>130</v>
      </c>
    </row>
    <row r="2093" spans="1:8" x14ac:dyDescent="0.25">
      <c r="A2093">
        <v>2092</v>
      </c>
      <c r="B2093" t="s">
        <v>2542</v>
      </c>
      <c r="C2093" t="s">
        <v>298</v>
      </c>
      <c r="D2093" t="str">
        <f t="shared" si="68"/>
        <v/>
      </c>
      <c r="E2093" t="str">
        <f t="shared" si="69"/>
        <v>bertha</v>
      </c>
      <c r="F2093" t="s">
        <v>5158</v>
      </c>
      <c r="G2093" t="str">
        <f>_xlfn.IFNA(VLOOKUP(F2093,songs!$B$1:$C$1539, 2, FALSE),"")</f>
        <v>Bertha</v>
      </c>
      <c r="H2093" t="s">
        <v>298</v>
      </c>
    </row>
    <row r="2094" spans="1:8" x14ac:dyDescent="0.25">
      <c r="A2094">
        <v>2093</v>
      </c>
      <c r="B2094" t="s">
        <v>2543</v>
      </c>
      <c r="C2094" t="s">
        <v>154</v>
      </c>
      <c r="D2094" t="str">
        <f t="shared" si="68"/>
        <v/>
      </c>
      <c r="E2094" t="str">
        <f t="shared" si="69"/>
        <v>greatest story ever told</v>
      </c>
      <c r="F2094" t="s">
        <v>5826</v>
      </c>
      <c r="G2094" t="str">
        <f>_xlfn.IFNA(VLOOKUP(F2094,songs!$B$1:$C$1539, 2, FALSE),"")</f>
        <v>Greatest Story Ever Told</v>
      </c>
      <c r="H2094" t="s">
        <v>154</v>
      </c>
    </row>
    <row r="2095" spans="1:8" x14ac:dyDescent="0.25">
      <c r="A2095">
        <v>2094</v>
      </c>
      <c r="B2095" t="s">
        <v>2544</v>
      </c>
      <c r="C2095" t="s">
        <v>188</v>
      </c>
      <c r="D2095" t="str">
        <f t="shared" si="68"/>
        <v/>
      </c>
      <c r="E2095" t="str">
        <f t="shared" si="69"/>
        <v>row jimmy</v>
      </c>
      <c r="F2095" t="s">
        <v>6893</v>
      </c>
      <c r="G2095" t="str">
        <f>_xlfn.IFNA(VLOOKUP(F2095,songs!$B$1:$C$1539, 2, FALSE),"")</f>
        <v>Row Jimmy</v>
      </c>
      <c r="H2095" t="s">
        <v>188</v>
      </c>
    </row>
    <row r="2096" spans="1:8" x14ac:dyDescent="0.25">
      <c r="A2096">
        <v>2116</v>
      </c>
      <c r="B2096" t="s">
        <v>2571</v>
      </c>
      <c r="C2096" t="s">
        <v>2572</v>
      </c>
      <c r="D2096" t="str">
        <f t="shared" si="68"/>
        <v/>
      </c>
      <c r="E2096" t="str">
        <f t="shared" si="69"/>
        <v>casey jones (san francisco, 11/2/69)</v>
      </c>
      <c r="F2096" t="s">
        <v>5290</v>
      </c>
      <c r="G2096" t="str">
        <f>_xlfn.IFNA(VLOOKUP(F2096,songs!$B$1:$C$1539, 2, FALSE),"")</f>
        <v>Casey Jones</v>
      </c>
      <c r="H2096" t="s">
        <v>7867</v>
      </c>
    </row>
    <row r="2097" spans="1:8" x14ac:dyDescent="0.25">
      <c r="A2097">
        <v>2096</v>
      </c>
      <c r="B2097" t="s">
        <v>2546</v>
      </c>
      <c r="C2097" t="s">
        <v>24</v>
      </c>
      <c r="D2097" t="str">
        <f t="shared" si="68"/>
        <v/>
      </c>
      <c r="E2097" t="str">
        <f t="shared" si="69"/>
        <v>stella blue</v>
      </c>
      <c r="F2097" t="s">
        <v>7123</v>
      </c>
      <c r="G2097" t="str">
        <f>_xlfn.IFNA(VLOOKUP(F2097,songs!$B$1:$C$1539, 2, FALSE),"")</f>
        <v>Stella Blue</v>
      </c>
      <c r="H2097" t="s">
        <v>24</v>
      </c>
    </row>
    <row r="2098" spans="1:8" x14ac:dyDescent="0.25">
      <c r="A2098">
        <v>2097</v>
      </c>
      <c r="B2098" t="s">
        <v>2547</v>
      </c>
      <c r="C2098" t="s">
        <v>3</v>
      </c>
      <c r="D2098" t="str">
        <f t="shared" si="68"/>
        <v/>
      </c>
      <c r="E2098" t="str">
        <f t="shared" si="69"/>
        <v>big river</v>
      </c>
      <c r="F2098" t="s">
        <v>5175</v>
      </c>
      <c r="G2098" t="str">
        <f>_xlfn.IFNA(VLOOKUP(F2098,songs!$B$1:$C$1539, 2, FALSE),"")</f>
        <v>Big River</v>
      </c>
      <c r="H2098" t="s">
        <v>3</v>
      </c>
    </row>
    <row r="2099" spans="1:8" x14ac:dyDescent="0.25">
      <c r="A2099">
        <v>2098</v>
      </c>
      <c r="B2099" t="s">
        <v>2548</v>
      </c>
      <c r="C2099" t="s">
        <v>436</v>
      </c>
      <c r="D2099" t="str">
        <f t="shared" si="68"/>
        <v/>
      </c>
      <c r="E2099" t="str">
        <f t="shared" si="69"/>
        <v>ramble on rose</v>
      </c>
      <c r="F2099" t="s">
        <v>6827</v>
      </c>
      <c r="G2099" t="str">
        <f>_xlfn.IFNA(VLOOKUP(F2099,songs!$B$1:$C$1539, 2, FALSE),"")</f>
        <v>Ramble On Rose</v>
      </c>
      <c r="H2099" t="s">
        <v>436</v>
      </c>
    </row>
    <row r="2100" spans="1:8" x14ac:dyDescent="0.25">
      <c r="A2100">
        <v>2099</v>
      </c>
      <c r="B2100" t="s">
        <v>2549</v>
      </c>
      <c r="C2100" t="s">
        <v>903</v>
      </c>
      <c r="D2100" t="str">
        <f t="shared" si="68"/>
        <v/>
      </c>
      <c r="E2100" t="str">
        <f t="shared" si="69"/>
        <v>me and my uncle</v>
      </c>
      <c r="F2100" t="s">
        <v>6486</v>
      </c>
      <c r="G2100" t="str">
        <f>_xlfn.IFNA(VLOOKUP(F2100,songs!$B$1:$C$1539, 2, FALSE),"")</f>
        <v>Me And My Uncle</v>
      </c>
      <c r="H2100" t="s">
        <v>903</v>
      </c>
    </row>
    <row r="2101" spans="1:8" x14ac:dyDescent="0.25">
      <c r="A2101">
        <v>2100</v>
      </c>
      <c r="B2101" t="s">
        <v>2550</v>
      </c>
      <c r="C2101" t="s">
        <v>148</v>
      </c>
      <c r="D2101" t="str">
        <f t="shared" si="68"/>
        <v/>
      </c>
      <c r="E2101" t="str">
        <f t="shared" si="69"/>
        <v>johnny b. goode</v>
      </c>
      <c r="F2101" t="s">
        <v>6192</v>
      </c>
      <c r="G2101" t="str">
        <f>_xlfn.IFNA(VLOOKUP(F2101,songs!$B$1:$C$1539, 2, FALSE),"")</f>
        <v>Johnny B. Goode</v>
      </c>
      <c r="H2101" t="s">
        <v>148</v>
      </c>
    </row>
    <row r="2102" spans="1:8" x14ac:dyDescent="0.25">
      <c r="A2102">
        <v>2117</v>
      </c>
      <c r="B2102" t="s">
        <v>2573</v>
      </c>
      <c r="C2102" t="s">
        <v>2574</v>
      </c>
      <c r="D2102" t="str">
        <f t="shared" ref="D2102:D2110" si="70">IF(RIGHT(TRIM(C2102),2)="-&gt;","&gt;",IF(RIGHT(TRIM(C2102),1)="&gt;","&gt;",""))</f>
        <v/>
      </c>
      <c r="E2102" t="str">
        <f t="shared" si="69"/>
        <v>dancing in the street (san francisco, 11/2/69)</v>
      </c>
      <c r="F2102" t="s">
        <v>5418</v>
      </c>
      <c r="G2102" t="str">
        <f>_xlfn.IFNA(VLOOKUP(F2102,songs!$B$1:$C$1539, 2, FALSE),"")</f>
        <v>Dancin' In The Streets</v>
      </c>
      <c r="H2102" t="s">
        <v>7867</v>
      </c>
    </row>
    <row r="2103" spans="1:8" x14ac:dyDescent="0.25">
      <c r="A2103">
        <v>2102</v>
      </c>
      <c r="B2103" t="s">
        <v>2552</v>
      </c>
      <c r="C2103" t="s">
        <v>13</v>
      </c>
      <c r="D2103" t="str">
        <f t="shared" si="70"/>
        <v/>
      </c>
      <c r="E2103" t="str">
        <f t="shared" si="69"/>
        <v>he's gone</v>
      </c>
      <c r="F2103" t="s">
        <v>5903</v>
      </c>
      <c r="G2103" t="str">
        <f>_xlfn.IFNA(VLOOKUP(F2103,songs!$B$1:$C$1539, 2, FALSE),"")</f>
        <v>He's Gone</v>
      </c>
      <c r="H2103" t="s">
        <v>13</v>
      </c>
    </row>
    <row r="2104" spans="1:8" x14ac:dyDescent="0.25">
      <c r="A2104">
        <v>2103</v>
      </c>
      <c r="B2104" t="s">
        <v>2553</v>
      </c>
      <c r="C2104" t="s">
        <v>15</v>
      </c>
      <c r="D2104" t="str">
        <f t="shared" si="70"/>
        <v/>
      </c>
      <c r="E2104" t="str">
        <f t="shared" si="69"/>
        <v>truckin'</v>
      </c>
      <c r="F2104" t="s">
        <v>7436</v>
      </c>
      <c r="G2104" t="str">
        <f>_xlfn.IFNA(VLOOKUP(F2104,songs!$B$1:$C$1539, 2, FALSE),"")</f>
        <v>Truckin'</v>
      </c>
      <c r="H2104" t="s">
        <v>15</v>
      </c>
    </row>
    <row r="2105" spans="1:8" x14ac:dyDescent="0.25">
      <c r="A2105">
        <v>2104</v>
      </c>
      <c r="B2105" t="s">
        <v>2554</v>
      </c>
      <c r="C2105" t="s">
        <v>100</v>
      </c>
      <c r="D2105" t="str">
        <f t="shared" si="70"/>
        <v/>
      </c>
      <c r="E2105" t="str">
        <f t="shared" si="69"/>
        <v>drums</v>
      </c>
      <c r="F2105" t="s">
        <v>5568</v>
      </c>
      <c r="G2105" t="str">
        <f>_xlfn.IFNA(VLOOKUP(F2105,songs!$B$1:$C$1539, 2, FALSE),"")</f>
        <v>Drums</v>
      </c>
      <c r="H2105" t="s">
        <v>100</v>
      </c>
    </row>
    <row r="2106" spans="1:8" x14ac:dyDescent="0.25">
      <c r="A2106">
        <v>2105</v>
      </c>
      <c r="B2106" t="s">
        <v>2555</v>
      </c>
      <c r="C2106" t="s">
        <v>139</v>
      </c>
      <c r="D2106" t="str">
        <f t="shared" si="70"/>
        <v/>
      </c>
      <c r="E2106" t="str">
        <f t="shared" si="69"/>
        <v>the other one</v>
      </c>
      <c r="F2106" t="s">
        <v>7325</v>
      </c>
      <c r="G2106" t="str">
        <f>_xlfn.IFNA(VLOOKUP(F2106,songs!$B$1:$C$1539, 2, FALSE),"")</f>
        <v>The Other One</v>
      </c>
      <c r="H2106" t="s">
        <v>139</v>
      </c>
    </row>
    <row r="2107" spans="1:8" x14ac:dyDescent="0.25">
      <c r="A2107">
        <v>2106</v>
      </c>
      <c r="B2107" t="s">
        <v>2556</v>
      </c>
      <c r="C2107" t="s">
        <v>471</v>
      </c>
      <c r="D2107" t="str">
        <f t="shared" si="70"/>
        <v/>
      </c>
      <c r="E2107" t="str">
        <f t="shared" si="69"/>
        <v>eyes of the world</v>
      </c>
      <c r="F2107" t="s">
        <v>5633</v>
      </c>
      <c r="G2107" t="str">
        <f>_xlfn.IFNA(VLOOKUP(F2107,songs!$B$1:$C$1539, 2, FALSE),"")</f>
        <v>Eyes Of The World</v>
      </c>
      <c r="H2107" t="s">
        <v>471</v>
      </c>
    </row>
    <row r="2108" spans="1:8" x14ac:dyDescent="0.25">
      <c r="A2108">
        <v>2107</v>
      </c>
      <c r="B2108" t="s">
        <v>2557</v>
      </c>
      <c r="C2108" t="s">
        <v>956</v>
      </c>
      <c r="D2108" t="str">
        <f t="shared" si="70"/>
        <v/>
      </c>
      <c r="E2108" t="str">
        <f t="shared" si="69"/>
        <v>one more saturday night</v>
      </c>
      <c r="F2108" t="s">
        <v>6702</v>
      </c>
      <c r="G2108" t="str">
        <f>_xlfn.IFNA(VLOOKUP(F2108,songs!$B$1:$C$1539, 2, FALSE),"")</f>
        <v>One More Saturday Night</v>
      </c>
      <c r="H2108" t="s">
        <v>956</v>
      </c>
    </row>
    <row r="2109" spans="1:8" x14ac:dyDescent="0.25">
      <c r="A2109">
        <v>2108</v>
      </c>
      <c r="B2109" t="s">
        <v>2558</v>
      </c>
      <c r="C2109" t="s">
        <v>81</v>
      </c>
      <c r="D2109" t="str">
        <f t="shared" si="70"/>
        <v/>
      </c>
      <c r="E2109" t="str">
        <f t="shared" si="69"/>
        <v>casey jones</v>
      </c>
      <c r="F2109" t="s">
        <v>5290</v>
      </c>
      <c r="G2109" t="str">
        <f>_xlfn.IFNA(VLOOKUP(F2109,songs!$B$1:$C$1539, 2, FALSE),"")</f>
        <v>Casey Jones</v>
      </c>
      <c r="H2109" t="s">
        <v>81</v>
      </c>
    </row>
    <row r="2110" spans="1:8" x14ac:dyDescent="0.25">
      <c r="A2110">
        <v>2109</v>
      </c>
      <c r="B2110" t="s">
        <v>2559</v>
      </c>
      <c r="C2110" t="s">
        <v>429</v>
      </c>
      <c r="D2110" t="str">
        <f t="shared" si="70"/>
        <v/>
      </c>
      <c r="E2110" t="str">
        <f t="shared" si="69"/>
        <v>cold rain and snow</v>
      </c>
      <c r="F2110" t="s">
        <v>5347</v>
      </c>
      <c r="G2110" t="str">
        <f>_xlfn.IFNA(VLOOKUP(F2110,songs!$B$1:$C$1539, 2, FALSE),"")</f>
        <v>Cold Rain And Snow</v>
      </c>
      <c r="H2110" t="s">
        <v>429</v>
      </c>
    </row>
    <row r="2111" spans="1:8" x14ac:dyDescent="0.25">
      <c r="A2111">
        <v>2118</v>
      </c>
      <c r="B2111" t="s">
        <v>2575</v>
      </c>
      <c r="C2111" t="s">
        <v>2576</v>
      </c>
      <c r="D2111" t="s">
        <v>7871</v>
      </c>
      <c r="E2111" t="str">
        <f t="shared" si="69"/>
        <v>dark star&gt; (san francisco, 11/2/69)</v>
      </c>
      <c r="F2111" t="s">
        <v>5428</v>
      </c>
      <c r="G2111" t="str">
        <f>_xlfn.IFNA(VLOOKUP(F2111,songs!$B$1:$C$1539, 2, FALSE),"")</f>
        <v>Dark Star</v>
      </c>
      <c r="H2111" t="s">
        <v>7867</v>
      </c>
    </row>
    <row r="2112" spans="1:8" x14ac:dyDescent="0.25">
      <c r="A2112">
        <v>2119</v>
      </c>
      <c r="B2112" t="s">
        <v>2577</v>
      </c>
      <c r="C2112" t="s">
        <v>2578</v>
      </c>
      <c r="D2112" t="str">
        <f>IF(RIGHT(TRIM(C2112),2)="-&gt;","&gt;",IF(RIGHT(TRIM(C2112),1)="&gt;","&gt;",""))</f>
        <v/>
      </c>
      <c r="E2112" t="str">
        <f t="shared" si="69"/>
        <v>st. stephen&gt; (san francisco, 11/2/69)</v>
      </c>
      <c r="F2112" t="s">
        <v>6910</v>
      </c>
      <c r="G2112" t="str">
        <f>_xlfn.IFNA(VLOOKUP(F2112,songs!$B$1:$C$1539, 2, FALSE),"")</f>
        <v>Saint Stephen</v>
      </c>
      <c r="H2112" t="s">
        <v>7867</v>
      </c>
    </row>
    <row r="2113" spans="1:8" x14ac:dyDescent="0.25">
      <c r="A2113">
        <v>2112</v>
      </c>
      <c r="B2113" t="s">
        <v>2564</v>
      </c>
      <c r="C2113" t="s">
        <v>158</v>
      </c>
      <c r="D2113" t="str">
        <f>IF(RIGHT(TRIM(C2113),2)="-&gt;","&gt;",IF(RIGHT(TRIM(C2113),1)="&gt;","&gt;",""))</f>
        <v/>
      </c>
      <c r="E2113" t="str">
        <f t="shared" si="69"/>
        <v>mama tried</v>
      </c>
      <c r="F2113" t="s">
        <v>6454</v>
      </c>
      <c r="G2113" t="str">
        <f>_xlfn.IFNA(VLOOKUP(F2113,songs!$B$1:$C$1539, 2, FALSE),"")</f>
        <v>Mama Tried</v>
      </c>
      <c r="H2113" t="s">
        <v>158</v>
      </c>
    </row>
    <row r="2114" spans="1:8" x14ac:dyDescent="0.25">
      <c r="A2114">
        <v>2120</v>
      </c>
      <c r="B2114" t="s">
        <v>2579</v>
      </c>
      <c r="C2114" t="s">
        <v>2580</v>
      </c>
      <c r="D2114" t="s">
        <v>7871</v>
      </c>
      <c r="E2114" t="str">
        <f t="shared" si="69"/>
        <v>the eleven&gt; (san francisco, 11/2/69)</v>
      </c>
      <c r="F2114" t="s">
        <v>7280</v>
      </c>
      <c r="G2114" t="str">
        <f>_xlfn.IFNA(VLOOKUP(F2114,songs!$B$1:$C$1539, 2, FALSE),"")</f>
        <v>The Eleven</v>
      </c>
      <c r="H2114" t="s">
        <v>7867</v>
      </c>
    </row>
    <row r="2115" spans="1:8" x14ac:dyDescent="0.25">
      <c r="A2115">
        <v>2121</v>
      </c>
      <c r="B2115" t="s">
        <v>2581</v>
      </c>
      <c r="C2115" t="s">
        <v>2582</v>
      </c>
      <c r="D2115" t="str">
        <f t="shared" ref="D2115:D2178" si="71">IF(RIGHT(TRIM(C2115),2)="-&gt;","&gt;",IF(RIGHT(TRIM(C2115),1)="&gt;","&gt;",""))</f>
        <v/>
      </c>
      <c r="E2115" t="str">
        <f t="shared" si="69"/>
        <v>death don't have no mercy (san francisco, 11/2/69)</v>
      </c>
      <c r="F2115" t="s">
        <v>5468</v>
      </c>
      <c r="G2115" t="str">
        <f>_xlfn.IFNA(VLOOKUP(F2115,songs!$B$1:$C$1539, 2, FALSE),"")</f>
        <v>Death Don't Have No Mercy</v>
      </c>
      <c r="H2115" t="s">
        <v>7867</v>
      </c>
    </row>
    <row r="2116" spans="1:8" x14ac:dyDescent="0.25">
      <c r="A2116">
        <v>2122</v>
      </c>
      <c r="B2116" t="s">
        <v>2583</v>
      </c>
      <c r="C2116" t="s">
        <v>2584</v>
      </c>
      <c r="D2116" t="str">
        <f t="shared" si="71"/>
        <v/>
      </c>
      <c r="E2116" t="str">
        <f t="shared" ref="E2116:E2179" si="72">LOWER(TRIM(SUBSTITUTE(IF(RIGHT(TRIM(C2116),2)="-&gt;",LEFT(TRIM(C2116),LEN(TRIM(C2116))-2),IF(RIGHT(TRIM(C2116),1)="&gt;",LEFT(TRIM(C2116),LEN(TRIM(C2116))-1),C2116)),"//","")))</f>
        <v>the monkey and the engineer</v>
      </c>
      <c r="F2116" t="s">
        <v>6544</v>
      </c>
      <c r="G2116" t="str">
        <f>_xlfn.IFNA(VLOOKUP(F2116,songs!$B$1:$C$1539, 2, FALSE),"")</f>
        <v>Monkey And The Engineer</v>
      </c>
      <c r="H2116" t="s">
        <v>7867</v>
      </c>
    </row>
    <row r="2117" spans="1:8" x14ac:dyDescent="0.25">
      <c r="A2117">
        <v>2168</v>
      </c>
      <c r="B2117" t="s">
        <v>2637</v>
      </c>
      <c r="C2117" t="s">
        <v>122</v>
      </c>
      <c r="D2117" t="str">
        <f t="shared" si="71"/>
        <v/>
      </c>
      <c r="E2117" t="str">
        <f t="shared" si="72"/>
        <v>new minglewood blues</v>
      </c>
      <c r="F2117" t="s">
        <v>7869</v>
      </c>
      <c r="G2117" t="str">
        <f>_xlfn.IFNA(VLOOKUP(F2117,songs!$B$1:$C$1539, 2, FALSE),"")</f>
        <v>Minglewood Blues</v>
      </c>
      <c r="H2117" t="s">
        <v>7867</v>
      </c>
    </row>
    <row r="2118" spans="1:8" x14ac:dyDescent="0.25">
      <c r="A2118">
        <v>2176</v>
      </c>
      <c r="B2118" t="s">
        <v>2645</v>
      </c>
      <c r="C2118" t="s">
        <v>1775</v>
      </c>
      <c r="D2118" t="str">
        <f t="shared" si="71"/>
        <v/>
      </c>
      <c r="E2118" t="str">
        <f t="shared" si="72"/>
        <v>dancing in the street</v>
      </c>
      <c r="F2118" t="s">
        <v>5418</v>
      </c>
      <c r="G2118" t="str">
        <f>_xlfn.IFNA(VLOOKUP(F2118,songs!$B$1:$C$1539, 2, FALSE),"")</f>
        <v>Dancin' In The Streets</v>
      </c>
      <c r="H2118" t="s">
        <v>7867</v>
      </c>
    </row>
    <row r="2119" spans="1:8" x14ac:dyDescent="0.25">
      <c r="A2119">
        <v>2200</v>
      </c>
      <c r="B2119" t="s">
        <v>2669</v>
      </c>
      <c r="C2119" t="s">
        <v>615</v>
      </c>
      <c r="D2119" t="str">
        <f t="shared" si="71"/>
        <v/>
      </c>
      <c r="E2119" t="str">
        <f t="shared" si="72"/>
        <v>brown-eyed women</v>
      </c>
      <c r="F2119" t="s">
        <v>5255</v>
      </c>
      <c r="G2119" t="str">
        <f>_xlfn.IFNA(VLOOKUP(F2119,songs!$B$1:$C$1539, 2, FALSE),"")</f>
        <v>Brown Eyed Women</v>
      </c>
      <c r="H2119" t="s">
        <v>7867</v>
      </c>
    </row>
    <row r="2120" spans="1:8" x14ac:dyDescent="0.25">
      <c r="A2120">
        <v>2210</v>
      </c>
      <c r="B2120" t="s">
        <v>2679</v>
      </c>
      <c r="C2120" t="s">
        <v>190</v>
      </c>
      <c r="D2120" t="str">
        <f t="shared" si="71"/>
        <v/>
      </c>
      <c r="E2120" t="str">
        <f t="shared" si="72"/>
        <v>black-throated wind</v>
      </c>
      <c r="F2120" t="s">
        <v>5193</v>
      </c>
      <c r="G2120" t="str">
        <f>_xlfn.IFNA(VLOOKUP(F2120,songs!$B$1:$C$1539, 2, FALSE),"")</f>
        <v>Black Throated Wind</v>
      </c>
      <c r="H2120" t="s">
        <v>7867</v>
      </c>
    </row>
    <row r="2121" spans="1:8" x14ac:dyDescent="0.25">
      <c r="A2121">
        <v>2237</v>
      </c>
      <c r="B2121" t="s">
        <v>2706</v>
      </c>
      <c r="C2121" t="s">
        <v>615</v>
      </c>
      <c r="D2121" t="str">
        <f t="shared" si="71"/>
        <v/>
      </c>
      <c r="E2121" t="str">
        <f t="shared" si="72"/>
        <v>brown-eyed women</v>
      </c>
      <c r="F2121" t="s">
        <v>5255</v>
      </c>
      <c r="G2121" t="str">
        <f>_xlfn.IFNA(VLOOKUP(F2121,songs!$B$1:$C$1539, 2, FALSE),"")</f>
        <v>Brown Eyed Women</v>
      </c>
      <c r="H2121" t="s">
        <v>7867</v>
      </c>
    </row>
    <row r="2122" spans="1:8" x14ac:dyDescent="0.25">
      <c r="A2122">
        <v>2240</v>
      </c>
      <c r="B2122" t="s">
        <v>2709</v>
      </c>
      <c r="C2122" t="s">
        <v>122</v>
      </c>
      <c r="D2122" t="str">
        <f t="shared" si="71"/>
        <v/>
      </c>
      <c r="E2122" t="str">
        <f t="shared" si="72"/>
        <v>new minglewood blues</v>
      </c>
      <c r="F2122" t="s">
        <v>7869</v>
      </c>
      <c r="G2122" t="str">
        <f>_xlfn.IFNA(VLOOKUP(F2122,songs!$B$1:$C$1539, 2, FALSE),"")</f>
        <v>Minglewood Blues</v>
      </c>
      <c r="H2122" t="s">
        <v>7867</v>
      </c>
    </row>
    <row r="2123" spans="1:8" x14ac:dyDescent="0.25">
      <c r="A2123">
        <v>2251</v>
      </c>
      <c r="B2123" t="s">
        <v>2720</v>
      </c>
      <c r="C2123" t="s">
        <v>2721</v>
      </c>
      <c r="D2123" t="str">
        <f t="shared" si="71"/>
        <v/>
      </c>
      <c r="E2123" t="str">
        <f t="shared" si="72"/>
        <v>saint of circmstance</v>
      </c>
      <c r="F2123" t="s">
        <v>6909</v>
      </c>
      <c r="G2123" t="str">
        <f>_xlfn.IFNA(VLOOKUP(F2123,songs!$B$1:$C$1539, 2, FALSE),"")</f>
        <v>Saint Of Circumstance</v>
      </c>
      <c r="H2123" t="s">
        <v>7867</v>
      </c>
    </row>
    <row r="2124" spans="1:8" x14ac:dyDescent="0.25">
      <c r="A2124">
        <v>2123</v>
      </c>
      <c r="B2124" t="s">
        <v>2585</v>
      </c>
      <c r="C2124" t="s">
        <v>2586</v>
      </c>
      <c r="D2124" t="str">
        <f t="shared" si="71"/>
        <v/>
      </c>
      <c r="E2124" t="str">
        <f t="shared" si="72"/>
        <v>little sadie</v>
      </c>
      <c r="F2124" t="s">
        <v>6361</v>
      </c>
      <c r="G2124" t="str">
        <f>_xlfn.IFNA(VLOOKUP(F2124,songs!$B$1:$C$1539, 2, FALSE),"")</f>
        <v>Little Sadie</v>
      </c>
      <c r="H2124" t="s">
        <v>2586</v>
      </c>
    </row>
    <row r="2125" spans="1:8" x14ac:dyDescent="0.25">
      <c r="A2125">
        <v>2124</v>
      </c>
      <c r="B2125" t="s">
        <v>2587</v>
      </c>
      <c r="C2125" t="s">
        <v>2588</v>
      </c>
      <c r="D2125" t="str">
        <f t="shared" si="71"/>
        <v/>
      </c>
      <c r="E2125" t="str">
        <f t="shared" si="72"/>
        <v>long black limousine</v>
      </c>
      <c r="F2125" t="s">
        <v>6387</v>
      </c>
      <c r="G2125" t="str">
        <f>_xlfn.IFNA(VLOOKUP(F2125,songs!$B$1:$C$1539, 2, FALSE),"")</f>
        <v>Long Black Limousine</v>
      </c>
      <c r="H2125" t="s">
        <v>2588</v>
      </c>
    </row>
    <row r="2126" spans="1:8" x14ac:dyDescent="0.25">
      <c r="A2126">
        <v>2125</v>
      </c>
      <c r="B2126" t="s">
        <v>2589</v>
      </c>
      <c r="C2126" t="s">
        <v>2590</v>
      </c>
      <c r="D2126" t="str">
        <f t="shared" si="71"/>
        <v/>
      </c>
      <c r="E2126" t="str">
        <f t="shared" si="72"/>
        <v>i've been all around this world</v>
      </c>
      <c r="F2126" t="s">
        <v>6147</v>
      </c>
      <c r="G2126" t="str">
        <f>_xlfn.IFNA(VLOOKUP(F2126,songs!$B$1:$C$1539, 2, FALSE),"")</f>
        <v>I've Been All Around This World</v>
      </c>
      <c r="H2126" t="s">
        <v>2590</v>
      </c>
    </row>
    <row r="2127" spans="1:8" x14ac:dyDescent="0.25">
      <c r="A2127">
        <v>2126</v>
      </c>
      <c r="B2127" t="s">
        <v>2591</v>
      </c>
      <c r="C2127" t="s">
        <v>2592</v>
      </c>
      <c r="D2127" t="str">
        <f t="shared" si="71"/>
        <v/>
      </c>
      <c r="E2127" t="str">
        <f t="shared" si="72"/>
        <v>gathering flowers for the master's bouquet</v>
      </c>
      <c r="F2127" t="s">
        <v>5741</v>
      </c>
      <c r="G2127" t="str">
        <f>_xlfn.IFNA(VLOOKUP(F2127,songs!$B$1:$C$1539, 2, FALSE),"")</f>
        <v>Gathering Flowers For The Master's Bouquet</v>
      </c>
      <c r="H2127" t="s">
        <v>2592</v>
      </c>
    </row>
    <row r="2128" spans="1:8" x14ac:dyDescent="0.25">
      <c r="A2128">
        <v>2127</v>
      </c>
      <c r="B2128" t="s">
        <v>2593</v>
      </c>
      <c r="C2128" t="s">
        <v>81</v>
      </c>
      <c r="D2128" t="str">
        <f t="shared" si="71"/>
        <v/>
      </c>
      <c r="E2128" t="str">
        <f t="shared" si="72"/>
        <v>casey jones</v>
      </c>
      <c r="F2128" t="s">
        <v>5290</v>
      </c>
      <c r="G2128" t="str">
        <f>_xlfn.IFNA(VLOOKUP(F2128,songs!$B$1:$C$1539, 2, FALSE),"")</f>
        <v>Casey Jones</v>
      </c>
      <c r="H2128" t="s">
        <v>81</v>
      </c>
    </row>
    <row r="2129" spans="1:8" x14ac:dyDescent="0.25">
      <c r="A2129">
        <v>2128</v>
      </c>
      <c r="B2129" t="s">
        <v>2594</v>
      </c>
      <c r="C2129" t="s">
        <v>1199</v>
      </c>
      <c r="D2129" t="str">
        <f t="shared" si="71"/>
        <v/>
      </c>
      <c r="E2129" t="str">
        <f t="shared" si="72"/>
        <v>hard to handle</v>
      </c>
      <c r="F2129" t="s">
        <v>5861</v>
      </c>
      <c r="G2129" t="str">
        <f>_xlfn.IFNA(VLOOKUP(F2129,songs!$B$1:$C$1539, 2, FALSE),"")</f>
        <v>Hard To Handle</v>
      </c>
      <c r="H2129" t="s">
        <v>1199</v>
      </c>
    </row>
    <row r="2130" spans="1:8" x14ac:dyDescent="0.25">
      <c r="A2130">
        <v>2129</v>
      </c>
      <c r="B2130" t="s">
        <v>2595</v>
      </c>
      <c r="C2130" t="s">
        <v>429</v>
      </c>
      <c r="D2130" t="str">
        <f t="shared" si="71"/>
        <v/>
      </c>
      <c r="E2130" t="str">
        <f t="shared" si="72"/>
        <v>cold rain and snow</v>
      </c>
      <c r="F2130" t="s">
        <v>5347</v>
      </c>
      <c r="G2130" t="str">
        <f>_xlfn.IFNA(VLOOKUP(F2130,songs!$B$1:$C$1539, 2, FALSE),"")</f>
        <v>Cold Rain And Snow</v>
      </c>
      <c r="H2130" t="s">
        <v>429</v>
      </c>
    </row>
    <row r="2131" spans="1:8" x14ac:dyDescent="0.25">
      <c r="A2131">
        <v>2130</v>
      </c>
      <c r="B2131" t="s">
        <v>2596</v>
      </c>
      <c r="C2131" t="s">
        <v>84</v>
      </c>
      <c r="D2131" t="str">
        <f t="shared" si="71"/>
        <v/>
      </c>
      <c r="E2131" t="str">
        <f t="shared" si="72"/>
        <v>china cat sunflower</v>
      </c>
      <c r="F2131" t="s">
        <v>5319</v>
      </c>
      <c r="G2131" t="str">
        <f>_xlfn.IFNA(VLOOKUP(F2131,songs!$B$1:$C$1539, 2, FALSE),"")</f>
        <v>China Cat Sunflower</v>
      </c>
      <c r="H2131" t="s">
        <v>84</v>
      </c>
    </row>
    <row r="2132" spans="1:8" x14ac:dyDescent="0.25">
      <c r="A2132">
        <v>2131</v>
      </c>
      <c r="B2132" t="s">
        <v>2597</v>
      </c>
      <c r="C2132" t="s">
        <v>86</v>
      </c>
      <c r="D2132" t="str">
        <f t="shared" si="71"/>
        <v/>
      </c>
      <c r="E2132" t="str">
        <f t="shared" si="72"/>
        <v>i know you rider</v>
      </c>
      <c r="F2132" t="s">
        <v>6020</v>
      </c>
      <c r="G2132" t="str">
        <f>_xlfn.IFNA(VLOOKUP(F2132,songs!$B$1:$C$1539, 2, FALSE),"")</f>
        <v>I Know You Rider</v>
      </c>
      <c r="H2132" t="s">
        <v>86</v>
      </c>
    </row>
    <row r="2133" spans="1:8" x14ac:dyDescent="0.25">
      <c r="A2133">
        <v>2132</v>
      </c>
      <c r="B2133" t="s">
        <v>2598</v>
      </c>
      <c r="C2133" t="s">
        <v>221</v>
      </c>
      <c r="D2133" t="str">
        <f t="shared" si="71"/>
        <v/>
      </c>
      <c r="E2133" t="str">
        <f t="shared" si="72"/>
        <v>black peter</v>
      </c>
      <c r="F2133" t="s">
        <v>5190</v>
      </c>
      <c r="G2133" t="str">
        <f>_xlfn.IFNA(VLOOKUP(F2133,songs!$B$1:$C$1539, 2, FALSE),"")</f>
        <v>Black Peter</v>
      </c>
      <c r="H2133" t="s">
        <v>221</v>
      </c>
    </row>
    <row r="2134" spans="1:8" x14ac:dyDescent="0.25">
      <c r="A2134">
        <v>2133</v>
      </c>
      <c r="B2134" t="s">
        <v>2599</v>
      </c>
      <c r="C2134" t="s">
        <v>88</v>
      </c>
      <c r="D2134" t="str">
        <f t="shared" si="71"/>
        <v/>
      </c>
      <c r="E2134" t="str">
        <f t="shared" si="72"/>
        <v>high time</v>
      </c>
      <c r="F2134" t="s">
        <v>5920</v>
      </c>
      <c r="G2134" t="str">
        <f>_xlfn.IFNA(VLOOKUP(F2134,songs!$B$1:$C$1539, 2, FALSE),"")</f>
        <v>High Time</v>
      </c>
      <c r="H2134" t="s">
        <v>88</v>
      </c>
    </row>
    <row r="2135" spans="1:8" x14ac:dyDescent="0.25">
      <c r="A2135">
        <v>2134</v>
      </c>
      <c r="B2135" t="s">
        <v>2600</v>
      </c>
      <c r="C2135" t="s">
        <v>903</v>
      </c>
      <c r="D2135" t="str">
        <f t="shared" si="71"/>
        <v/>
      </c>
      <c r="E2135" t="str">
        <f t="shared" si="72"/>
        <v>me and my uncle</v>
      </c>
      <c r="F2135" t="s">
        <v>6486</v>
      </c>
      <c r="G2135" t="str">
        <f>_xlfn.IFNA(VLOOKUP(F2135,songs!$B$1:$C$1539, 2, FALSE),"")</f>
        <v>Me And My Uncle</v>
      </c>
      <c r="H2135" t="s">
        <v>903</v>
      </c>
    </row>
    <row r="2136" spans="1:8" x14ac:dyDescent="0.25">
      <c r="A2136">
        <v>2135</v>
      </c>
      <c r="B2136" t="s">
        <v>2601</v>
      </c>
      <c r="C2136" t="s">
        <v>133</v>
      </c>
      <c r="D2136" t="str">
        <f t="shared" si="71"/>
        <v/>
      </c>
      <c r="E2136" t="str">
        <f t="shared" si="72"/>
        <v>uncle john's band</v>
      </c>
      <c r="F2136" t="s">
        <v>7466</v>
      </c>
      <c r="G2136" t="str">
        <f>_xlfn.IFNA(VLOOKUP(F2136,songs!$B$1:$C$1539, 2, FALSE),"")</f>
        <v>Uncle John's Band</v>
      </c>
      <c r="H2136" t="s">
        <v>133</v>
      </c>
    </row>
    <row r="2137" spans="1:8" x14ac:dyDescent="0.25">
      <c r="A2137">
        <v>2136</v>
      </c>
      <c r="B2137" t="s">
        <v>2602</v>
      </c>
      <c r="C2137" t="s">
        <v>92</v>
      </c>
      <c r="D2137" t="str">
        <f t="shared" si="71"/>
        <v/>
      </c>
      <c r="E2137" t="str">
        <f t="shared" si="72"/>
        <v>dark star</v>
      </c>
      <c r="F2137" t="s">
        <v>5428</v>
      </c>
      <c r="G2137" t="str">
        <f>_xlfn.IFNA(VLOOKUP(F2137,songs!$B$1:$C$1539, 2, FALSE),"")</f>
        <v>Dark Star</v>
      </c>
      <c r="H2137" t="s">
        <v>92</v>
      </c>
    </row>
    <row r="2138" spans="1:8" x14ac:dyDescent="0.25">
      <c r="A2138">
        <v>2137</v>
      </c>
      <c r="B2138" t="s">
        <v>2603</v>
      </c>
      <c r="C2138" t="s">
        <v>1435</v>
      </c>
      <c r="D2138" t="str">
        <f t="shared" si="71"/>
        <v/>
      </c>
      <c r="E2138" t="str">
        <f t="shared" si="72"/>
        <v>new speedway boogie</v>
      </c>
      <c r="F2138" t="s">
        <v>6624</v>
      </c>
      <c r="G2138" t="str">
        <f>_xlfn.IFNA(VLOOKUP(F2138,songs!$B$1:$C$1539, 2, FALSE),"")</f>
        <v>New Speedway Boogie</v>
      </c>
      <c r="H2138" t="s">
        <v>1435</v>
      </c>
    </row>
    <row r="2139" spans="1:8" x14ac:dyDescent="0.25">
      <c r="A2139">
        <v>2138</v>
      </c>
      <c r="B2139" t="s">
        <v>2604</v>
      </c>
      <c r="C2139" t="s">
        <v>507</v>
      </c>
      <c r="D2139" t="str">
        <f t="shared" si="71"/>
        <v/>
      </c>
      <c r="E2139" t="str">
        <f t="shared" si="72"/>
        <v>turn on your lovelight</v>
      </c>
      <c r="F2139" t="s">
        <v>7447</v>
      </c>
      <c r="G2139" t="str">
        <f>_xlfn.IFNA(VLOOKUP(F2139,songs!$B$1:$C$1539, 2, FALSE),"")</f>
        <v>Turn On Your Lovelight</v>
      </c>
      <c r="H2139" t="s">
        <v>507</v>
      </c>
    </row>
    <row r="2140" spans="1:8" x14ac:dyDescent="0.25">
      <c r="A2140">
        <v>2139</v>
      </c>
      <c r="B2140" t="s">
        <v>2605</v>
      </c>
      <c r="C2140" t="s">
        <v>853</v>
      </c>
      <c r="D2140" t="str">
        <f t="shared" si="71"/>
        <v/>
      </c>
      <c r="E2140" t="str">
        <f t="shared" si="72"/>
        <v>feel like a stranger</v>
      </c>
      <c r="F2140" t="s">
        <v>5658</v>
      </c>
      <c r="G2140" t="str">
        <f>_xlfn.IFNA(VLOOKUP(F2140,songs!$B$1:$C$1539, 2, FALSE),"")</f>
        <v>Feel Like A Stranger</v>
      </c>
      <c r="H2140" t="s">
        <v>853</v>
      </c>
    </row>
    <row r="2141" spans="1:8" x14ac:dyDescent="0.25">
      <c r="A2141">
        <v>2140</v>
      </c>
      <c r="B2141" t="s">
        <v>2606</v>
      </c>
      <c r="C2141" t="s">
        <v>2355</v>
      </c>
      <c r="D2141" t="str">
        <f t="shared" si="71"/>
        <v/>
      </c>
      <c r="E2141" t="str">
        <f t="shared" si="72"/>
        <v>west l.a. fadeaway</v>
      </c>
      <c r="F2141" t="s">
        <v>7663</v>
      </c>
      <c r="G2141" t="str">
        <f>_xlfn.IFNA(VLOOKUP(F2141,songs!$B$1:$C$1539, 2, FALSE),"")</f>
        <v>West L.A. Fadeaway</v>
      </c>
      <c r="H2141" t="s">
        <v>2355</v>
      </c>
    </row>
    <row r="2142" spans="1:8" x14ac:dyDescent="0.25">
      <c r="A2142">
        <v>2141</v>
      </c>
      <c r="B2142" t="s">
        <v>2607</v>
      </c>
      <c r="C2142" t="s">
        <v>903</v>
      </c>
      <c r="D2142" t="str">
        <f t="shared" si="71"/>
        <v/>
      </c>
      <c r="E2142" t="str">
        <f t="shared" si="72"/>
        <v>me and my uncle</v>
      </c>
      <c r="F2142" t="s">
        <v>6486</v>
      </c>
      <c r="G2142" t="str">
        <f>_xlfn.IFNA(VLOOKUP(F2142,songs!$B$1:$C$1539, 2, FALSE),"")</f>
        <v>Me And My Uncle</v>
      </c>
      <c r="H2142" t="s">
        <v>903</v>
      </c>
    </row>
    <row r="2143" spans="1:8" x14ac:dyDescent="0.25">
      <c r="A2143">
        <v>2142</v>
      </c>
      <c r="B2143" t="s">
        <v>2608</v>
      </c>
      <c r="C2143" t="s">
        <v>225</v>
      </c>
      <c r="D2143" t="str">
        <f t="shared" si="71"/>
        <v/>
      </c>
      <c r="E2143" t="str">
        <f t="shared" si="72"/>
        <v>cumberland blues</v>
      </c>
      <c r="F2143" t="s">
        <v>5411</v>
      </c>
      <c r="G2143" t="str">
        <f>_xlfn.IFNA(VLOOKUP(F2143,songs!$B$1:$C$1539, 2, FALSE),"")</f>
        <v>Cumberland Blues</v>
      </c>
      <c r="H2143" t="s">
        <v>225</v>
      </c>
    </row>
    <row r="2144" spans="1:8" x14ac:dyDescent="0.25">
      <c r="A2144">
        <v>2143</v>
      </c>
      <c r="B2144" t="s">
        <v>2609</v>
      </c>
      <c r="C2144" t="s">
        <v>2610</v>
      </c>
      <c r="D2144" t="str">
        <f t="shared" si="71"/>
        <v/>
      </c>
      <c r="E2144" t="str">
        <f t="shared" si="72"/>
        <v>far from me</v>
      </c>
      <c r="F2144" t="s">
        <v>5644</v>
      </c>
      <c r="G2144" t="str">
        <f>_xlfn.IFNA(VLOOKUP(F2144,songs!$B$1:$C$1539, 2, FALSE),"")</f>
        <v>Far From Me</v>
      </c>
      <c r="H2144" t="s">
        <v>2610</v>
      </c>
    </row>
    <row r="2145" spans="1:8" x14ac:dyDescent="0.25">
      <c r="A2145">
        <v>2144</v>
      </c>
      <c r="B2145" t="s">
        <v>2611</v>
      </c>
      <c r="C2145" t="s">
        <v>156</v>
      </c>
      <c r="D2145" t="str">
        <f t="shared" si="71"/>
        <v/>
      </c>
      <c r="E2145" t="str">
        <f t="shared" si="72"/>
        <v>they love each other</v>
      </c>
      <c r="F2145" t="s">
        <v>7358</v>
      </c>
      <c r="G2145" t="str">
        <f>_xlfn.IFNA(VLOOKUP(F2145,songs!$B$1:$C$1539, 2, FALSE),"")</f>
        <v>They Love Each Other</v>
      </c>
      <c r="H2145" t="s">
        <v>156</v>
      </c>
    </row>
    <row r="2146" spans="1:8" x14ac:dyDescent="0.25">
      <c r="A2146">
        <v>2145</v>
      </c>
      <c r="B2146" t="s">
        <v>2612</v>
      </c>
      <c r="C2146" t="s">
        <v>262</v>
      </c>
      <c r="D2146" t="str">
        <f t="shared" si="71"/>
        <v/>
      </c>
      <c r="E2146" t="str">
        <f t="shared" si="72"/>
        <v>cassidy</v>
      </c>
      <c r="F2146" t="s">
        <v>5291</v>
      </c>
      <c r="G2146" t="str">
        <f>_xlfn.IFNA(VLOOKUP(F2146,songs!$B$1:$C$1539, 2, FALSE),"")</f>
        <v>Cassidy</v>
      </c>
      <c r="H2146" t="s">
        <v>262</v>
      </c>
    </row>
    <row r="2147" spans="1:8" x14ac:dyDescent="0.25">
      <c r="A2147">
        <v>2146</v>
      </c>
      <c r="B2147" t="s">
        <v>2613</v>
      </c>
      <c r="C2147" t="s">
        <v>164</v>
      </c>
      <c r="D2147" t="str">
        <f t="shared" si="71"/>
        <v/>
      </c>
      <c r="E2147" t="str">
        <f t="shared" si="72"/>
        <v>tennessee jed</v>
      </c>
      <c r="F2147" t="s">
        <v>7234</v>
      </c>
      <c r="G2147" t="str">
        <f>_xlfn.IFNA(VLOOKUP(F2147,songs!$B$1:$C$1539, 2, FALSE),"")</f>
        <v>Tennessee Jed</v>
      </c>
      <c r="H2147" t="s">
        <v>164</v>
      </c>
    </row>
    <row r="2148" spans="1:8" x14ac:dyDescent="0.25">
      <c r="A2148">
        <v>2147</v>
      </c>
      <c r="B2148" t="s">
        <v>2614</v>
      </c>
      <c r="C2148" t="s">
        <v>130</v>
      </c>
      <c r="D2148" t="str">
        <f t="shared" si="71"/>
        <v/>
      </c>
      <c r="E2148" t="str">
        <f t="shared" si="72"/>
        <v>promised land</v>
      </c>
      <c r="F2148" t="s">
        <v>6797</v>
      </c>
      <c r="G2148" t="str">
        <f>_xlfn.IFNA(VLOOKUP(F2148,songs!$B$1:$C$1539, 2, FALSE),"")</f>
        <v>Promised Land</v>
      </c>
      <c r="H2148" t="s">
        <v>130</v>
      </c>
    </row>
    <row r="2149" spans="1:8" x14ac:dyDescent="0.25">
      <c r="A2149">
        <v>2148</v>
      </c>
      <c r="B2149" t="s">
        <v>2615</v>
      </c>
      <c r="C2149" t="s">
        <v>899</v>
      </c>
      <c r="D2149" t="str">
        <f t="shared" si="71"/>
        <v>&gt;</v>
      </c>
      <c r="E2149" t="str">
        <f t="shared" si="72"/>
        <v>eyes of the world</v>
      </c>
      <c r="F2149" t="s">
        <v>5633</v>
      </c>
      <c r="G2149" t="str">
        <f>_xlfn.IFNA(VLOOKUP(F2149,songs!$B$1:$C$1539, 2, FALSE),"")</f>
        <v>Eyes Of The World</v>
      </c>
      <c r="H2149" t="s">
        <v>471</v>
      </c>
    </row>
    <row r="2150" spans="1:8" x14ac:dyDescent="0.25">
      <c r="A2150">
        <v>2149</v>
      </c>
      <c r="B2150" t="s">
        <v>2616</v>
      </c>
      <c r="C2150" t="s">
        <v>2617</v>
      </c>
      <c r="D2150" t="str">
        <f t="shared" si="71"/>
        <v>&gt;</v>
      </c>
      <c r="E2150" t="str">
        <f t="shared" si="72"/>
        <v>looks like rain</v>
      </c>
      <c r="F2150" t="s">
        <v>6398</v>
      </c>
      <c r="G2150" t="str">
        <f>_xlfn.IFNA(VLOOKUP(F2150,songs!$B$1:$C$1539, 2, FALSE),"")</f>
        <v>Looks Like Rain</v>
      </c>
      <c r="H2150" t="s">
        <v>126</v>
      </c>
    </row>
    <row r="2151" spans="1:8" x14ac:dyDescent="0.25">
      <c r="A2151">
        <v>2150</v>
      </c>
      <c r="B2151" t="s">
        <v>2618</v>
      </c>
      <c r="C2151" t="s">
        <v>2619</v>
      </c>
      <c r="D2151" t="str">
        <f t="shared" si="71"/>
        <v>&gt;</v>
      </c>
      <c r="E2151" t="str">
        <f t="shared" si="72"/>
        <v>crazy fingers</v>
      </c>
      <c r="F2151" t="s">
        <v>5390</v>
      </c>
      <c r="G2151" t="str">
        <f>_xlfn.IFNA(VLOOKUP(F2151,songs!$B$1:$C$1539, 2, FALSE),"")</f>
        <v>Crazy Fingers</v>
      </c>
      <c r="H2151" t="s">
        <v>526</v>
      </c>
    </row>
    <row r="2152" spans="1:8" x14ac:dyDescent="0.25">
      <c r="A2152">
        <v>2151</v>
      </c>
      <c r="B2152" t="s">
        <v>2620</v>
      </c>
      <c r="C2152" t="s">
        <v>976</v>
      </c>
      <c r="D2152" t="str">
        <f t="shared" si="71"/>
        <v>&gt;</v>
      </c>
      <c r="E2152" t="str">
        <f t="shared" si="72"/>
        <v>playing in the band</v>
      </c>
      <c r="F2152" t="s">
        <v>6769</v>
      </c>
      <c r="G2152" t="str">
        <f>_xlfn.IFNA(VLOOKUP(F2152,songs!$B$1:$C$1539, 2, FALSE),"")</f>
        <v>Playing In The Band</v>
      </c>
      <c r="H2152" t="s">
        <v>419</v>
      </c>
    </row>
    <row r="2153" spans="1:8" x14ac:dyDescent="0.25">
      <c r="A2153">
        <v>2152</v>
      </c>
      <c r="B2153" t="s">
        <v>2621</v>
      </c>
      <c r="C2153" t="s">
        <v>766</v>
      </c>
      <c r="D2153" t="str">
        <f t="shared" si="71"/>
        <v>&gt;</v>
      </c>
      <c r="E2153" t="str">
        <f t="shared" si="72"/>
        <v>uncle john's band</v>
      </c>
      <c r="F2153" t="s">
        <v>7466</v>
      </c>
      <c r="G2153" t="str">
        <f>_xlfn.IFNA(VLOOKUP(F2153,songs!$B$1:$C$1539, 2, FALSE),"")</f>
        <v>Uncle John's Band</v>
      </c>
      <c r="H2153" t="s">
        <v>133</v>
      </c>
    </row>
    <row r="2154" spans="1:8" x14ac:dyDescent="0.25">
      <c r="A2154">
        <v>2153</v>
      </c>
      <c r="B2154" t="s">
        <v>2622</v>
      </c>
      <c r="C2154" t="s">
        <v>976</v>
      </c>
      <c r="D2154" t="str">
        <f t="shared" si="71"/>
        <v>&gt;</v>
      </c>
      <c r="E2154" t="str">
        <f t="shared" si="72"/>
        <v>playing in the band</v>
      </c>
      <c r="F2154" t="s">
        <v>6769</v>
      </c>
      <c r="G2154" t="str">
        <f>_xlfn.IFNA(VLOOKUP(F2154,songs!$B$1:$C$1539, 2, FALSE),"")</f>
        <v>Playing In The Band</v>
      </c>
      <c r="H2154" t="s">
        <v>419</v>
      </c>
    </row>
    <row r="2155" spans="1:8" x14ac:dyDescent="0.25">
      <c r="A2155">
        <v>2154</v>
      </c>
      <c r="B2155" t="s">
        <v>2623</v>
      </c>
      <c r="C2155" t="s">
        <v>100</v>
      </c>
      <c r="D2155" t="str">
        <f t="shared" si="71"/>
        <v/>
      </c>
      <c r="E2155" t="str">
        <f t="shared" si="72"/>
        <v>drums</v>
      </c>
      <c r="F2155" t="s">
        <v>5568</v>
      </c>
      <c r="G2155" t="str">
        <f>_xlfn.IFNA(VLOOKUP(F2155,songs!$B$1:$C$1539, 2, FALSE),"")</f>
        <v>Drums</v>
      </c>
      <c r="H2155" t="s">
        <v>100</v>
      </c>
    </row>
    <row r="2156" spans="1:8" x14ac:dyDescent="0.25">
      <c r="A2156">
        <v>2155</v>
      </c>
      <c r="B2156" t="s">
        <v>2624</v>
      </c>
      <c r="C2156" t="s">
        <v>277</v>
      </c>
      <c r="D2156" t="str">
        <f t="shared" si="71"/>
        <v/>
      </c>
      <c r="E2156" t="str">
        <f t="shared" si="72"/>
        <v>space</v>
      </c>
      <c r="F2156" t="s">
        <v>7091</v>
      </c>
      <c r="G2156" t="str">
        <f>_xlfn.IFNA(VLOOKUP(F2156,songs!$B$1:$C$1539, 2, FALSE),"")</f>
        <v>Space</v>
      </c>
      <c r="H2156" t="s">
        <v>277</v>
      </c>
    </row>
    <row r="2157" spans="1:8" x14ac:dyDescent="0.25">
      <c r="A2157">
        <v>2156</v>
      </c>
      <c r="B2157" t="s">
        <v>2625</v>
      </c>
      <c r="C2157" t="s">
        <v>567</v>
      </c>
      <c r="D2157" t="str">
        <f t="shared" si="71"/>
        <v/>
      </c>
      <c r="E2157" t="str">
        <f t="shared" si="72"/>
        <v>the wheel</v>
      </c>
      <c r="F2157" t="s">
        <v>7343</v>
      </c>
      <c r="G2157" t="str">
        <f>_xlfn.IFNA(VLOOKUP(F2157,songs!$B$1:$C$1539, 2, FALSE),"")</f>
        <v>The Wheel</v>
      </c>
      <c r="H2157" t="s">
        <v>567</v>
      </c>
    </row>
    <row r="2158" spans="1:8" x14ac:dyDescent="0.25">
      <c r="A2158">
        <v>2157</v>
      </c>
      <c r="B2158" t="s">
        <v>2626</v>
      </c>
      <c r="C2158" t="s">
        <v>2237</v>
      </c>
      <c r="D2158" t="str">
        <f t="shared" si="71"/>
        <v/>
      </c>
      <c r="E2158" t="str">
        <f t="shared" si="72"/>
        <v>i need a miracle</v>
      </c>
      <c r="F2158" t="s">
        <v>6021</v>
      </c>
      <c r="G2158" t="str">
        <f>_xlfn.IFNA(VLOOKUP(F2158,songs!$B$1:$C$1539, 2, FALSE),"")</f>
        <v>I Need A Miracle</v>
      </c>
      <c r="H2158" t="s">
        <v>2237</v>
      </c>
    </row>
    <row r="2159" spans="1:8" x14ac:dyDescent="0.25">
      <c r="A2159">
        <v>2158</v>
      </c>
      <c r="B2159" t="s">
        <v>2627</v>
      </c>
      <c r="C2159" t="s">
        <v>212</v>
      </c>
      <c r="D2159" t="str">
        <f t="shared" si="71"/>
        <v/>
      </c>
      <c r="E2159" t="str">
        <f t="shared" si="72"/>
        <v>morning dew</v>
      </c>
      <c r="F2159" t="s">
        <v>6555</v>
      </c>
      <c r="G2159" t="str">
        <f>_xlfn.IFNA(VLOOKUP(F2159,songs!$B$1:$C$1539, 2, FALSE),"")</f>
        <v>Morning Dew</v>
      </c>
      <c r="H2159" t="s">
        <v>212</v>
      </c>
    </row>
    <row r="2160" spans="1:8" x14ac:dyDescent="0.25">
      <c r="A2160">
        <v>2159</v>
      </c>
      <c r="B2160" t="s">
        <v>2628</v>
      </c>
      <c r="C2160" t="s">
        <v>956</v>
      </c>
      <c r="D2160" t="str">
        <f t="shared" si="71"/>
        <v/>
      </c>
      <c r="E2160" t="str">
        <f t="shared" si="72"/>
        <v>one more saturday night</v>
      </c>
      <c r="F2160" t="s">
        <v>6702</v>
      </c>
      <c r="G2160" t="str">
        <f>_xlfn.IFNA(VLOOKUP(F2160,songs!$B$1:$C$1539, 2, FALSE),"")</f>
        <v>One More Saturday Night</v>
      </c>
      <c r="H2160" t="s">
        <v>956</v>
      </c>
    </row>
    <row r="2161" spans="1:8" x14ac:dyDescent="0.25">
      <c r="A2161">
        <v>2160</v>
      </c>
      <c r="B2161" t="s">
        <v>2629</v>
      </c>
      <c r="C2161" t="s">
        <v>130</v>
      </c>
      <c r="D2161" t="str">
        <f t="shared" si="71"/>
        <v/>
      </c>
      <c r="E2161" t="str">
        <f t="shared" si="72"/>
        <v>promised land</v>
      </c>
      <c r="F2161" t="s">
        <v>6797</v>
      </c>
      <c r="G2161" t="str">
        <f>_xlfn.IFNA(VLOOKUP(F2161,songs!$B$1:$C$1539, 2, FALSE),"")</f>
        <v>Promised Land</v>
      </c>
      <c r="H2161" t="s">
        <v>130</v>
      </c>
    </row>
    <row r="2162" spans="1:8" x14ac:dyDescent="0.25">
      <c r="A2162">
        <v>2161</v>
      </c>
      <c r="B2162" t="s">
        <v>2630</v>
      </c>
      <c r="C2162" t="s">
        <v>156</v>
      </c>
      <c r="D2162" t="str">
        <f t="shared" si="71"/>
        <v/>
      </c>
      <c r="E2162" t="str">
        <f t="shared" si="72"/>
        <v>they love each other</v>
      </c>
      <c r="F2162" t="s">
        <v>7358</v>
      </c>
      <c r="G2162" t="str">
        <f>_xlfn.IFNA(VLOOKUP(F2162,songs!$B$1:$C$1539, 2, FALSE),"")</f>
        <v>They Love Each Other</v>
      </c>
      <c r="H2162" t="s">
        <v>156</v>
      </c>
    </row>
    <row r="2163" spans="1:8" x14ac:dyDescent="0.25">
      <c r="A2163">
        <v>2162</v>
      </c>
      <c r="B2163" t="s">
        <v>2631</v>
      </c>
      <c r="C2163" t="s">
        <v>186</v>
      </c>
      <c r="D2163" t="str">
        <f t="shared" si="71"/>
        <v/>
      </c>
      <c r="E2163" t="str">
        <f t="shared" si="72"/>
        <v>mexicali blues</v>
      </c>
      <c r="F2163" t="s">
        <v>6499</v>
      </c>
      <c r="G2163" t="str">
        <f>_xlfn.IFNA(VLOOKUP(F2163,songs!$B$1:$C$1539, 2, FALSE),"")</f>
        <v>Mexicali Blues</v>
      </c>
      <c r="H2163" t="s">
        <v>186</v>
      </c>
    </row>
    <row r="2164" spans="1:8" x14ac:dyDescent="0.25">
      <c r="A2164">
        <v>2163</v>
      </c>
      <c r="B2164" t="s">
        <v>2632</v>
      </c>
      <c r="C2164" t="s">
        <v>90</v>
      </c>
      <c r="D2164" t="str">
        <f t="shared" si="71"/>
        <v/>
      </c>
      <c r="E2164" t="str">
        <f t="shared" si="72"/>
        <v>dire wolf</v>
      </c>
      <c r="F2164" t="s">
        <v>5497</v>
      </c>
      <c r="G2164" t="str">
        <f>_xlfn.IFNA(VLOOKUP(F2164,songs!$B$1:$C$1539, 2, FALSE),"")</f>
        <v>Dire Wolf</v>
      </c>
      <c r="H2164" t="s">
        <v>90</v>
      </c>
    </row>
    <row r="2165" spans="1:8" x14ac:dyDescent="0.25">
      <c r="A2165">
        <v>2164</v>
      </c>
      <c r="B2165" t="s">
        <v>2633</v>
      </c>
      <c r="C2165" t="s">
        <v>262</v>
      </c>
      <c r="D2165" t="str">
        <f t="shared" si="71"/>
        <v/>
      </c>
      <c r="E2165" t="str">
        <f t="shared" si="72"/>
        <v>cassidy</v>
      </c>
      <c r="F2165" t="s">
        <v>5291</v>
      </c>
      <c r="G2165" t="str">
        <f>_xlfn.IFNA(VLOOKUP(F2165,songs!$B$1:$C$1539, 2, FALSE),"")</f>
        <v>Cassidy</v>
      </c>
      <c r="H2165" t="s">
        <v>262</v>
      </c>
    </row>
    <row r="2166" spans="1:8" x14ac:dyDescent="0.25">
      <c r="A2166">
        <v>2165</v>
      </c>
      <c r="B2166" t="s">
        <v>2634</v>
      </c>
      <c r="C2166" t="s">
        <v>264</v>
      </c>
      <c r="D2166" t="str">
        <f t="shared" si="71"/>
        <v/>
      </c>
      <c r="E2166" t="str">
        <f t="shared" si="72"/>
        <v>deal</v>
      </c>
      <c r="F2166" t="s">
        <v>5461</v>
      </c>
      <c r="G2166" t="str">
        <f>_xlfn.IFNA(VLOOKUP(F2166,songs!$B$1:$C$1539, 2, FALSE),"")</f>
        <v>Deal</v>
      </c>
      <c r="H2166" t="s">
        <v>264</v>
      </c>
    </row>
    <row r="2167" spans="1:8" x14ac:dyDescent="0.25">
      <c r="A2167">
        <v>2166</v>
      </c>
      <c r="B2167" t="s">
        <v>2635</v>
      </c>
      <c r="C2167" t="s">
        <v>560</v>
      </c>
      <c r="D2167" t="str">
        <f t="shared" si="71"/>
        <v/>
      </c>
      <c r="E2167" t="str">
        <f t="shared" si="72"/>
        <v>passenger</v>
      </c>
      <c r="F2167" t="s">
        <v>6738</v>
      </c>
      <c r="G2167" t="str">
        <f>_xlfn.IFNA(VLOOKUP(F2167,songs!$B$1:$C$1539, 2, FALSE),"")</f>
        <v>Passenger</v>
      </c>
      <c r="H2167" t="s">
        <v>560</v>
      </c>
    </row>
    <row r="2168" spans="1:8" x14ac:dyDescent="0.25">
      <c r="A2168">
        <v>2167</v>
      </c>
      <c r="B2168" t="s">
        <v>2636</v>
      </c>
      <c r="C2168" t="s">
        <v>164</v>
      </c>
      <c r="D2168" t="str">
        <f t="shared" si="71"/>
        <v/>
      </c>
      <c r="E2168" t="str">
        <f t="shared" si="72"/>
        <v>tennessee jed</v>
      </c>
      <c r="F2168" t="s">
        <v>7234</v>
      </c>
      <c r="G2168" t="str">
        <f>_xlfn.IFNA(VLOOKUP(F2168,songs!$B$1:$C$1539, 2, FALSE),"")</f>
        <v>Tennessee Jed</v>
      </c>
      <c r="H2168" t="s">
        <v>164</v>
      </c>
    </row>
    <row r="2169" spans="1:8" x14ac:dyDescent="0.25">
      <c r="A2169">
        <v>2260</v>
      </c>
      <c r="B2169" t="s">
        <v>2730</v>
      </c>
      <c r="C2169" t="s">
        <v>2731</v>
      </c>
      <c r="D2169" t="str">
        <f t="shared" si="71"/>
        <v/>
      </c>
      <c r="E2169" t="str">
        <f t="shared" si="72"/>
        <v>drums]</v>
      </c>
      <c r="F2169" t="s">
        <v>5568</v>
      </c>
      <c r="G2169" t="str">
        <f>_xlfn.IFNA(VLOOKUP(F2169,songs!$B$1:$C$1539, 2, FALSE),"")</f>
        <v>Drums</v>
      </c>
      <c r="H2169" t="s">
        <v>7867</v>
      </c>
    </row>
    <row r="2170" spans="1:8" x14ac:dyDescent="0.25">
      <c r="A2170">
        <v>2169</v>
      </c>
      <c r="B2170" t="s">
        <v>2638</v>
      </c>
      <c r="C2170" t="s">
        <v>461</v>
      </c>
      <c r="D2170" t="str">
        <f t="shared" si="71"/>
        <v/>
      </c>
      <c r="E2170" t="str">
        <f t="shared" si="72"/>
        <v>peggy-o</v>
      </c>
      <c r="F2170" t="s">
        <v>6749</v>
      </c>
      <c r="G2170" t="str">
        <f>_xlfn.IFNA(VLOOKUP(F2170,songs!$B$1:$C$1539, 2, FALSE),"")</f>
        <v>Peggy-O</v>
      </c>
      <c r="H2170" t="s">
        <v>461</v>
      </c>
    </row>
    <row r="2171" spans="1:8" x14ac:dyDescent="0.25">
      <c r="A2171">
        <v>2170</v>
      </c>
      <c r="B2171" t="s">
        <v>2639</v>
      </c>
      <c r="C2171" t="s">
        <v>49</v>
      </c>
      <c r="D2171" t="str">
        <f t="shared" si="71"/>
        <v/>
      </c>
      <c r="E2171" t="str">
        <f t="shared" si="72"/>
        <v>the music never stopped</v>
      </c>
      <c r="F2171" t="s">
        <v>7316</v>
      </c>
      <c r="G2171" t="str">
        <f>_xlfn.IFNA(VLOOKUP(F2171,songs!$B$1:$C$1539, 2, FALSE),"")</f>
        <v>The Music Never Stopped</v>
      </c>
      <c r="H2171" t="s">
        <v>49</v>
      </c>
    </row>
    <row r="2172" spans="1:8" x14ac:dyDescent="0.25">
      <c r="A2172">
        <v>2171</v>
      </c>
      <c r="B2172" t="s">
        <v>2640</v>
      </c>
      <c r="C2172" t="s">
        <v>298</v>
      </c>
      <c r="D2172" t="str">
        <f t="shared" si="71"/>
        <v/>
      </c>
      <c r="E2172" t="str">
        <f t="shared" si="72"/>
        <v>bertha</v>
      </c>
      <c r="F2172" t="s">
        <v>5158</v>
      </c>
      <c r="G2172" t="str">
        <f>_xlfn.IFNA(VLOOKUP(F2172,songs!$B$1:$C$1539, 2, FALSE),"")</f>
        <v>Bertha</v>
      </c>
      <c r="H2172" t="s">
        <v>298</v>
      </c>
    </row>
    <row r="2173" spans="1:8" x14ac:dyDescent="0.25">
      <c r="A2173">
        <v>2172</v>
      </c>
      <c r="B2173" t="s">
        <v>2641</v>
      </c>
      <c r="C2173" t="s">
        <v>242</v>
      </c>
      <c r="D2173" t="str">
        <f t="shared" si="71"/>
        <v/>
      </c>
      <c r="E2173" t="str">
        <f t="shared" si="72"/>
        <v>good lovin'</v>
      </c>
      <c r="F2173" t="s">
        <v>5810</v>
      </c>
      <c r="G2173" t="str">
        <f>_xlfn.IFNA(VLOOKUP(F2173,songs!$B$1:$C$1539, 2, FALSE),"")</f>
        <v>Good Lovin'</v>
      </c>
      <c r="H2173" t="s">
        <v>242</v>
      </c>
    </row>
    <row r="2174" spans="1:8" x14ac:dyDescent="0.25">
      <c r="A2174">
        <v>2173</v>
      </c>
      <c r="B2174" t="s">
        <v>2642</v>
      </c>
      <c r="C2174" t="s">
        <v>1057</v>
      </c>
      <c r="D2174" t="str">
        <f t="shared" si="71"/>
        <v/>
      </c>
      <c r="E2174" t="str">
        <f t="shared" si="72"/>
        <v>it must have been the roses</v>
      </c>
      <c r="F2174" t="s">
        <v>6128</v>
      </c>
      <c r="G2174" t="str">
        <f>_xlfn.IFNA(VLOOKUP(F2174,songs!$B$1:$C$1539, 2, FALSE),"")</f>
        <v>It Must Have Been The Roses</v>
      </c>
      <c r="H2174" t="s">
        <v>1057</v>
      </c>
    </row>
    <row r="2175" spans="1:8" x14ac:dyDescent="0.25">
      <c r="A2175">
        <v>2174</v>
      </c>
      <c r="B2175" t="s">
        <v>2643</v>
      </c>
      <c r="C2175" t="s">
        <v>69</v>
      </c>
      <c r="D2175" t="str">
        <f t="shared" si="71"/>
        <v/>
      </c>
      <c r="E2175" t="str">
        <f t="shared" si="72"/>
        <v>estimated prophet</v>
      </c>
      <c r="F2175" t="s">
        <v>5612</v>
      </c>
      <c r="G2175" t="str">
        <f>_xlfn.IFNA(VLOOKUP(F2175,songs!$B$1:$C$1539, 2, FALSE),"")</f>
        <v>Estimated Prophet</v>
      </c>
      <c r="H2175" t="s">
        <v>69</v>
      </c>
    </row>
    <row r="2176" spans="1:8" x14ac:dyDescent="0.25">
      <c r="A2176">
        <v>2175</v>
      </c>
      <c r="B2176" t="s">
        <v>2644</v>
      </c>
      <c r="C2176" t="s">
        <v>471</v>
      </c>
      <c r="D2176" t="str">
        <f t="shared" si="71"/>
        <v/>
      </c>
      <c r="E2176" t="str">
        <f t="shared" si="72"/>
        <v>eyes of the world</v>
      </c>
      <c r="F2176" t="s">
        <v>5633</v>
      </c>
      <c r="G2176" t="str">
        <f>_xlfn.IFNA(VLOOKUP(F2176,songs!$B$1:$C$1539, 2, FALSE),"")</f>
        <v>Eyes Of The World</v>
      </c>
      <c r="H2176" t="s">
        <v>471</v>
      </c>
    </row>
    <row r="2177" spans="1:8" x14ac:dyDescent="0.25">
      <c r="A2177">
        <v>2267</v>
      </c>
      <c r="B2177" t="s">
        <v>2738</v>
      </c>
      <c r="C2177" t="s">
        <v>615</v>
      </c>
      <c r="D2177" t="str">
        <f t="shared" si="71"/>
        <v/>
      </c>
      <c r="E2177" t="str">
        <f t="shared" si="72"/>
        <v>brown-eyed women</v>
      </c>
      <c r="F2177" t="s">
        <v>5255</v>
      </c>
      <c r="G2177" t="str">
        <f>_xlfn.IFNA(VLOOKUP(F2177,songs!$B$1:$C$1539, 2, FALSE),"")</f>
        <v>Brown Eyed Women</v>
      </c>
      <c r="H2177" t="s">
        <v>7867</v>
      </c>
    </row>
    <row r="2178" spans="1:8" x14ac:dyDescent="0.25">
      <c r="A2178">
        <v>2177</v>
      </c>
      <c r="B2178" t="s">
        <v>2646</v>
      </c>
      <c r="C2178" t="s">
        <v>100</v>
      </c>
      <c r="D2178" t="str">
        <f t="shared" si="71"/>
        <v/>
      </c>
      <c r="E2178" t="str">
        <f t="shared" si="72"/>
        <v>drums</v>
      </c>
      <c r="F2178" t="s">
        <v>5568</v>
      </c>
      <c r="G2178" t="str">
        <f>_xlfn.IFNA(VLOOKUP(F2178,songs!$B$1:$C$1539, 2, FALSE),"")</f>
        <v>Drums</v>
      </c>
      <c r="H2178" t="s">
        <v>100</v>
      </c>
    </row>
    <row r="2179" spans="1:8" x14ac:dyDescent="0.25">
      <c r="A2179">
        <v>2178</v>
      </c>
      <c r="B2179" t="s">
        <v>2647</v>
      </c>
      <c r="C2179" t="s">
        <v>34</v>
      </c>
      <c r="D2179" t="str">
        <f t="shared" ref="D2179:D2242" si="73">IF(RIGHT(TRIM(C2179),2)="-&gt;","&gt;",IF(RIGHT(TRIM(C2179),1)="&gt;","&gt;",""))</f>
        <v/>
      </c>
      <c r="E2179" t="str">
        <f t="shared" si="72"/>
        <v>not fade away</v>
      </c>
      <c r="F2179" t="s">
        <v>6651</v>
      </c>
      <c r="G2179" t="str">
        <f>_xlfn.IFNA(VLOOKUP(F2179,songs!$B$1:$C$1539, 2, FALSE),"")</f>
        <v>Not Fade Away</v>
      </c>
      <c r="H2179" t="s">
        <v>34</v>
      </c>
    </row>
    <row r="2180" spans="1:8" x14ac:dyDescent="0.25">
      <c r="A2180">
        <v>2179</v>
      </c>
      <c r="B2180" t="s">
        <v>2648</v>
      </c>
      <c r="C2180" t="s">
        <v>221</v>
      </c>
      <c r="D2180" t="str">
        <f t="shared" si="73"/>
        <v/>
      </c>
      <c r="E2180" t="str">
        <f t="shared" ref="E2180:E2243" si="74">LOWER(TRIM(SUBSTITUTE(IF(RIGHT(TRIM(C2180),2)="-&gt;",LEFT(TRIM(C2180),LEN(TRIM(C2180))-2),IF(RIGHT(TRIM(C2180),1)="&gt;",LEFT(TRIM(C2180),LEN(TRIM(C2180))-1),C2180)),"//","")))</f>
        <v>black peter</v>
      </c>
      <c r="F2180" t="s">
        <v>5190</v>
      </c>
      <c r="G2180" t="str">
        <f>_xlfn.IFNA(VLOOKUP(F2180,songs!$B$1:$C$1539, 2, FALSE),"")</f>
        <v>Black Peter</v>
      </c>
      <c r="H2180" t="s">
        <v>221</v>
      </c>
    </row>
    <row r="2181" spans="1:8" x14ac:dyDescent="0.25">
      <c r="A2181">
        <v>2180</v>
      </c>
      <c r="B2181" t="s">
        <v>2649</v>
      </c>
      <c r="C2181" t="s">
        <v>579</v>
      </c>
      <c r="D2181" t="str">
        <f t="shared" si="73"/>
        <v/>
      </c>
      <c r="E2181" t="str">
        <f t="shared" si="74"/>
        <v>around and around</v>
      </c>
      <c r="F2181" t="s">
        <v>5103</v>
      </c>
      <c r="G2181" t="str">
        <f>_xlfn.IFNA(VLOOKUP(F2181,songs!$B$1:$C$1539, 2, FALSE),"")</f>
        <v>Around And Around</v>
      </c>
      <c r="H2181" t="s">
        <v>579</v>
      </c>
    </row>
    <row r="2182" spans="1:8" x14ac:dyDescent="0.25">
      <c r="A2182">
        <v>2181</v>
      </c>
      <c r="B2182" t="s">
        <v>2650</v>
      </c>
      <c r="C2182" t="s">
        <v>81</v>
      </c>
      <c r="D2182" t="str">
        <f t="shared" si="73"/>
        <v/>
      </c>
      <c r="E2182" t="str">
        <f t="shared" si="74"/>
        <v>casey jones</v>
      </c>
      <c r="F2182" t="s">
        <v>5290</v>
      </c>
      <c r="G2182" t="str">
        <f>_xlfn.IFNA(VLOOKUP(F2182,songs!$B$1:$C$1539, 2, FALSE),"")</f>
        <v>Casey Jones</v>
      </c>
      <c r="H2182" t="s">
        <v>81</v>
      </c>
    </row>
    <row r="2183" spans="1:8" x14ac:dyDescent="0.25">
      <c r="A2183">
        <v>2182</v>
      </c>
      <c r="B2183" t="s">
        <v>2651</v>
      </c>
      <c r="C2183" t="s">
        <v>199</v>
      </c>
      <c r="D2183" t="str">
        <f t="shared" si="73"/>
        <v/>
      </c>
      <c r="E2183" t="str">
        <f t="shared" si="74"/>
        <v>jack straw</v>
      </c>
      <c r="F2183" t="s">
        <v>6161</v>
      </c>
      <c r="G2183" t="str">
        <f>_xlfn.IFNA(VLOOKUP(F2183,songs!$B$1:$C$1539, 2, FALSE),"")</f>
        <v>Jack Straw</v>
      </c>
      <c r="H2183" t="s">
        <v>199</v>
      </c>
    </row>
    <row r="2184" spans="1:8" x14ac:dyDescent="0.25">
      <c r="A2184">
        <v>2183</v>
      </c>
      <c r="B2184" t="s">
        <v>2652</v>
      </c>
      <c r="C2184" t="s">
        <v>67</v>
      </c>
      <c r="D2184" t="str">
        <f t="shared" si="73"/>
        <v/>
      </c>
      <c r="E2184" t="str">
        <f t="shared" si="74"/>
        <v>sunrise</v>
      </c>
      <c r="F2184" t="s">
        <v>7156</v>
      </c>
      <c r="G2184" t="str">
        <f>_xlfn.IFNA(VLOOKUP(F2184,songs!$B$1:$C$1539, 2, FALSE),"")</f>
        <v>Sunrise</v>
      </c>
      <c r="H2184" t="s">
        <v>67</v>
      </c>
    </row>
    <row r="2185" spans="1:8" x14ac:dyDescent="0.25">
      <c r="A2185">
        <v>2184</v>
      </c>
      <c r="B2185" t="s">
        <v>2653</v>
      </c>
      <c r="C2185" t="s">
        <v>1222</v>
      </c>
      <c r="D2185" t="str">
        <f t="shared" si="73"/>
        <v/>
      </c>
      <c r="E2185" t="str">
        <f t="shared" si="74"/>
        <v>brown eyed women</v>
      </c>
      <c r="F2185" t="s">
        <v>5255</v>
      </c>
      <c r="G2185" t="str">
        <f>_xlfn.IFNA(VLOOKUP(F2185,songs!$B$1:$C$1539, 2, FALSE),"")</f>
        <v>Brown Eyed Women</v>
      </c>
      <c r="H2185" t="s">
        <v>1222</v>
      </c>
    </row>
    <row r="2186" spans="1:8" x14ac:dyDescent="0.25">
      <c r="A2186">
        <v>2185</v>
      </c>
      <c r="B2186" t="s">
        <v>2654</v>
      </c>
      <c r="C2186" t="s">
        <v>327</v>
      </c>
      <c r="D2186" t="str">
        <f t="shared" si="73"/>
        <v/>
      </c>
      <c r="E2186" t="str">
        <f t="shared" si="74"/>
        <v>el paso</v>
      </c>
      <c r="F2186" t="s">
        <v>5600</v>
      </c>
      <c r="G2186" t="str">
        <f>_xlfn.IFNA(VLOOKUP(F2186,songs!$B$1:$C$1539, 2, FALSE),"")</f>
        <v>El Paso</v>
      </c>
      <c r="H2186" t="s">
        <v>327</v>
      </c>
    </row>
    <row r="2187" spans="1:8" x14ac:dyDescent="0.25">
      <c r="A2187">
        <v>2186</v>
      </c>
      <c r="B2187" t="s">
        <v>2655</v>
      </c>
      <c r="C2187" t="s">
        <v>556</v>
      </c>
      <c r="D2187" t="str">
        <f t="shared" si="73"/>
        <v/>
      </c>
      <c r="E2187" t="str">
        <f t="shared" si="74"/>
        <v>dupree's diamond blues</v>
      </c>
      <c r="F2187" t="s">
        <v>5573</v>
      </c>
      <c r="G2187" t="str">
        <f>_xlfn.IFNA(VLOOKUP(F2187,songs!$B$1:$C$1539, 2, FALSE),"")</f>
        <v>Dupree's Diamond Blues</v>
      </c>
      <c r="H2187" t="s">
        <v>556</v>
      </c>
    </row>
    <row r="2188" spans="1:8" x14ac:dyDescent="0.25">
      <c r="A2188">
        <v>2187</v>
      </c>
      <c r="B2188" t="s">
        <v>2656</v>
      </c>
      <c r="C2188" t="s">
        <v>389</v>
      </c>
      <c r="D2188" t="str">
        <f t="shared" si="73"/>
        <v/>
      </c>
      <c r="E2188" t="str">
        <f t="shared" si="74"/>
        <v>let it grow</v>
      </c>
      <c r="F2188" t="s">
        <v>6308</v>
      </c>
      <c r="G2188" t="str">
        <f>_xlfn.IFNA(VLOOKUP(F2188,songs!$B$1:$C$1539, 2, FALSE),"")</f>
        <v>Let It Grow</v>
      </c>
      <c r="H2188" t="s">
        <v>389</v>
      </c>
    </row>
    <row r="2189" spans="1:8" x14ac:dyDescent="0.25">
      <c r="A2189">
        <v>2188</v>
      </c>
      <c r="B2189" t="s">
        <v>2657</v>
      </c>
      <c r="C2189" t="s">
        <v>264</v>
      </c>
      <c r="D2189" t="str">
        <f t="shared" si="73"/>
        <v/>
      </c>
      <c r="E2189" t="str">
        <f t="shared" si="74"/>
        <v>deal</v>
      </c>
      <c r="F2189" t="s">
        <v>5461</v>
      </c>
      <c r="G2189" t="str">
        <f>_xlfn.IFNA(VLOOKUP(F2189,songs!$B$1:$C$1539, 2, FALSE),"")</f>
        <v>Deal</v>
      </c>
      <c r="H2189" t="s">
        <v>264</v>
      </c>
    </row>
    <row r="2190" spans="1:8" x14ac:dyDescent="0.25">
      <c r="A2190">
        <v>2189</v>
      </c>
      <c r="B2190" t="s">
        <v>2658</v>
      </c>
      <c r="C2190" t="s">
        <v>266</v>
      </c>
      <c r="D2190" t="str">
        <f t="shared" si="73"/>
        <v/>
      </c>
      <c r="E2190" t="str">
        <f t="shared" si="74"/>
        <v>samson and delilah</v>
      </c>
      <c r="F2190" t="s">
        <v>6925</v>
      </c>
      <c r="G2190" t="str">
        <f>_xlfn.IFNA(VLOOKUP(F2190,songs!$B$1:$C$1539, 2, FALSE),"")</f>
        <v>Samson And Delilah</v>
      </c>
      <c r="H2190" t="s">
        <v>266</v>
      </c>
    </row>
    <row r="2191" spans="1:8" x14ac:dyDescent="0.25">
      <c r="A2191">
        <v>2190</v>
      </c>
      <c r="B2191" t="s">
        <v>2659</v>
      </c>
      <c r="C2191" t="s">
        <v>148</v>
      </c>
      <c r="D2191" t="str">
        <f t="shared" si="73"/>
        <v/>
      </c>
      <c r="E2191" t="str">
        <f t="shared" si="74"/>
        <v>johnny b. goode</v>
      </c>
      <c r="F2191" t="s">
        <v>6192</v>
      </c>
      <c r="G2191" t="str">
        <f>_xlfn.IFNA(VLOOKUP(F2191,songs!$B$1:$C$1539, 2, FALSE),"")</f>
        <v>Johnny B. Goode</v>
      </c>
      <c r="H2191" t="s">
        <v>148</v>
      </c>
    </row>
    <row r="2192" spans="1:8" x14ac:dyDescent="0.25">
      <c r="A2192">
        <v>2191</v>
      </c>
      <c r="B2192" t="s">
        <v>2660</v>
      </c>
      <c r="C2192" t="s">
        <v>170</v>
      </c>
      <c r="D2192" t="str">
        <f t="shared" si="73"/>
        <v/>
      </c>
      <c r="E2192" t="str">
        <f t="shared" si="74"/>
        <v>scarlet begonias</v>
      </c>
      <c r="F2192" t="s">
        <v>6944</v>
      </c>
      <c r="G2192" t="str">
        <f>_xlfn.IFNA(VLOOKUP(F2192,songs!$B$1:$C$1539, 2, FALSE),"")</f>
        <v>Scarlet Begonias</v>
      </c>
      <c r="H2192" t="s">
        <v>170</v>
      </c>
    </row>
    <row r="2193" spans="1:8" x14ac:dyDescent="0.25">
      <c r="A2193">
        <v>2192</v>
      </c>
      <c r="B2193" t="s">
        <v>2661</v>
      </c>
      <c r="C2193" t="s">
        <v>573</v>
      </c>
      <c r="D2193" t="str">
        <f t="shared" si="73"/>
        <v/>
      </c>
      <c r="E2193" t="str">
        <f t="shared" si="74"/>
        <v>fire on the mountain</v>
      </c>
      <c r="F2193" t="s">
        <v>5675</v>
      </c>
      <c r="G2193" t="str">
        <f>_xlfn.IFNA(VLOOKUP(F2193,songs!$B$1:$C$1539, 2, FALSE),"")</f>
        <v>Fire On The Mountain</v>
      </c>
      <c r="H2193" t="s">
        <v>573</v>
      </c>
    </row>
    <row r="2194" spans="1:8" x14ac:dyDescent="0.25">
      <c r="A2194">
        <v>2193</v>
      </c>
      <c r="B2194" t="s">
        <v>2662</v>
      </c>
      <c r="C2194" t="s">
        <v>419</v>
      </c>
      <c r="D2194" t="str">
        <f t="shared" si="73"/>
        <v/>
      </c>
      <c r="E2194" t="str">
        <f t="shared" si="74"/>
        <v>playing in the band</v>
      </c>
      <c r="F2194" t="s">
        <v>6769</v>
      </c>
      <c r="G2194" t="str">
        <f>_xlfn.IFNA(VLOOKUP(F2194,songs!$B$1:$C$1539, 2, FALSE),"")</f>
        <v>Playing In The Band</v>
      </c>
      <c r="H2194" t="s">
        <v>419</v>
      </c>
    </row>
    <row r="2195" spans="1:8" x14ac:dyDescent="0.25">
      <c r="A2195">
        <v>2194</v>
      </c>
      <c r="B2195" t="s">
        <v>2663</v>
      </c>
      <c r="C2195" t="s">
        <v>100</v>
      </c>
      <c r="D2195" t="str">
        <f t="shared" si="73"/>
        <v/>
      </c>
      <c r="E2195" t="str">
        <f t="shared" si="74"/>
        <v>drums</v>
      </c>
      <c r="F2195" t="s">
        <v>5568</v>
      </c>
      <c r="G2195" t="str">
        <f>_xlfn.IFNA(VLOOKUP(F2195,songs!$B$1:$C$1539, 2, FALSE),"")</f>
        <v>Drums</v>
      </c>
      <c r="H2195" t="s">
        <v>100</v>
      </c>
    </row>
    <row r="2196" spans="1:8" x14ac:dyDescent="0.25">
      <c r="A2196">
        <v>2195</v>
      </c>
      <c r="B2196" t="s">
        <v>2664</v>
      </c>
      <c r="C2196" t="s">
        <v>567</v>
      </c>
      <c r="D2196" t="str">
        <f t="shared" si="73"/>
        <v/>
      </c>
      <c r="E2196" t="str">
        <f t="shared" si="74"/>
        <v>the wheel</v>
      </c>
      <c r="F2196" t="s">
        <v>7343</v>
      </c>
      <c r="G2196" t="str">
        <f>_xlfn.IFNA(VLOOKUP(F2196,songs!$B$1:$C$1539, 2, FALSE),"")</f>
        <v>The Wheel</v>
      </c>
      <c r="H2196" t="s">
        <v>567</v>
      </c>
    </row>
    <row r="2197" spans="1:8" x14ac:dyDescent="0.25">
      <c r="A2197">
        <v>2196</v>
      </c>
      <c r="B2197" t="s">
        <v>2665</v>
      </c>
      <c r="C2197" t="s">
        <v>15</v>
      </c>
      <c r="D2197" t="str">
        <f t="shared" si="73"/>
        <v/>
      </c>
      <c r="E2197" t="str">
        <f t="shared" si="74"/>
        <v>truckin'</v>
      </c>
      <c r="F2197" t="s">
        <v>7436</v>
      </c>
      <c r="G2197" t="str">
        <f>_xlfn.IFNA(VLOOKUP(F2197,songs!$B$1:$C$1539, 2, FALSE),"")</f>
        <v>Truckin'</v>
      </c>
      <c r="H2197" t="s">
        <v>15</v>
      </c>
    </row>
    <row r="2198" spans="1:8" x14ac:dyDescent="0.25">
      <c r="A2198">
        <v>2197</v>
      </c>
      <c r="B2198" t="s">
        <v>2666</v>
      </c>
      <c r="C2198" t="s">
        <v>139</v>
      </c>
      <c r="D2198" t="str">
        <f t="shared" si="73"/>
        <v/>
      </c>
      <c r="E2198" t="str">
        <f t="shared" si="74"/>
        <v>the other one</v>
      </c>
      <c r="F2198" t="s">
        <v>7325</v>
      </c>
      <c r="G2198" t="str">
        <f>_xlfn.IFNA(VLOOKUP(F2198,songs!$B$1:$C$1539, 2, FALSE),"")</f>
        <v>The Other One</v>
      </c>
      <c r="H2198" t="s">
        <v>139</v>
      </c>
    </row>
    <row r="2199" spans="1:8" x14ac:dyDescent="0.25">
      <c r="A2199">
        <v>2198</v>
      </c>
      <c r="B2199" t="s">
        <v>2667</v>
      </c>
      <c r="C2199" t="s">
        <v>73</v>
      </c>
      <c r="D2199" t="str">
        <f t="shared" si="73"/>
        <v/>
      </c>
      <c r="E2199" t="str">
        <f t="shared" si="74"/>
        <v>wharf rat</v>
      </c>
      <c r="F2199" t="s">
        <v>7664</v>
      </c>
      <c r="G2199" t="str">
        <f>_xlfn.IFNA(VLOOKUP(F2199,songs!$B$1:$C$1539, 2, FALSE),"")</f>
        <v>Wharf Rat</v>
      </c>
      <c r="H2199" t="s">
        <v>73</v>
      </c>
    </row>
    <row r="2200" spans="1:8" x14ac:dyDescent="0.25">
      <c r="A2200">
        <v>2199</v>
      </c>
      <c r="B2200" t="s">
        <v>2668</v>
      </c>
      <c r="C2200" t="s">
        <v>30</v>
      </c>
      <c r="D2200" t="str">
        <f t="shared" si="73"/>
        <v/>
      </c>
      <c r="E2200" t="str">
        <f t="shared" si="74"/>
        <v>sugar magnolia</v>
      </c>
      <c r="F2200" t="s">
        <v>7150</v>
      </c>
      <c r="G2200" t="str">
        <f>_xlfn.IFNA(VLOOKUP(F2200,songs!$B$1:$C$1539, 2, FALSE),"")</f>
        <v>Sugar Magnolia</v>
      </c>
      <c r="H2200" t="s">
        <v>30</v>
      </c>
    </row>
    <row r="2201" spans="1:8" x14ac:dyDescent="0.25">
      <c r="A2201">
        <v>2275</v>
      </c>
      <c r="B2201" t="s">
        <v>2746</v>
      </c>
      <c r="C2201" t="s">
        <v>1322</v>
      </c>
      <c r="D2201" t="str">
        <f t="shared" si="73"/>
        <v/>
      </c>
      <c r="E2201" t="str">
        <f t="shared" si="74"/>
        <v>truckin']</v>
      </c>
      <c r="F2201" t="s">
        <v>7436</v>
      </c>
      <c r="G2201" t="str">
        <f>_xlfn.IFNA(VLOOKUP(F2201,songs!$B$1:$C$1539, 2, FALSE),"")</f>
        <v>Truckin'</v>
      </c>
      <c r="H2201" t="s">
        <v>7867</v>
      </c>
    </row>
    <row r="2202" spans="1:8" x14ac:dyDescent="0.25">
      <c r="A2202">
        <v>2201</v>
      </c>
      <c r="B2202" t="s">
        <v>2670</v>
      </c>
      <c r="C2202" t="s">
        <v>84</v>
      </c>
      <c r="D2202" t="str">
        <f t="shared" si="73"/>
        <v/>
      </c>
      <c r="E2202" t="str">
        <f t="shared" si="74"/>
        <v>china cat sunflower</v>
      </c>
      <c r="F2202" t="s">
        <v>5319</v>
      </c>
      <c r="G2202" t="str">
        <f>_xlfn.IFNA(VLOOKUP(F2202,songs!$B$1:$C$1539, 2, FALSE),"")</f>
        <v>China Cat Sunflower</v>
      </c>
      <c r="H2202" t="s">
        <v>84</v>
      </c>
    </row>
    <row r="2203" spans="1:8" x14ac:dyDescent="0.25">
      <c r="A2203">
        <v>2202</v>
      </c>
      <c r="B2203" t="s">
        <v>2671</v>
      </c>
      <c r="C2203" t="s">
        <v>86</v>
      </c>
      <c r="D2203" t="str">
        <f t="shared" si="73"/>
        <v/>
      </c>
      <c r="E2203" t="str">
        <f t="shared" si="74"/>
        <v>i know you rider</v>
      </c>
      <c r="F2203" t="s">
        <v>6020</v>
      </c>
      <c r="G2203" t="str">
        <f>_xlfn.IFNA(VLOOKUP(F2203,songs!$B$1:$C$1539, 2, FALSE),"")</f>
        <v>I Know You Rider</v>
      </c>
      <c r="H2203" t="s">
        <v>86</v>
      </c>
    </row>
    <row r="2204" spans="1:8" x14ac:dyDescent="0.25">
      <c r="A2204">
        <v>2203</v>
      </c>
      <c r="B2204" t="s">
        <v>2672</v>
      </c>
      <c r="C2204" t="s">
        <v>15</v>
      </c>
      <c r="D2204" t="str">
        <f t="shared" si="73"/>
        <v/>
      </c>
      <c r="E2204" t="str">
        <f t="shared" si="74"/>
        <v>truckin'</v>
      </c>
      <c r="F2204" t="s">
        <v>7436</v>
      </c>
      <c r="G2204" t="str">
        <f>_xlfn.IFNA(VLOOKUP(F2204,songs!$B$1:$C$1539, 2, FALSE),"")</f>
        <v>Truckin'</v>
      </c>
      <c r="H2204" t="s">
        <v>15</v>
      </c>
    </row>
    <row r="2205" spans="1:8" x14ac:dyDescent="0.25">
      <c r="A2205">
        <v>2204</v>
      </c>
      <c r="B2205" t="s">
        <v>2673</v>
      </c>
      <c r="C2205" t="s">
        <v>429</v>
      </c>
      <c r="D2205" t="str">
        <f t="shared" si="73"/>
        <v/>
      </c>
      <c r="E2205" t="str">
        <f t="shared" si="74"/>
        <v>cold rain and snow</v>
      </c>
      <c r="F2205" t="s">
        <v>5347</v>
      </c>
      <c r="G2205" t="str">
        <f>_xlfn.IFNA(VLOOKUP(F2205,songs!$B$1:$C$1539, 2, FALSE),"")</f>
        <v>Cold Rain And Snow</v>
      </c>
      <c r="H2205" t="s">
        <v>429</v>
      </c>
    </row>
    <row r="2206" spans="1:8" x14ac:dyDescent="0.25">
      <c r="A2206">
        <v>2205</v>
      </c>
      <c r="B2206" t="s">
        <v>2674</v>
      </c>
      <c r="C2206" t="s">
        <v>436</v>
      </c>
      <c r="D2206" t="str">
        <f t="shared" si="73"/>
        <v/>
      </c>
      <c r="E2206" t="str">
        <f t="shared" si="74"/>
        <v>ramble on rose</v>
      </c>
      <c r="F2206" t="s">
        <v>6827</v>
      </c>
      <c r="G2206" t="str">
        <f>_xlfn.IFNA(VLOOKUP(F2206,songs!$B$1:$C$1539, 2, FALSE),"")</f>
        <v>Ramble On Rose</v>
      </c>
      <c r="H2206" t="s">
        <v>436</v>
      </c>
    </row>
    <row r="2207" spans="1:8" x14ac:dyDescent="0.25">
      <c r="A2207">
        <v>2206</v>
      </c>
      <c r="B2207" t="s">
        <v>2675</v>
      </c>
      <c r="C2207" t="s">
        <v>130</v>
      </c>
      <c r="D2207" t="str">
        <f t="shared" si="73"/>
        <v/>
      </c>
      <c r="E2207" t="str">
        <f t="shared" si="74"/>
        <v>promised land</v>
      </c>
      <c r="F2207" t="s">
        <v>6797</v>
      </c>
      <c r="G2207" t="str">
        <f>_xlfn.IFNA(VLOOKUP(F2207,songs!$B$1:$C$1539, 2, FALSE),"")</f>
        <v>Promised Land</v>
      </c>
      <c r="H2207" t="s">
        <v>130</v>
      </c>
    </row>
    <row r="2208" spans="1:8" x14ac:dyDescent="0.25">
      <c r="A2208">
        <v>2207</v>
      </c>
      <c r="B2208" t="s">
        <v>2676</v>
      </c>
      <c r="C2208" t="s">
        <v>51</v>
      </c>
      <c r="D2208" t="str">
        <f t="shared" si="73"/>
        <v/>
      </c>
      <c r="E2208" t="str">
        <f t="shared" si="74"/>
        <v>sugaree</v>
      </c>
      <c r="F2208" t="s">
        <v>7151</v>
      </c>
      <c r="G2208" t="str">
        <f>_xlfn.IFNA(VLOOKUP(F2208,songs!$B$1:$C$1539, 2, FALSE),"")</f>
        <v>Sugaree</v>
      </c>
      <c r="H2208" t="s">
        <v>51</v>
      </c>
    </row>
    <row r="2209" spans="1:8" x14ac:dyDescent="0.25">
      <c r="A2209">
        <v>2208</v>
      </c>
      <c r="B2209" t="s">
        <v>2677</v>
      </c>
      <c r="C2209" t="s">
        <v>903</v>
      </c>
      <c r="D2209" t="str">
        <f t="shared" si="73"/>
        <v/>
      </c>
      <c r="E2209" t="str">
        <f t="shared" si="74"/>
        <v>me and my uncle</v>
      </c>
      <c r="F2209" t="s">
        <v>6486</v>
      </c>
      <c r="G2209" t="str">
        <f>_xlfn.IFNA(VLOOKUP(F2209,songs!$B$1:$C$1539, 2, FALSE),"")</f>
        <v>Me And My Uncle</v>
      </c>
      <c r="H2209" t="s">
        <v>903</v>
      </c>
    </row>
    <row r="2210" spans="1:8" x14ac:dyDescent="0.25">
      <c r="A2210">
        <v>2209</v>
      </c>
      <c r="B2210" t="s">
        <v>2678</v>
      </c>
      <c r="C2210" t="s">
        <v>323</v>
      </c>
      <c r="D2210" t="str">
        <f t="shared" si="73"/>
        <v/>
      </c>
      <c r="E2210" t="str">
        <f t="shared" si="74"/>
        <v>bird song</v>
      </c>
      <c r="F2210" t="s">
        <v>5184</v>
      </c>
      <c r="G2210" t="str">
        <f>_xlfn.IFNA(VLOOKUP(F2210,songs!$B$1:$C$1539, 2, FALSE),"")</f>
        <v>Bird Song</v>
      </c>
      <c r="H2210" t="s">
        <v>323</v>
      </c>
    </row>
    <row r="2211" spans="1:8" x14ac:dyDescent="0.25">
      <c r="A2211">
        <v>2276</v>
      </c>
      <c r="B2211" t="s">
        <v>2747</v>
      </c>
      <c r="C2211" t="s">
        <v>2748</v>
      </c>
      <c r="D2211" t="str">
        <f t="shared" si="73"/>
        <v/>
      </c>
      <c r="E2211" t="str">
        <f t="shared" si="74"/>
        <v>the other one]</v>
      </c>
      <c r="F2211" t="s">
        <v>7325</v>
      </c>
      <c r="G2211" t="str">
        <f>_xlfn.IFNA(VLOOKUP(F2211,songs!$B$1:$C$1539, 2, FALSE),"")</f>
        <v>The Other One</v>
      </c>
      <c r="H2211" t="s">
        <v>7867</v>
      </c>
    </row>
    <row r="2212" spans="1:8" x14ac:dyDescent="0.25">
      <c r="A2212">
        <v>2211</v>
      </c>
      <c r="B2212" t="s">
        <v>2680</v>
      </c>
      <c r="C2212" t="s">
        <v>164</v>
      </c>
      <c r="D2212" t="str">
        <f t="shared" si="73"/>
        <v/>
      </c>
      <c r="E2212" t="str">
        <f t="shared" si="74"/>
        <v>tennessee jed</v>
      </c>
      <c r="F2212" t="s">
        <v>7234</v>
      </c>
      <c r="G2212" t="str">
        <f>_xlfn.IFNA(VLOOKUP(F2212,songs!$B$1:$C$1539, 2, FALSE),"")</f>
        <v>Tennessee Jed</v>
      </c>
      <c r="H2212" t="s">
        <v>164</v>
      </c>
    </row>
    <row r="2213" spans="1:8" x14ac:dyDescent="0.25">
      <c r="A2213">
        <v>2212</v>
      </c>
      <c r="B2213" t="s">
        <v>2681</v>
      </c>
      <c r="C2213" t="s">
        <v>186</v>
      </c>
      <c r="D2213" t="str">
        <f t="shared" si="73"/>
        <v/>
      </c>
      <c r="E2213" t="str">
        <f t="shared" si="74"/>
        <v>mexicali blues</v>
      </c>
      <c r="F2213" t="s">
        <v>6499</v>
      </c>
      <c r="G2213" t="str">
        <f>_xlfn.IFNA(VLOOKUP(F2213,songs!$B$1:$C$1539, 2, FALSE),"")</f>
        <v>Mexicali Blues</v>
      </c>
      <c r="H2213" t="s">
        <v>186</v>
      </c>
    </row>
    <row r="2214" spans="1:8" x14ac:dyDescent="0.25">
      <c r="A2214">
        <v>2213</v>
      </c>
      <c r="B2214" t="s">
        <v>2682</v>
      </c>
      <c r="C2214" t="s">
        <v>264</v>
      </c>
      <c r="D2214" t="str">
        <f t="shared" si="73"/>
        <v/>
      </c>
      <c r="E2214" t="str">
        <f t="shared" si="74"/>
        <v>deal</v>
      </c>
      <c r="F2214" t="s">
        <v>5461</v>
      </c>
      <c r="G2214" t="str">
        <f>_xlfn.IFNA(VLOOKUP(F2214,songs!$B$1:$C$1539, 2, FALSE),"")</f>
        <v>Deal</v>
      </c>
      <c r="H2214" t="s">
        <v>264</v>
      </c>
    </row>
    <row r="2215" spans="1:8" x14ac:dyDescent="0.25">
      <c r="A2215">
        <v>2214</v>
      </c>
      <c r="B2215" t="s">
        <v>2683</v>
      </c>
      <c r="C2215" t="s">
        <v>419</v>
      </c>
      <c r="D2215" t="str">
        <f t="shared" si="73"/>
        <v/>
      </c>
      <c r="E2215" t="str">
        <f t="shared" si="74"/>
        <v>playing in the band</v>
      </c>
      <c r="F2215" t="s">
        <v>6769</v>
      </c>
      <c r="G2215" t="str">
        <f>_xlfn.IFNA(VLOOKUP(F2215,songs!$B$1:$C$1539, 2, FALSE),"")</f>
        <v>Playing In The Band</v>
      </c>
      <c r="H2215" t="s">
        <v>419</v>
      </c>
    </row>
    <row r="2216" spans="1:8" x14ac:dyDescent="0.25">
      <c r="A2216">
        <v>2215</v>
      </c>
      <c r="B2216" t="s">
        <v>2684</v>
      </c>
      <c r="C2216" t="s">
        <v>291</v>
      </c>
      <c r="D2216" t="str">
        <f t="shared" si="73"/>
        <v/>
      </c>
      <c r="E2216" t="str">
        <f t="shared" si="74"/>
        <v>loser</v>
      </c>
      <c r="F2216" t="s">
        <v>6400</v>
      </c>
      <c r="G2216" t="str">
        <f>_xlfn.IFNA(VLOOKUP(F2216,songs!$B$1:$C$1539, 2, FALSE),"")</f>
        <v>Loser</v>
      </c>
      <c r="H2216" t="s">
        <v>291</v>
      </c>
    </row>
    <row r="2217" spans="1:8" x14ac:dyDescent="0.25">
      <c r="A2217">
        <v>2216</v>
      </c>
      <c r="B2217" t="s">
        <v>2685</v>
      </c>
      <c r="C2217" t="s">
        <v>148</v>
      </c>
      <c r="D2217" t="str">
        <f t="shared" si="73"/>
        <v/>
      </c>
      <c r="E2217" t="str">
        <f t="shared" si="74"/>
        <v>johnny b. goode</v>
      </c>
      <c r="F2217" t="s">
        <v>6192</v>
      </c>
      <c r="G2217" t="str">
        <f>_xlfn.IFNA(VLOOKUP(F2217,songs!$B$1:$C$1539, 2, FALSE),"")</f>
        <v>Johnny B. Goode</v>
      </c>
      <c r="H2217" t="s">
        <v>148</v>
      </c>
    </row>
    <row r="2218" spans="1:8" x14ac:dyDescent="0.25">
      <c r="A2218">
        <v>2217</v>
      </c>
      <c r="B2218" t="s">
        <v>2686</v>
      </c>
      <c r="C2218" t="s">
        <v>84</v>
      </c>
      <c r="D2218" t="str">
        <f t="shared" si="73"/>
        <v/>
      </c>
      <c r="E2218" t="str">
        <f t="shared" si="74"/>
        <v>china cat sunflower</v>
      </c>
      <c r="F2218" t="s">
        <v>5319</v>
      </c>
      <c r="G2218" t="str">
        <f>_xlfn.IFNA(VLOOKUP(F2218,songs!$B$1:$C$1539, 2, FALSE),"")</f>
        <v>China Cat Sunflower</v>
      </c>
      <c r="H2218" t="s">
        <v>84</v>
      </c>
    </row>
    <row r="2219" spans="1:8" x14ac:dyDescent="0.25">
      <c r="A2219">
        <v>2218</v>
      </c>
      <c r="B2219" t="s">
        <v>2687</v>
      </c>
      <c r="C2219" t="s">
        <v>86</v>
      </c>
      <c r="D2219" t="str">
        <f t="shared" si="73"/>
        <v/>
      </c>
      <c r="E2219" t="str">
        <f t="shared" si="74"/>
        <v>i know you rider</v>
      </c>
      <c r="F2219" t="s">
        <v>6020</v>
      </c>
      <c r="G2219" t="str">
        <f>_xlfn.IFNA(VLOOKUP(F2219,songs!$B$1:$C$1539, 2, FALSE),"")</f>
        <v>I Know You Rider</v>
      </c>
      <c r="H2219" t="s">
        <v>86</v>
      </c>
    </row>
    <row r="2220" spans="1:8" x14ac:dyDescent="0.25">
      <c r="A2220">
        <v>2219</v>
      </c>
      <c r="B2220" t="s">
        <v>2688</v>
      </c>
      <c r="C2220" t="s">
        <v>464</v>
      </c>
      <c r="D2220" t="str">
        <f t="shared" si="73"/>
        <v/>
      </c>
      <c r="E2220" t="str">
        <f t="shared" si="74"/>
        <v>friend of the devil</v>
      </c>
      <c r="F2220" t="s">
        <v>5721</v>
      </c>
      <c r="G2220" t="str">
        <f>_xlfn.IFNA(VLOOKUP(F2220,songs!$B$1:$C$1539, 2, FALSE),"")</f>
        <v>Friend Of The Devil</v>
      </c>
      <c r="H2220" t="s">
        <v>464</v>
      </c>
    </row>
    <row r="2221" spans="1:8" x14ac:dyDescent="0.25">
      <c r="A2221">
        <v>2220</v>
      </c>
      <c r="B2221" t="s">
        <v>2689</v>
      </c>
      <c r="C2221" t="s">
        <v>199</v>
      </c>
      <c r="D2221" t="str">
        <f t="shared" si="73"/>
        <v/>
      </c>
      <c r="E2221" t="str">
        <f t="shared" si="74"/>
        <v>jack straw</v>
      </c>
      <c r="F2221" t="s">
        <v>6161</v>
      </c>
      <c r="G2221" t="str">
        <f>_xlfn.IFNA(VLOOKUP(F2221,songs!$B$1:$C$1539, 2, FALSE),"")</f>
        <v>Jack Straw</v>
      </c>
      <c r="H2221" t="s">
        <v>199</v>
      </c>
    </row>
    <row r="2222" spans="1:8" x14ac:dyDescent="0.25">
      <c r="A2222">
        <v>2221</v>
      </c>
      <c r="B2222" t="s">
        <v>2690</v>
      </c>
      <c r="C2222" t="s">
        <v>81</v>
      </c>
      <c r="D2222" t="str">
        <f t="shared" si="73"/>
        <v/>
      </c>
      <c r="E2222" t="str">
        <f t="shared" si="74"/>
        <v>casey jones</v>
      </c>
      <c r="F2222" t="s">
        <v>5290</v>
      </c>
      <c r="G2222" t="str">
        <f>_xlfn.IFNA(VLOOKUP(F2222,songs!$B$1:$C$1539, 2, FALSE),"")</f>
        <v>Casey Jones</v>
      </c>
      <c r="H2222" t="s">
        <v>81</v>
      </c>
    </row>
    <row r="2223" spans="1:8" x14ac:dyDescent="0.25">
      <c r="A2223">
        <v>2222</v>
      </c>
      <c r="B2223" t="s">
        <v>2691</v>
      </c>
      <c r="C2223" t="s">
        <v>30</v>
      </c>
      <c r="D2223" t="str">
        <f t="shared" si="73"/>
        <v/>
      </c>
      <c r="E2223" t="str">
        <f t="shared" si="74"/>
        <v>sugar magnolia</v>
      </c>
      <c r="F2223" t="s">
        <v>7150</v>
      </c>
      <c r="G2223" t="str">
        <f>_xlfn.IFNA(VLOOKUP(F2223,songs!$B$1:$C$1539, 2, FALSE),"")</f>
        <v>Sugar Magnolia</v>
      </c>
      <c r="H2223" t="s">
        <v>30</v>
      </c>
    </row>
    <row r="2224" spans="1:8" x14ac:dyDescent="0.25">
      <c r="A2224">
        <v>2223</v>
      </c>
      <c r="B2224" t="s">
        <v>2692</v>
      </c>
      <c r="C2224" t="s">
        <v>956</v>
      </c>
      <c r="D2224" t="str">
        <f t="shared" si="73"/>
        <v/>
      </c>
      <c r="E2224" t="str">
        <f t="shared" si="74"/>
        <v>one more saturday night</v>
      </c>
      <c r="F2224" t="s">
        <v>6702</v>
      </c>
      <c r="G2224" t="str">
        <f>_xlfn.IFNA(VLOOKUP(F2224,songs!$B$1:$C$1539, 2, FALSE),"")</f>
        <v>One More Saturday Night</v>
      </c>
      <c r="H2224" t="s">
        <v>956</v>
      </c>
    </row>
    <row r="2225" spans="1:8" x14ac:dyDescent="0.25">
      <c r="A2225">
        <v>2224</v>
      </c>
      <c r="B2225" t="s">
        <v>2693</v>
      </c>
      <c r="C2225" t="s">
        <v>13</v>
      </c>
      <c r="D2225" t="str">
        <f t="shared" si="73"/>
        <v/>
      </c>
      <c r="E2225" t="str">
        <f t="shared" si="74"/>
        <v>he's gone</v>
      </c>
      <c r="F2225" t="s">
        <v>5903</v>
      </c>
      <c r="G2225" t="str">
        <f>_xlfn.IFNA(VLOOKUP(F2225,songs!$B$1:$C$1539, 2, FALSE),"")</f>
        <v>He's Gone</v>
      </c>
      <c r="H2225" t="s">
        <v>13</v>
      </c>
    </row>
    <row r="2226" spans="1:8" x14ac:dyDescent="0.25">
      <c r="A2226">
        <v>2225</v>
      </c>
      <c r="B2226" t="s">
        <v>2694</v>
      </c>
      <c r="C2226" t="s">
        <v>15</v>
      </c>
      <c r="D2226" t="str">
        <f t="shared" si="73"/>
        <v/>
      </c>
      <c r="E2226" t="str">
        <f t="shared" si="74"/>
        <v>truckin'</v>
      </c>
      <c r="F2226" t="s">
        <v>7436</v>
      </c>
      <c r="G2226" t="str">
        <f>_xlfn.IFNA(VLOOKUP(F2226,songs!$B$1:$C$1539, 2, FALSE),"")</f>
        <v>Truckin'</v>
      </c>
      <c r="H2226" t="s">
        <v>15</v>
      </c>
    </row>
    <row r="2227" spans="1:8" x14ac:dyDescent="0.25">
      <c r="A2227">
        <v>2226</v>
      </c>
      <c r="B2227" t="s">
        <v>2695</v>
      </c>
      <c r="C2227" t="s">
        <v>100</v>
      </c>
      <c r="D2227" t="str">
        <f t="shared" si="73"/>
        <v/>
      </c>
      <c r="E2227" t="str">
        <f t="shared" si="74"/>
        <v>drums</v>
      </c>
      <c r="F2227" t="s">
        <v>5568</v>
      </c>
      <c r="G2227" t="str">
        <f>_xlfn.IFNA(VLOOKUP(F2227,songs!$B$1:$C$1539, 2, FALSE),"")</f>
        <v>Drums</v>
      </c>
      <c r="H2227" t="s">
        <v>100</v>
      </c>
    </row>
    <row r="2228" spans="1:8" x14ac:dyDescent="0.25">
      <c r="A2228">
        <v>2227</v>
      </c>
      <c r="B2228" t="s">
        <v>2696</v>
      </c>
      <c r="C2228" t="s">
        <v>139</v>
      </c>
      <c r="D2228" t="str">
        <f t="shared" si="73"/>
        <v/>
      </c>
      <c r="E2228" t="str">
        <f t="shared" si="74"/>
        <v>the other one</v>
      </c>
      <c r="F2228" t="s">
        <v>7325</v>
      </c>
      <c r="G2228" t="str">
        <f>_xlfn.IFNA(VLOOKUP(F2228,songs!$B$1:$C$1539, 2, FALSE),"")</f>
        <v>The Other One</v>
      </c>
      <c r="H2228" t="s">
        <v>139</v>
      </c>
    </row>
    <row r="2229" spans="1:8" x14ac:dyDescent="0.25">
      <c r="A2229">
        <v>2228</v>
      </c>
      <c r="B2229" t="s">
        <v>2697</v>
      </c>
      <c r="C2229" t="s">
        <v>24</v>
      </c>
      <c r="D2229" t="str">
        <f t="shared" si="73"/>
        <v/>
      </c>
      <c r="E2229" t="str">
        <f t="shared" si="74"/>
        <v>stella blue</v>
      </c>
      <c r="F2229" t="s">
        <v>7123</v>
      </c>
      <c r="G2229" t="str">
        <f>_xlfn.IFNA(VLOOKUP(F2229,songs!$B$1:$C$1539, 2, FALSE),"")</f>
        <v>Stella Blue</v>
      </c>
      <c r="H2229" t="s">
        <v>24</v>
      </c>
    </row>
    <row r="2230" spans="1:8" x14ac:dyDescent="0.25">
      <c r="A2230">
        <v>2229</v>
      </c>
      <c r="B2230" t="s">
        <v>2698</v>
      </c>
      <c r="C2230" t="s">
        <v>327</v>
      </c>
      <c r="D2230" t="str">
        <f t="shared" si="73"/>
        <v/>
      </c>
      <c r="E2230" t="str">
        <f t="shared" si="74"/>
        <v>el paso</v>
      </c>
      <c r="F2230" t="s">
        <v>5600</v>
      </c>
      <c r="G2230" t="str">
        <f>_xlfn.IFNA(VLOOKUP(F2230,songs!$B$1:$C$1539, 2, FALSE),"")</f>
        <v>El Paso</v>
      </c>
      <c r="H2230" t="s">
        <v>327</v>
      </c>
    </row>
    <row r="2231" spans="1:8" x14ac:dyDescent="0.25">
      <c r="A2231">
        <v>2230</v>
      </c>
      <c r="B2231" t="s">
        <v>2699</v>
      </c>
      <c r="C2231" t="s">
        <v>298</v>
      </c>
      <c r="D2231" t="str">
        <f t="shared" si="73"/>
        <v/>
      </c>
      <c r="E2231" t="str">
        <f t="shared" si="74"/>
        <v>bertha</v>
      </c>
      <c r="F2231" t="s">
        <v>5158</v>
      </c>
      <c r="G2231" t="str">
        <f>_xlfn.IFNA(VLOOKUP(F2231,songs!$B$1:$C$1539, 2, FALSE),"")</f>
        <v>Bertha</v>
      </c>
      <c r="H2231" t="s">
        <v>298</v>
      </c>
    </row>
    <row r="2232" spans="1:8" x14ac:dyDescent="0.25">
      <c r="A2232">
        <v>2231</v>
      </c>
      <c r="B2232" t="s">
        <v>2700</v>
      </c>
      <c r="C2232" t="s">
        <v>154</v>
      </c>
      <c r="D2232" t="str">
        <f t="shared" si="73"/>
        <v/>
      </c>
      <c r="E2232" t="str">
        <f t="shared" si="74"/>
        <v>greatest story ever told</v>
      </c>
      <c r="F2232" t="s">
        <v>5826</v>
      </c>
      <c r="G2232" t="str">
        <f>_xlfn.IFNA(VLOOKUP(F2232,songs!$B$1:$C$1539, 2, FALSE),"")</f>
        <v>Greatest Story Ever Told</v>
      </c>
      <c r="H2232" t="s">
        <v>154</v>
      </c>
    </row>
    <row r="2233" spans="1:8" x14ac:dyDescent="0.25">
      <c r="A2233">
        <v>2232</v>
      </c>
      <c r="B2233" t="s">
        <v>2701</v>
      </c>
      <c r="C2233" t="s">
        <v>323</v>
      </c>
      <c r="D2233" t="str">
        <f t="shared" si="73"/>
        <v/>
      </c>
      <c r="E2233" t="str">
        <f t="shared" si="74"/>
        <v>bird song</v>
      </c>
      <c r="F2233" t="s">
        <v>5184</v>
      </c>
      <c r="G2233" t="str">
        <f>_xlfn.IFNA(VLOOKUP(F2233,songs!$B$1:$C$1539, 2, FALSE),"")</f>
        <v>Bird Song</v>
      </c>
      <c r="H2233" t="s">
        <v>323</v>
      </c>
    </row>
    <row r="2234" spans="1:8" x14ac:dyDescent="0.25">
      <c r="A2234">
        <v>2233</v>
      </c>
      <c r="B2234" t="s">
        <v>2702</v>
      </c>
      <c r="C2234" t="s">
        <v>458</v>
      </c>
      <c r="D2234" t="str">
        <f t="shared" si="73"/>
        <v/>
      </c>
      <c r="E2234" t="str">
        <f t="shared" si="74"/>
        <v>mississippi half-step uptown toodeloo</v>
      </c>
      <c r="F2234" t="s">
        <v>6531</v>
      </c>
      <c r="G2234" t="str">
        <f>_xlfn.IFNA(VLOOKUP(F2234,songs!$B$1:$C$1539, 2, FALSE),"")</f>
        <v>Mississippi Half-Step Uptown Toodeloo</v>
      </c>
      <c r="H2234" t="s">
        <v>458</v>
      </c>
    </row>
    <row r="2235" spans="1:8" x14ac:dyDescent="0.25">
      <c r="A2235">
        <v>2234</v>
      </c>
      <c r="B2235" t="s">
        <v>2703</v>
      </c>
      <c r="C2235" t="s">
        <v>145</v>
      </c>
      <c r="D2235" t="str">
        <f t="shared" si="73"/>
        <v/>
      </c>
      <c r="E2235" t="str">
        <f t="shared" si="74"/>
        <v>brokedown palace</v>
      </c>
      <c r="F2235" t="s">
        <v>5250</v>
      </c>
      <c r="G2235" t="str">
        <f>_xlfn.IFNA(VLOOKUP(F2235,songs!$B$1:$C$1539, 2, FALSE),"")</f>
        <v>Brokedown Palace</v>
      </c>
      <c r="H2235" t="s">
        <v>145</v>
      </c>
    </row>
    <row r="2236" spans="1:8" x14ac:dyDescent="0.25">
      <c r="A2236">
        <v>2235</v>
      </c>
      <c r="B2236" t="s">
        <v>2704</v>
      </c>
      <c r="C2236" t="s">
        <v>128</v>
      </c>
      <c r="D2236" t="str">
        <f t="shared" si="73"/>
        <v/>
      </c>
      <c r="E2236" t="str">
        <f t="shared" si="74"/>
        <v>alabama getaway</v>
      </c>
      <c r="F2236" t="s">
        <v>5047</v>
      </c>
      <c r="G2236" t="str">
        <f>_xlfn.IFNA(VLOOKUP(F2236,songs!$B$1:$C$1539, 2, FALSE),"")</f>
        <v>Alabama Getaway</v>
      </c>
      <c r="H2236" t="s">
        <v>128</v>
      </c>
    </row>
    <row r="2237" spans="1:8" x14ac:dyDescent="0.25">
      <c r="A2237">
        <v>2236</v>
      </c>
      <c r="B2237" t="s">
        <v>2705</v>
      </c>
      <c r="C2237" t="s">
        <v>130</v>
      </c>
      <c r="D2237" t="str">
        <f t="shared" si="73"/>
        <v/>
      </c>
      <c r="E2237" t="str">
        <f t="shared" si="74"/>
        <v>promised land</v>
      </c>
      <c r="F2237" t="s">
        <v>6797</v>
      </c>
      <c r="G2237" t="str">
        <f>_xlfn.IFNA(VLOOKUP(F2237,songs!$B$1:$C$1539, 2, FALSE),"")</f>
        <v>Promised Land</v>
      </c>
      <c r="H2237" t="s">
        <v>130</v>
      </c>
    </row>
    <row r="2238" spans="1:8" x14ac:dyDescent="0.25">
      <c r="A2238">
        <v>2280</v>
      </c>
      <c r="B2238" t="s">
        <v>2752</v>
      </c>
      <c r="C2238" t="s">
        <v>2753</v>
      </c>
      <c r="D2238" t="str">
        <f t="shared" si="73"/>
        <v/>
      </c>
      <c r="E2238" t="str">
        <f t="shared" si="74"/>
        <v>not fade away]</v>
      </c>
      <c r="F2238" t="s">
        <v>6651</v>
      </c>
      <c r="G2238" t="str">
        <f>_xlfn.IFNA(VLOOKUP(F2238,songs!$B$1:$C$1539, 2, FALSE),"")</f>
        <v>Not Fade Away</v>
      </c>
      <c r="H2238" t="s">
        <v>7867</v>
      </c>
    </row>
    <row r="2239" spans="1:8" x14ac:dyDescent="0.25">
      <c r="A2239">
        <v>2238</v>
      </c>
      <c r="B2239" t="s">
        <v>2707</v>
      </c>
      <c r="C2239" t="s">
        <v>262</v>
      </c>
      <c r="D2239" t="str">
        <f t="shared" si="73"/>
        <v/>
      </c>
      <c r="E2239" t="str">
        <f t="shared" si="74"/>
        <v>cassidy</v>
      </c>
      <c r="F2239" t="s">
        <v>5291</v>
      </c>
      <c r="G2239" t="str">
        <f>_xlfn.IFNA(VLOOKUP(F2239,songs!$B$1:$C$1539, 2, FALSE),"")</f>
        <v>Cassidy</v>
      </c>
      <c r="H2239" t="s">
        <v>262</v>
      </c>
    </row>
    <row r="2240" spans="1:8" x14ac:dyDescent="0.25">
      <c r="A2240">
        <v>2239</v>
      </c>
      <c r="B2240" t="s">
        <v>2708</v>
      </c>
      <c r="C2240" t="s">
        <v>188</v>
      </c>
      <c r="D2240" t="str">
        <f t="shared" si="73"/>
        <v/>
      </c>
      <c r="E2240" t="str">
        <f t="shared" si="74"/>
        <v>row jimmy</v>
      </c>
      <c r="F2240" t="s">
        <v>6893</v>
      </c>
      <c r="G2240" t="str">
        <f>_xlfn.IFNA(VLOOKUP(F2240,songs!$B$1:$C$1539, 2, FALSE),"")</f>
        <v>Row Jimmy</v>
      </c>
      <c r="H2240" t="s">
        <v>188</v>
      </c>
    </row>
    <row r="2241" spans="1:8" x14ac:dyDescent="0.25">
      <c r="A2241">
        <v>2281</v>
      </c>
      <c r="B2241" t="s">
        <v>2754</v>
      </c>
      <c r="C2241" t="s">
        <v>44</v>
      </c>
      <c r="D2241" t="str">
        <f t="shared" si="73"/>
        <v/>
      </c>
      <c r="E2241" t="str">
        <f t="shared" si="74"/>
        <v>goin' down the road feeling bad</v>
      </c>
      <c r="F2241" t="s">
        <v>5783</v>
      </c>
      <c r="G2241" t="str">
        <f>_xlfn.IFNA(VLOOKUP(F2241,songs!$B$1:$C$1539, 2, FALSE),"")</f>
        <v>Goin' Down The Road Feelin' Bad</v>
      </c>
      <c r="H2241" t="s">
        <v>7867</v>
      </c>
    </row>
    <row r="2242" spans="1:8" x14ac:dyDescent="0.25">
      <c r="A2242">
        <v>2241</v>
      </c>
      <c r="B2242" t="s">
        <v>2710</v>
      </c>
      <c r="C2242" t="s">
        <v>641</v>
      </c>
      <c r="D2242" t="str">
        <f t="shared" si="73"/>
        <v/>
      </c>
      <c r="E2242" t="str">
        <f t="shared" si="74"/>
        <v>candyman</v>
      </c>
      <c r="F2242" t="s">
        <v>5278</v>
      </c>
      <c r="G2242" t="str">
        <f>_xlfn.IFNA(VLOOKUP(F2242,songs!$B$1:$C$1539, 2, FALSE),"")</f>
        <v>Candyman</v>
      </c>
      <c r="H2242" t="s">
        <v>641</v>
      </c>
    </row>
    <row r="2243" spans="1:8" x14ac:dyDescent="0.25">
      <c r="A2243">
        <v>2242</v>
      </c>
      <c r="B2243" t="s">
        <v>2711</v>
      </c>
      <c r="C2243" t="s">
        <v>53</v>
      </c>
      <c r="D2243" t="str">
        <f t="shared" ref="D2243:D2306" si="75">IF(RIGHT(TRIM(C2243),2)="-&gt;","&gt;",IF(RIGHT(TRIM(C2243),1)="&gt;","&gt;",""))</f>
        <v/>
      </c>
      <c r="E2243" t="str">
        <f t="shared" si="74"/>
        <v>lazy lightning</v>
      </c>
      <c r="F2243" t="s">
        <v>6293</v>
      </c>
      <c r="G2243" t="str">
        <f>_xlfn.IFNA(VLOOKUP(F2243,songs!$B$1:$C$1539, 2, FALSE),"")</f>
        <v>Lazy Lightning</v>
      </c>
      <c r="H2243" t="s">
        <v>53</v>
      </c>
    </row>
    <row r="2244" spans="1:8" x14ac:dyDescent="0.25">
      <c r="A2244">
        <v>2243</v>
      </c>
      <c r="B2244" t="s">
        <v>2712</v>
      </c>
      <c r="C2244" t="s">
        <v>55</v>
      </c>
      <c r="D2244" t="str">
        <f t="shared" si="75"/>
        <v/>
      </c>
      <c r="E2244" t="str">
        <f t="shared" ref="E2244:E2307" si="76">LOWER(TRIM(SUBSTITUTE(IF(RIGHT(TRIM(C2244),2)="-&gt;",LEFT(TRIM(C2244),LEN(TRIM(C2244))-2),IF(RIGHT(TRIM(C2244),1)="&gt;",LEFT(TRIM(C2244),LEN(TRIM(C2244))-1),C2244)),"//","")))</f>
        <v>supplication</v>
      </c>
      <c r="F2244" t="s">
        <v>7162</v>
      </c>
      <c r="G2244" t="str">
        <f>_xlfn.IFNA(VLOOKUP(F2244,songs!$B$1:$C$1539, 2, FALSE),"")</f>
        <v>Supplication</v>
      </c>
      <c r="H2244" t="s">
        <v>55</v>
      </c>
    </row>
    <row r="2245" spans="1:8" x14ac:dyDescent="0.25">
      <c r="A2245">
        <v>2244</v>
      </c>
      <c r="B2245" t="s">
        <v>2713</v>
      </c>
      <c r="C2245" t="s">
        <v>264</v>
      </c>
      <c r="D2245" t="str">
        <f t="shared" si="75"/>
        <v/>
      </c>
      <c r="E2245" t="str">
        <f t="shared" si="76"/>
        <v>deal</v>
      </c>
      <c r="F2245" t="s">
        <v>5461</v>
      </c>
      <c r="G2245" t="str">
        <f>_xlfn.IFNA(VLOOKUP(F2245,songs!$B$1:$C$1539, 2, FALSE),"")</f>
        <v>Deal</v>
      </c>
      <c r="H2245" t="s">
        <v>264</v>
      </c>
    </row>
    <row r="2246" spans="1:8" x14ac:dyDescent="0.25">
      <c r="A2246">
        <v>2245</v>
      </c>
      <c r="B2246" t="s">
        <v>2714</v>
      </c>
      <c r="C2246" t="s">
        <v>150</v>
      </c>
      <c r="D2246" t="str">
        <f t="shared" si="75"/>
        <v/>
      </c>
      <c r="E2246" t="str">
        <f t="shared" si="76"/>
        <v>shakedown street</v>
      </c>
      <c r="F2246" t="s">
        <v>6972</v>
      </c>
      <c r="G2246" t="str">
        <f>_xlfn.IFNA(VLOOKUP(F2246,songs!$B$1:$C$1539, 2, FALSE),"")</f>
        <v>Shakedown Street</v>
      </c>
      <c r="H2246" t="s">
        <v>150</v>
      </c>
    </row>
    <row r="2247" spans="1:8" x14ac:dyDescent="0.25">
      <c r="A2247">
        <v>2246</v>
      </c>
      <c r="B2247" t="s">
        <v>2715</v>
      </c>
      <c r="C2247" t="s">
        <v>266</v>
      </c>
      <c r="D2247" t="str">
        <f t="shared" si="75"/>
        <v/>
      </c>
      <c r="E2247" t="str">
        <f t="shared" si="76"/>
        <v>samson and delilah</v>
      </c>
      <c r="F2247" t="s">
        <v>6925</v>
      </c>
      <c r="G2247" t="str">
        <f>_xlfn.IFNA(VLOOKUP(F2247,songs!$B$1:$C$1539, 2, FALSE),"")</f>
        <v>Samson And Delilah</v>
      </c>
      <c r="H2247" t="s">
        <v>266</v>
      </c>
    </row>
    <row r="2248" spans="1:8" x14ac:dyDescent="0.25">
      <c r="A2248">
        <v>2247</v>
      </c>
      <c r="B2248" t="s">
        <v>2716</v>
      </c>
      <c r="C2248" t="s">
        <v>88</v>
      </c>
      <c r="D2248" t="str">
        <f t="shared" si="75"/>
        <v/>
      </c>
      <c r="E2248" t="str">
        <f t="shared" si="76"/>
        <v>high time</v>
      </c>
      <c r="F2248" t="s">
        <v>5920</v>
      </c>
      <c r="G2248" t="str">
        <f>_xlfn.IFNA(VLOOKUP(F2248,songs!$B$1:$C$1539, 2, FALSE),"")</f>
        <v>High Time</v>
      </c>
      <c r="H2248" t="s">
        <v>88</v>
      </c>
    </row>
    <row r="2249" spans="1:8" x14ac:dyDescent="0.25">
      <c r="A2249">
        <v>2248</v>
      </c>
      <c r="B2249" t="s">
        <v>2717</v>
      </c>
      <c r="C2249" t="s">
        <v>2386</v>
      </c>
      <c r="D2249" t="str">
        <f t="shared" si="75"/>
        <v/>
      </c>
      <c r="E2249" t="str">
        <f t="shared" si="76"/>
        <v>easy to love you</v>
      </c>
      <c r="F2249" t="s">
        <v>5584</v>
      </c>
      <c r="G2249" t="str">
        <f>_xlfn.IFNA(VLOOKUP(F2249,songs!$B$1:$C$1539, 2, FALSE),"")</f>
        <v>Easy To Love You</v>
      </c>
      <c r="H2249" t="s">
        <v>2386</v>
      </c>
    </row>
    <row r="2250" spans="1:8" x14ac:dyDescent="0.25">
      <c r="A2250">
        <v>2249</v>
      </c>
      <c r="B2250" t="s">
        <v>2718</v>
      </c>
      <c r="C2250" t="s">
        <v>75</v>
      </c>
      <c r="D2250" t="str">
        <f t="shared" si="75"/>
        <v/>
      </c>
      <c r="E2250" t="str">
        <f t="shared" si="76"/>
        <v>terrapin station</v>
      </c>
      <c r="F2250" t="s">
        <v>7237</v>
      </c>
      <c r="G2250" t="str">
        <f>_xlfn.IFNA(VLOOKUP(F2250,songs!$B$1:$C$1539, 2, FALSE),"")</f>
        <v>Terrapin Station</v>
      </c>
      <c r="H2250" t="s">
        <v>75</v>
      </c>
    </row>
    <row r="2251" spans="1:8" x14ac:dyDescent="0.25">
      <c r="A2251">
        <v>2250</v>
      </c>
      <c r="B2251" t="s">
        <v>2719</v>
      </c>
      <c r="C2251" t="s">
        <v>394</v>
      </c>
      <c r="D2251" t="str">
        <f t="shared" si="75"/>
        <v/>
      </c>
      <c r="E2251" t="str">
        <f t="shared" si="76"/>
        <v>lost sailor</v>
      </c>
      <c r="F2251" t="s">
        <v>6403</v>
      </c>
      <c r="G2251" t="str">
        <f>_xlfn.IFNA(VLOOKUP(F2251,songs!$B$1:$C$1539, 2, FALSE),"")</f>
        <v>Lost Sailor</v>
      </c>
      <c r="H2251" t="s">
        <v>394</v>
      </c>
    </row>
    <row r="2252" spans="1:8" x14ac:dyDescent="0.25">
      <c r="A2252">
        <v>2283</v>
      </c>
      <c r="B2252" t="s">
        <v>2756</v>
      </c>
      <c r="C2252" t="s">
        <v>1775</v>
      </c>
      <c r="D2252" t="str">
        <f t="shared" si="75"/>
        <v/>
      </c>
      <c r="E2252" t="str">
        <f t="shared" si="76"/>
        <v>dancing in the street</v>
      </c>
      <c r="F2252" t="s">
        <v>5418</v>
      </c>
      <c r="G2252" t="str">
        <f>_xlfn.IFNA(VLOOKUP(F2252,songs!$B$1:$C$1539, 2, FALSE),"")</f>
        <v>Dancin' In The Streets</v>
      </c>
      <c r="H2252" t="s">
        <v>7867</v>
      </c>
    </row>
    <row r="2253" spans="1:8" x14ac:dyDescent="0.25">
      <c r="A2253">
        <v>2252</v>
      </c>
      <c r="B2253" t="s">
        <v>2722</v>
      </c>
      <c r="C2253" t="s">
        <v>19</v>
      </c>
      <c r="D2253" t="str">
        <f t="shared" si="75"/>
        <v/>
      </c>
      <c r="E2253" t="str">
        <f t="shared" si="76"/>
        <v>jam</v>
      </c>
      <c r="F2253" t="s">
        <v>6165</v>
      </c>
      <c r="G2253" t="str">
        <f>_xlfn.IFNA(VLOOKUP(F2253,songs!$B$1:$C$1539, 2, FALSE),"")</f>
        <v>Jam</v>
      </c>
      <c r="H2253" t="s">
        <v>19</v>
      </c>
    </row>
    <row r="2254" spans="1:8" x14ac:dyDescent="0.25">
      <c r="A2254">
        <v>2253</v>
      </c>
      <c r="B2254" t="s">
        <v>2723</v>
      </c>
      <c r="C2254" t="s">
        <v>100</v>
      </c>
      <c r="D2254" t="str">
        <f t="shared" si="75"/>
        <v/>
      </c>
      <c r="E2254" t="str">
        <f t="shared" si="76"/>
        <v>drums</v>
      </c>
      <c r="F2254" t="s">
        <v>5568</v>
      </c>
      <c r="G2254" t="str">
        <f>_xlfn.IFNA(VLOOKUP(F2254,songs!$B$1:$C$1539, 2, FALSE),"")</f>
        <v>Drums</v>
      </c>
      <c r="H2254" t="s">
        <v>100</v>
      </c>
    </row>
    <row r="2255" spans="1:8" x14ac:dyDescent="0.25">
      <c r="A2255">
        <v>2254</v>
      </c>
      <c r="B2255" t="s">
        <v>2724</v>
      </c>
      <c r="C2255" t="s">
        <v>277</v>
      </c>
      <c r="D2255" t="str">
        <f t="shared" si="75"/>
        <v/>
      </c>
      <c r="E2255" t="str">
        <f t="shared" si="76"/>
        <v>space</v>
      </c>
      <c r="F2255" t="s">
        <v>7091</v>
      </c>
      <c r="G2255" t="str">
        <f>_xlfn.IFNA(VLOOKUP(F2255,songs!$B$1:$C$1539, 2, FALSE),"")</f>
        <v>Space</v>
      </c>
      <c r="H2255" t="s">
        <v>277</v>
      </c>
    </row>
    <row r="2256" spans="1:8" x14ac:dyDescent="0.25">
      <c r="A2256">
        <v>2255</v>
      </c>
      <c r="B2256" t="s">
        <v>2725</v>
      </c>
      <c r="C2256" t="s">
        <v>221</v>
      </c>
      <c r="D2256" t="str">
        <f t="shared" si="75"/>
        <v/>
      </c>
      <c r="E2256" t="str">
        <f t="shared" si="76"/>
        <v>black peter</v>
      </c>
      <c r="F2256" t="s">
        <v>5190</v>
      </c>
      <c r="G2256" t="str">
        <f>_xlfn.IFNA(VLOOKUP(F2256,songs!$B$1:$C$1539, 2, FALSE),"")</f>
        <v>Black Peter</v>
      </c>
      <c r="H2256" t="s">
        <v>221</v>
      </c>
    </row>
    <row r="2257" spans="1:8" x14ac:dyDescent="0.25">
      <c r="A2257">
        <v>2256</v>
      </c>
      <c r="B2257" t="s">
        <v>2726</v>
      </c>
      <c r="C2257" t="s">
        <v>2237</v>
      </c>
      <c r="D2257" t="str">
        <f t="shared" si="75"/>
        <v/>
      </c>
      <c r="E2257" t="str">
        <f t="shared" si="76"/>
        <v>i need a miracle</v>
      </c>
      <c r="F2257" t="s">
        <v>6021</v>
      </c>
      <c r="G2257" t="str">
        <f>_xlfn.IFNA(VLOOKUP(F2257,songs!$B$1:$C$1539, 2, FALSE),"")</f>
        <v>I Need A Miracle</v>
      </c>
      <c r="H2257" t="s">
        <v>2237</v>
      </c>
    </row>
    <row r="2258" spans="1:8" x14ac:dyDescent="0.25">
      <c r="A2258">
        <v>2257</v>
      </c>
      <c r="B2258" t="s">
        <v>2727</v>
      </c>
      <c r="C2258" t="s">
        <v>298</v>
      </c>
      <c r="D2258" t="str">
        <f t="shared" si="75"/>
        <v/>
      </c>
      <c r="E2258" t="str">
        <f t="shared" si="76"/>
        <v>bertha</v>
      </c>
      <c r="F2258" t="s">
        <v>5158</v>
      </c>
      <c r="G2258" t="str">
        <f>_xlfn.IFNA(VLOOKUP(F2258,songs!$B$1:$C$1539, 2, FALSE),"")</f>
        <v>Bertha</v>
      </c>
      <c r="H2258" t="s">
        <v>298</v>
      </c>
    </row>
    <row r="2259" spans="1:8" x14ac:dyDescent="0.25">
      <c r="A2259">
        <v>2258</v>
      </c>
      <c r="B2259" t="s">
        <v>2728</v>
      </c>
      <c r="C2259" t="s">
        <v>242</v>
      </c>
      <c r="D2259" t="str">
        <f t="shared" si="75"/>
        <v/>
      </c>
      <c r="E2259" t="str">
        <f t="shared" si="76"/>
        <v>good lovin'</v>
      </c>
      <c r="F2259" t="s">
        <v>5810</v>
      </c>
      <c r="G2259" t="str">
        <f>_xlfn.IFNA(VLOOKUP(F2259,songs!$B$1:$C$1539, 2, FALSE),"")</f>
        <v>Good Lovin'</v>
      </c>
      <c r="H2259" t="s">
        <v>242</v>
      </c>
    </row>
    <row r="2260" spans="1:8" x14ac:dyDescent="0.25">
      <c r="A2260">
        <v>2259</v>
      </c>
      <c r="B2260" t="s">
        <v>2729</v>
      </c>
      <c r="C2260" t="s">
        <v>215</v>
      </c>
      <c r="D2260" t="str">
        <f t="shared" si="75"/>
        <v/>
      </c>
      <c r="E2260" t="str">
        <f t="shared" si="76"/>
        <v>don't ease me in</v>
      </c>
      <c r="F2260" t="s">
        <v>5513</v>
      </c>
      <c r="G2260" t="str">
        <f>_xlfn.IFNA(VLOOKUP(F2260,songs!$B$1:$C$1539, 2, FALSE),"")</f>
        <v>Don't Ease Me In</v>
      </c>
      <c r="H2260" t="s">
        <v>215</v>
      </c>
    </row>
    <row r="2261" spans="1:8" x14ac:dyDescent="0.25">
      <c r="A2261">
        <v>2286</v>
      </c>
      <c r="B2261" t="s">
        <v>2759</v>
      </c>
      <c r="C2261" t="s">
        <v>2760</v>
      </c>
      <c r="D2261" t="str">
        <f t="shared" si="75"/>
        <v/>
      </c>
      <c r="E2261" t="str">
        <f t="shared" si="76"/>
        <v>st. stephen]</v>
      </c>
      <c r="F2261" t="s">
        <v>6910</v>
      </c>
      <c r="G2261" t="str">
        <f>_xlfn.IFNA(VLOOKUP(F2261,songs!$B$1:$C$1539, 2, FALSE),"")</f>
        <v>Saint Stephen</v>
      </c>
      <c r="H2261" t="s">
        <v>7867</v>
      </c>
    </row>
    <row r="2262" spans="1:8" x14ac:dyDescent="0.25">
      <c r="A2262">
        <v>2261</v>
      </c>
      <c r="B2262" t="s">
        <v>2732</v>
      </c>
      <c r="C2262" t="s">
        <v>298</v>
      </c>
      <c r="D2262" t="str">
        <f t="shared" si="75"/>
        <v/>
      </c>
      <c r="E2262" t="str">
        <f t="shared" si="76"/>
        <v>bertha</v>
      </c>
      <c r="F2262" t="s">
        <v>5158</v>
      </c>
      <c r="G2262" t="str">
        <f>_xlfn.IFNA(VLOOKUP(F2262,songs!$B$1:$C$1539, 2, FALSE),"")</f>
        <v>Bertha</v>
      </c>
      <c r="H2262" t="s">
        <v>298</v>
      </c>
    </row>
    <row r="2263" spans="1:8" x14ac:dyDescent="0.25">
      <c r="A2263">
        <v>2262</v>
      </c>
      <c r="B2263" t="s">
        <v>2733</v>
      </c>
      <c r="C2263" t="s">
        <v>903</v>
      </c>
      <c r="D2263" t="str">
        <f t="shared" si="75"/>
        <v/>
      </c>
      <c r="E2263" t="str">
        <f t="shared" si="76"/>
        <v>me and my uncle</v>
      </c>
      <c r="F2263" t="s">
        <v>6486</v>
      </c>
      <c r="G2263" t="str">
        <f>_xlfn.IFNA(VLOOKUP(F2263,songs!$B$1:$C$1539, 2, FALSE),"")</f>
        <v>Me And My Uncle</v>
      </c>
      <c r="H2263" t="s">
        <v>903</v>
      </c>
    </row>
    <row r="2264" spans="1:8" x14ac:dyDescent="0.25">
      <c r="A2264">
        <v>2263</v>
      </c>
      <c r="B2264" t="s">
        <v>2734</v>
      </c>
      <c r="C2264" t="s">
        <v>51</v>
      </c>
      <c r="D2264" t="str">
        <f t="shared" si="75"/>
        <v/>
      </c>
      <c r="E2264" t="str">
        <f t="shared" si="76"/>
        <v>sugaree</v>
      </c>
      <c r="F2264" t="s">
        <v>7151</v>
      </c>
      <c r="G2264" t="str">
        <f>_xlfn.IFNA(VLOOKUP(F2264,songs!$B$1:$C$1539, 2, FALSE),"")</f>
        <v>Sugaree</v>
      </c>
      <c r="H2264" t="s">
        <v>51</v>
      </c>
    </row>
    <row r="2265" spans="1:8" x14ac:dyDescent="0.25">
      <c r="A2265">
        <v>2264</v>
      </c>
      <c r="B2265" t="s">
        <v>2735</v>
      </c>
      <c r="C2265" t="s">
        <v>431</v>
      </c>
      <c r="D2265" t="str">
        <f t="shared" si="75"/>
        <v/>
      </c>
      <c r="E2265" t="str">
        <f t="shared" si="76"/>
        <v>beat it on down the line</v>
      </c>
      <c r="F2265" t="s">
        <v>5149</v>
      </c>
      <c r="G2265" t="str">
        <f>_xlfn.IFNA(VLOOKUP(F2265,songs!$B$1:$C$1539, 2, FALSE),"")</f>
        <v>Beat It On Down The Line</v>
      </c>
      <c r="H2265" t="s">
        <v>431</v>
      </c>
    </row>
    <row r="2266" spans="1:8" x14ac:dyDescent="0.25">
      <c r="A2266">
        <v>2265</v>
      </c>
      <c r="B2266" t="s">
        <v>2736</v>
      </c>
      <c r="C2266" t="s">
        <v>164</v>
      </c>
      <c r="D2266" t="str">
        <f t="shared" si="75"/>
        <v/>
      </c>
      <c r="E2266" t="str">
        <f t="shared" si="76"/>
        <v>tennessee jed</v>
      </c>
      <c r="F2266" t="s">
        <v>7234</v>
      </c>
      <c r="G2266" t="str">
        <f>_xlfn.IFNA(VLOOKUP(F2266,songs!$B$1:$C$1539, 2, FALSE),"")</f>
        <v>Tennessee Jed</v>
      </c>
      <c r="H2266" t="s">
        <v>164</v>
      </c>
    </row>
    <row r="2267" spans="1:8" x14ac:dyDescent="0.25">
      <c r="A2267">
        <v>2266</v>
      </c>
      <c r="B2267" t="s">
        <v>2737</v>
      </c>
      <c r="C2267" t="s">
        <v>186</v>
      </c>
      <c r="D2267" t="str">
        <f t="shared" si="75"/>
        <v/>
      </c>
      <c r="E2267" t="str">
        <f t="shared" si="76"/>
        <v>mexicali blues</v>
      </c>
      <c r="F2267" t="s">
        <v>6499</v>
      </c>
      <c r="G2267" t="str">
        <f>_xlfn.IFNA(VLOOKUP(F2267,songs!$B$1:$C$1539, 2, FALSE),"")</f>
        <v>Mexicali Blues</v>
      </c>
      <c r="H2267" t="s">
        <v>186</v>
      </c>
    </row>
    <row r="2268" spans="1:8" x14ac:dyDescent="0.25">
      <c r="A2268">
        <v>2287</v>
      </c>
      <c r="B2268" t="s">
        <v>2761</v>
      </c>
      <c r="C2268" t="s">
        <v>2753</v>
      </c>
      <c r="D2268" t="str">
        <f t="shared" si="75"/>
        <v/>
      </c>
      <c r="E2268" t="str">
        <f t="shared" si="76"/>
        <v>not fade away]</v>
      </c>
      <c r="F2268" t="s">
        <v>6651</v>
      </c>
      <c r="G2268" t="str">
        <f>_xlfn.IFNA(VLOOKUP(F2268,songs!$B$1:$C$1539, 2, FALSE),"")</f>
        <v>Not Fade Away</v>
      </c>
      <c r="H2268" t="s">
        <v>7867</v>
      </c>
    </row>
    <row r="2269" spans="1:8" x14ac:dyDescent="0.25">
      <c r="A2269">
        <v>2268</v>
      </c>
      <c r="B2269" t="s">
        <v>2739</v>
      </c>
      <c r="C2269" t="s">
        <v>327</v>
      </c>
      <c r="D2269" t="str">
        <f t="shared" si="75"/>
        <v/>
      </c>
      <c r="E2269" t="str">
        <f t="shared" si="76"/>
        <v>el paso</v>
      </c>
      <c r="F2269" t="s">
        <v>5600</v>
      </c>
      <c r="G2269" t="str">
        <f>_xlfn.IFNA(VLOOKUP(F2269,songs!$B$1:$C$1539, 2, FALSE),"")</f>
        <v>El Paso</v>
      </c>
      <c r="H2269" t="s">
        <v>327</v>
      </c>
    </row>
    <row r="2270" spans="1:8" x14ac:dyDescent="0.25">
      <c r="A2270">
        <v>2269</v>
      </c>
      <c r="B2270" t="s">
        <v>2740</v>
      </c>
      <c r="C2270" t="s">
        <v>9</v>
      </c>
      <c r="D2270" t="str">
        <f t="shared" si="75"/>
        <v/>
      </c>
      <c r="E2270" t="str">
        <f t="shared" si="76"/>
        <v>big railroad blues</v>
      </c>
      <c r="F2270" t="s">
        <v>5174</v>
      </c>
      <c r="G2270" t="str">
        <f>_xlfn.IFNA(VLOOKUP(F2270,songs!$B$1:$C$1539, 2, FALSE),"")</f>
        <v>Big Railroad Blues</v>
      </c>
      <c r="H2270" t="s">
        <v>9</v>
      </c>
    </row>
    <row r="2271" spans="1:8" x14ac:dyDescent="0.25">
      <c r="A2271">
        <v>2270</v>
      </c>
      <c r="B2271" t="s">
        <v>2741</v>
      </c>
      <c r="C2271" t="s">
        <v>199</v>
      </c>
      <c r="D2271" t="str">
        <f t="shared" si="75"/>
        <v/>
      </c>
      <c r="E2271" t="str">
        <f t="shared" si="76"/>
        <v>jack straw</v>
      </c>
      <c r="F2271" t="s">
        <v>6161</v>
      </c>
      <c r="G2271" t="str">
        <f>_xlfn.IFNA(VLOOKUP(F2271,songs!$B$1:$C$1539, 2, FALSE),"")</f>
        <v>Jack Straw</v>
      </c>
      <c r="H2271" t="s">
        <v>199</v>
      </c>
    </row>
    <row r="2272" spans="1:8" x14ac:dyDescent="0.25">
      <c r="A2272">
        <v>2271</v>
      </c>
      <c r="B2272" t="s">
        <v>2742</v>
      </c>
      <c r="C2272" t="s">
        <v>225</v>
      </c>
      <c r="D2272" t="str">
        <f t="shared" si="75"/>
        <v/>
      </c>
      <c r="E2272" t="str">
        <f t="shared" si="76"/>
        <v>cumberland blues</v>
      </c>
      <c r="F2272" t="s">
        <v>5411</v>
      </c>
      <c r="G2272" t="str">
        <f>_xlfn.IFNA(VLOOKUP(F2272,songs!$B$1:$C$1539, 2, FALSE),"")</f>
        <v>Cumberland Blues</v>
      </c>
      <c r="H2272" t="s">
        <v>225</v>
      </c>
    </row>
    <row r="2273" spans="1:8" x14ac:dyDescent="0.25">
      <c r="A2273">
        <v>2272</v>
      </c>
      <c r="B2273" t="s">
        <v>2743</v>
      </c>
      <c r="C2273" t="s">
        <v>419</v>
      </c>
      <c r="D2273" t="str">
        <f t="shared" si="75"/>
        <v/>
      </c>
      <c r="E2273" t="str">
        <f t="shared" si="76"/>
        <v>playing in the band</v>
      </c>
      <c r="F2273" t="s">
        <v>6769</v>
      </c>
      <c r="G2273" t="str">
        <f>_xlfn.IFNA(VLOOKUP(F2273,songs!$B$1:$C$1539, 2, FALSE),"")</f>
        <v>Playing In The Band</v>
      </c>
      <c r="H2273" t="s">
        <v>419</v>
      </c>
    </row>
    <row r="2274" spans="1:8" x14ac:dyDescent="0.25">
      <c r="A2274">
        <v>2273</v>
      </c>
      <c r="B2274" t="s">
        <v>2744</v>
      </c>
      <c r="C2274" t="s">
        <v>81</v>
      </c>
      <c r="D2274" t="str">
        <f t="shared" si="75"/>
        <v/>
      </c>
      <c r="E2274" t="str">
        <f t="shared" si="76"/>
        <v>casey jones</v>
      </c>
      <c r="F2274" t="s">
        <v>5290</v>
      </c>
      <c r="G2274" t="str">
        <f>_xlfn.IFNA(VLOOKUP(F2274,songs!$B$1:$C$1539, 2, FALSE),"")</f>
        <v>Casey Jones</v>
      </c>
      <c r="H2274" t="s">
        <v>81</v>
      </c>
    </row>
    <row r="2275" spans="1:8" x14ac:dyDescent="0.25">
      <c r="A2275">
        <v>2274</v>
      </c>
      <c r="B2275" t="s">
        <v>2745</v>
      </c>
      <c r="C2275" t="s">
        <v>956</v>
      </c>
      <c r="D2275" t="str">
        <f t="shared" si="75"/>
        <v/>
      </c>
      <c r="E2275" t="str">
        <f t="shared" si="76"/>
        <v>one more saturday night</v>
      </c>
      <c r="F2275" t="s">
        <v>6702</v>
      </c>
      <c r="G2275" t="str">
        <f>_xlfn.IFNA(VLOOKUP(F2275,songs!$B$1:$C$1539, 2, FALSE),"")</f>
        <v>One More Saturday Night</v>
      </c>
      <c r="H2275" t="s">
        <v>956</v>
      </c>
    </row>
    <row r="2276" spans="1:8" x14ac:dyDescent="0.25">
      <c r="A2276">
        <v>2288</v>
      </c>
      <c r="B2276" t="s">
        <v>2762</v>
      </c>
      <c r="C2276" t="s">
        <v>2763</v>
      </c>
      <c r="D2276" t="str">
        <f t="shared" si="75"/>
        <v/>
      </c>
      <c r="E2276" t="str">
        <f t="shared" si="76"/>
        <v>goin' down the road feeling bad]</v>
      </c>
      <c r="F2276" t="s">
        <v>5783</v>
      </c>
      <c r="G2276" t="str">
        <f>_xlfn.IFNA(VLOOKUP(F2276,songs!$B$1:$C$1539, 2, FALSE),"")</f>
        <v>Goin' Down The Road Feelin' Bad</v>
      </c>
      <c r="H2276" t="s">
        <v>7867</v>
      </c>
    </row>
    <row r="2277" spans="1:8" x14ac:dyDescent="0.25">
      <c r="A2277">
        <v>2289</v>
      </c>
      <c r="B2277" t="s">
        <v>2764</v>
      </c>
      <c r="C2277" t="s">
        <v>2753</v>
      </c>
      <c r="D2277" t="str">
        <f t="shared" si="75"/>
        <v/>
      </c>
      <c r="E2277" t="str">
        <f t="shared" si="76"/>
        <v>not fade away]</v>
      </c>
      <c r="F2277" t="s">
        <v>6651</v>
      </c>
      <c r="G2277" t="str">
        <f>_xlfn.IFNA(VLOOKUP(F2277,songs!$B$1:$C$1539, 2, FALSE),"")</f>
        <v>Not Fade Away</v>
      </c>
      <c r="H2277" t="s">
        <v>7867</v>
      </c>
    </row>
    <row r="2278" spans="1:8" x14ac:dyDescent="0.25">
      <c r="A2278">
        <v>2277</v>
      </c>
      <c r="B2278" t="s">
        <v>2749</v>
      </c>
      <c r="C2278" t="s">
        <v>436</v>
      </c>
      <c r="D2278" t="str">
        <f t="shared" si="75"/>
        <v/>
      </c>
      <c r="E2278" t="str">
        <f t="shared" si="76"/>
        <v>ramble on rose</v>
      </c>
      <c r="F2278" t="s">
        <v>6827</v>
      </c>
      <c r="G2278" t="str">
        <f>_xlfn.IFNA(VLOOKUP(F2278,songs!$B$1:$C$1539, 2, FALSE),"")</f>
        <v>Ramble On Rose</v>
      </c>
      <c r="H2278" t="s">
        <v>436</v>
      </c>
    </row>
    <row r="2279" spans="1:8" x14ac:dyDescent="0.25">
      <c r="A2279">
        <v>2278</v>
      </c>
      <c r="B2279" t="s">
        <v>2750</v>
      </c>
      <c r="C2279" t="s">
        <v>30</v>
      </c>
      <c r="D2279" t="str">
        <f t="shared" si="75"/>
        <v/>
      </c>
      <c r="E2279" t="str">
        <f t="shared" si="76"/>
        <v>sugar magnolia</v>
      </c>
      <c r="F2279" t="s">
        <v>7150</v>
      </c>
      <c r="G2279" t="str">
        <f>_xlfn.IFNA(VLOOKUP(F2279,songs!$B$1:$C$1539, 2, FALSE),"")</f>
        <v>Sugar Magnolia</v>
      </c>
      <c r="H2279" t="s">
        <v>30</v>
      </c>
    </row>
    <row r="2280" spans="1:8" x14ac:dyDescent="0.25">
      <c r="A2280">
        <v>2279</v>
      </c>
      <c r="B2280" t="s">
        <v>2751</v>
      </c>
      <c r="C2280" t="s">
        <v>1011</v>
      </c>
      <c r="D2280" t="str">
        <f t="shared" si="75"/>
        <v/>
      </c>
      <c r="E2280" t="str">
        <f t="shared" si="76"/>
        <v>you win again</v>
      </c>
      <c r="F2280" t="s">
        <v>7793</v>
      </c>
      <c r="G2280" t="str">
        <f>_xlfn.IFNA(VLOOKUP(F2280,songs!$B$1:$C$1539, 2, FALSE),"")</f>
        <v>You Win Again</v>
      </c>
      <c r="H2280" t="s">
        <v>1011</v>
      </c>
    </row>
    <row r="2281" spans="1:8" x14ac:dyDescent="0.25">
      <c r="A2281">
        <v>2291</v>
      </c>
      <c r="B2281" t="s">
        <v>2766</v>
      </c>
      <c r="C2281" t="s">
        <v>57</v>
      </c>
      <c r="D2281" t="str">
        <f t="shared" si="75"/>
        <v/>
      </c>
      <c r="E2281" t="str">
        <f t="shared" si="76"/>
        <v>dancing in the street</v>
      </c>
      <c r="F2281" t="s">
        <v>5418</v>
      </c>
      <c r="G2281" t="str">
        <f>_xlfn.IFNA(VLOOKUP(F2281,songs!$B$1:$C$1539, 2, FALSE),"")</f>
        <v>Dancin' In The Streets</v>
      </c>
      <c r="H2281" t="s">
        <v>7867</v>
      </c>
    </row>
    <row r="2282" spans="1:8" x14ac:dyDescent="0.25">
      <c r="A2282">
        <v>2294</v>
      </c>
      <c r="B2282" t="s">
        <v>2769</v>
      </c>
      <c r="C2282" t="s">
        <v>615</v>
      </c>
      <c r="D2282" t="str">
        <f t="shared" si="75"/>
        <v/>
      </c>
      <c r="E2282" t="str">
        <f t="shared" si="76"/>
        <v>brown-eyed women</v>
      </c>
      <c r="F2282" t="s">
        <v>5255</v>
      </c>
      <c r="G2282" t="str">
        <f>_xlfn.IFNA(VLOOKUP(F2282,songs!$B$1:$C$1539, 2, FALSE),"")</f>
        <v>Brown Eyed Women</v>
      </c>
      <c r="H2282" t="s">
        <v>7867</v>
      </c>
    </row>
    <row r="2283" spans="1:8" x14ac:dyDescent="0.25">
      <c r="A2283">
        <v>2282</v>
      </c>
      <c r="B2283" t="s">
        <v>2755</v>
      </c>
      <c r="C2283" t="s">
        <v>34</v>
      </c>
      <c r="D2283" t="str">
        <f t="shared" si="75"/>
        <v/>
      </c>
      <c r="E2283" t="str">
        <f t="shared" si="76"/>
        <v>not fade away</v>
      </c>
      <c r="F2283" t="s">
        <v>6651</v>
      </c>
      <c r="G2283" t="str">
        <f>_xlfn.IFNA(VLOOKUP(F2283,songs!$B$1:$C$1539, 2, FALSE),"")</f>
        <v>Not Fade Away</v>
      </c>
      <c r="H2283" t="s">
        <v>34</v>
      </c>
    </row>
    <row r="2284" spans="1:8" x14ac:dyDescent="0.25">
      <c r="A2284">
        <v>2302</v>
      </c>
      <c r="B2284" t="s">
        <v>2778</v>
      </c>
      <c r="C2284" t="s">
        <v>36</v>
      </c>
      <c r="D2284" t="str">
        <f t="shared" si="75"/>
        <v/>
      </c>
      <c r="E2284" t="str">
        <f t="shared" si="76"/>
        <v>goin' down the road feeling bad</v>
      </c>
      <c r="F2284" t="s">
        <v>5783</v>
      </c>
      <c r="G2284" t="str">
        <f>_xlfn.IFNA(VLOOKUP(F2284,songs!$B$1:$C$1539, 2, FALSE),"")</f>
        <v>Goin' Down The Road Feelin' Bad</v>
      </c>
      <c r="H2284" t="s">
        <v>7867</v>
      </c>
    </row>
    <row r="2285" spans="1:8" x14ac:dyDescent="0.25">
      <c r="A2285">
        <v>2284</v>
      </c>
      <c r="B2285" t="s">
        <v>2757</v>
      </c>
      <c r="C2285" t="s">
        <v>701</v>
      </c>
      <c r="D2285" t="str">
        <f t="shared" si="75"/>
        <v/>
      </c>
      <c r="E2285" t="str">
        <f t="shared" si="76"/>
        <v>hurts me too</v>
      </c>
      <c r="F2285" t="s">
        <v>5979</v>
      </c>
      <c r="G2285" t="str">
        <f>_xlfn.IFNA(VLOOKUP(F2285,songs!$B$1:$C$1539, 2, FALSE),"")</f>
        <v>Hurts Me Too</v>
      </c>
      <c r="H2285" t="s">
        <v>701</v>
      </c>
    </row>
    <row r="2286" spans="1:8" x14ac:dyDescent="0.25">
      <c r="A2286">
        <v>2285</v>
      </c>
      <c r="B2286" t="s">
        <v>2758</v>
      </c>
      <c r="C2286" t="s">
        <v>242</v>
      </c>
      <c r="D2286" t="str">
        <f t="shared" si="75"/>
        <v/>
      </c>
      <c r="E2286" t="str">
        <f t="shared" si="76"/>
        <v>good lovin'</v>
      </c>
      <c r="F2286" t="s">
        <v>5810</v>
      </c>
      <c r="G2286" t="str">
        <f>_xlfn.IFNA(VLOOKUP(F2286,songs!$B$1:$C$1539, 2, FALSE),"")</f>
        <v>Good Lovin'</v>
      </c>
      <c r="H2286" t="s">
        <v>242</v>
      </c>
    </row>
    <row r="2287" spans="1:8" x14ac:dyDescent="0.25">
      <c r="A2287">
        <v>2303</v>
      </c>
      <c r="B2287" t="s">
        <v>2779</v>
      </c>
      <c r="C2287" t="s">
        <v>1090</v>
      </c>
      <c r="D2287" t="str">
        <f t="shared" si="75"/>
        <v/>
      </c>
      <c r="E2287" t="str">
        <f t="shared" si="76"/>
        <v>man smart, woman smarter</v>
      </c>
      <c r="F2287" t="s">
        <v>6459</v>
      </c>
      <c r="G2287" t="str">
        <f>_xlfn.IFNA(VLOOKUP(F2287,songs!$B$1:$C$1539, 2, FALSE),"")</f>
        <v>Man Smart (Woman Smarter)</v>
      </c>
      <c r="H2287" t="s">
        <v>7867</v>
      </c>
    </row>
    <row r="2288" spans="1:8" x14ac:dyDescent="0.25">
      <c r="A2288">
        <v>2312</v>
      </c>
      <c r="B2288" t="s">
        <v>2788</v>
      </c>
      <c r="C2288" t="s">
        <v>168</v>
      </c>
      <c r="D2288" t="str">
        <f t="shared" si="75"/>
        <v/>
      </c>
      <c r="E2288" t="str">
        <f t="shared" si="76"/>
        <v>keep your day job</v>
      </c>
      <c r="F2288" t="s">
        <v>5447</v>
      </c>
      <c r="G2288" t="str">
        <f>_xlfn.IFNA(VLOOKUP(F2288,songs!$B$1:$C$1539, 2, FALSE),"")</f>
        <v>Day Job</v>
      </c>
      <c r="H2288" t="s">
        <v>7867</v>
      </c>
    </row>
    <row r="2289" spans="1:8" x14ac:dyDescent="0.25">
      <c r="A2289">
        <v>2313</v>
      </c>
      <c r="B2289" t="s">
        <v>2789</v>
      </c>
      <c r="C2289" t="s">
        <v>2790</v>
      </c>
      <c r="D2289" t="str">
        <f t="shared" si="75"/>
        <v/>
      </c>
      <c r="E2289" t="str">
        <f t="shared" si="76"/>
        <v>gimme some lovin</v>
      </c>
      <c r="F2289" t="s">
        <v>5766</v>
      </c>
      <c r="G2289" t="str">
        <f>_xlfn.IFNA(VLOOKUP(F2289,songs!$B$1:$C$1539, 2, FALSE),"")</f>
        <v>Gimme Some Lovin'</v>
      </c>
      <c r="H2289" t="s">
        <v>7867</v>
      </c>
    </row>
    <row r="2290" spans="1:8" x14ac:dyDescent="0.25">
      <c r="A2290">
        <v>2315</v>
      </c>
      <c r="B2290" t="s">
        <v>2792</v>
      </c>
      <c r="C2290" t="s">
        <v>122</v>
      </c>
      <c r="D2290" t="str">
        <f t="shared" si="75"/>
        <v/>
      </c>
      <c r="E2290" t="str">
        <f t="shared" si="76"/>
        <v>new minglewood blues</v>
      </c>
      <c r="F2290" t="s">
        <v>7869</v>
      </c>
      <c r="G2290" t="str">
        <f>_xlfn.IFNA(VLOOKUP(F2290,songs!$B$1:$C$1539, 2, FALSE),"")</f>
        <v>Minglewood Blues</v>
      </c>
      <c r="H2290" t="s">
        <v>7867</v>
      </c>
    </row>
    <row r="2291" spans="1:8" x14ac:dyDescent="0.25">
      <c r="A2291">
        <v>2290</v>
      </c>
      <c r="B2291" t="s">
        <v>2765</v>
      </c>
      <c r="C2291" t="s">
        <v>507</v>
      </c>
      <c r="D2291" t="str">
        <f t="shared" si="75"/>
        <v/>
      </c>
      <c r="E2291" t="str">
        <f t="shared" si="76"/>
        <v>turn on your lovelight</v>
      </c>
      <c r="F2291" t="s">
        <v>7447</v>
      </c>
      <c r="G2291" t="str">
        <f>_xlfn.IFNA(VLOOKUP(F2291,songs!$B$1:$C$1539, 2, FALSE),"")</f>
        <v>Turn On Your Lovelight</v>
      </c>
      <c r="H2291" t="s">
        <v>507</v>
      </c>
    </row>
    <row r="2292" spans="1:8" x14ac:dyDescent="0.25">
      <c r="A2292">
        <v>2338</v>
      </c>
      <c r="B2292" t="s">
        <v>2817</v>
      </c>
      <c r="C2292" t="s">
        <v>1275</v>
      </c>
      <c r="D2292" t="str">
        <f t="shared" si="75"/>
        <v/>
      </c>
      <c r="E2292" t="str">
        <f t="shared" si="76"/>
        <v>lazy lightning ]</v>
      </c>
      <c r="F2292" t="s">
        <v>6293</v>
      </c>
      <c r="G2292" t="str">
        <f>_xlfn.IFNA(VLOOKUP(F2292,songs!$B$1:$C$1539, 2, FALSE),"")</f>
        <v>Lazy Lightning</v>
      </c>
      <c r="H2292" t="s">
        <v>7867</v>
      </c>
    </row>
    <row r="2293" spans="1:8" x14ac:dyDescent="0.25">
      <c r="A2293">
        <v>2292</v>
      </c>
      <c r="B2293" t="s">
        <v>2767</v>
      </c>
      <c r="C2293" t="s">
        <v>298</v>
      </c>
      <c r="D2293" t="str">
        <f t="shared" si="75"/>
        <v/>
      </c>
      <c r="E2293" t="str">
        <f t="shared" si="76"/>
        <v>bertha</v>
      </c>
      <c r="F2293" t="s">
        <v>5158</v>
      </c>
      <c r="G2293" t="str">
        <f>_xlfn.IFNA(VLOOKUP(F2293,songs!$B$1:$C$1539, 2, FALSE),"")</f>
        <v>Bertha</v>
      </c>
      <c r="H2293" t="s">
        <v>298</v>
      </c>
    </row>
    <row r="2294" spans="1:8" x14ac:dyDescent="0.25">
      <c r="A2294">
        <v>2293</v>
      </c>
      <c r="B2294" t="s">
        <v>2768</v>
      </c>
      <c r="C2294" t="s">
        <v>255</v>
      </c>
      <c r="D2294" t="str">
        <f t="shared" si="75"/>
        <v/>
      </c>
      <c r="E2294" t="str">
        <f t="shared" si="76"/>
        <v>little red rooster</v>
      </c>
      <c r="F2294" t="s">
        <v>6360</v>
      </c>
      <c r="G2294" t="str">
        <f>_xlfn.IFNA(VLOOKUP(F2294,songs!$B$1:$C$1539, 2, FALSE),"")</f>
        <v>Little Red Rooster</v>
      </c>
      <c r="H2294" t="s">
        <v>255</v>
      </c>
    </row>
    <row r="2295" spans="1:8" x14ac:dyDescent="0.25">
      <c r="A2295">
        <v>2349</v>
      </c>
      <c r="B2295" t="s">
        <v>2829</v>
      </c>
      <c r="C2295" t="s">
        <v>2830</v>
      </c>
      <c r="D2295" t="str">
        <f t="shared" si="75"/>
        <v/>
      </c>
      <c r="E2295" t="str">
        <f t="shared" si="76"/>
        <v>eyes of the world ]</v>
      </c>
      <c r="F2295" t="s">
        <v>5633</v>
      </c>
      <c r="G2295" t="str">
        <f>_xlfn.IFNA(VLOOKUP(F2295,songs!$B$1:$C$1539, 2, FALSE),"")</f>
        <v>Eyes Of The World</v>
      </c>
      <c r="H2295" t="s">
        <v>7867</v>
      </c>
    </row>
    <row r="2296" spans="1:8" x14ac:dyDescent="0.25">
      <c r="A2296">
        <v>2295</v>
      </c>
      <c r="B2296" t="s">
        <v>2770</v>
      </c>
      <c r="C2296" t="s">
        <v>2201</v>
      </c>
      <c r="D2296" t="str">
        <f t="shared" si="75"/>
        <v/>
      </c>
      <c r="E2296" t="str">
        <f t="shared" si="76"/>
        <v>my brother esau</v>
      </c>
      <c r="F2296" t="s">
        <v>6590</v>
      </c>
      <c r="G2296" t="str">
        <f>_xlfn.IFNA(VLOOKUP(F2296,songs!$B$1:$C$1539, 2, FALSE),"")</f>
        <v>My Brother Esau</v>
      </c>
      <c r="H2296" t="s">
        <v>2201</v>
      </c>
    </row>
    <row r="2297" spans="1:8" x14ac:dyDescent="0.25">
      <c r="A2297">
        <v>2296</v>
      </c>
      <c r="B2297" t="s">
        <v>2771</v>
      </c>
      <c r="C2297" t="s">
        <v>436</v>
      </c>
      <c r="D2297" t="str">
        <f t="shared" si="75"/>
        <v/>
      </c>
      <c r="E2297" t="str">
        <f t="shared" si="76"/>
        <v>ramble on rose</v>
      </c>
      <c r="F2297" t="s">
        <v>6827</v>
      </c>
      <c r="G2297" t="str">
        <f>_xlfn.IFNA(VLOOKUP(F2297,songs!$B$1:$C$1539, 2, FALSE),"")</f>
        <v>Ramble On Rose</v>
      </c>
      <c r="H2297" t="s">
        <v>436</v>
      </c>
    </row>
    <row r="2298" spans="1:8" x14ac:dyDescent="0.25">
      <c r="A2298">
        <v>2297</v>
      </c>
      <c r="B2298" t="s">
        <v>2772</v>
      </c>
      <c r="C2298" t="s">
        <v>2773</v>
      </c>
      <c r="D2298" t="str">
        <f t="shared" si="75"/>
        <v/>
      </c>
      <c r="E2298" t="str">
        <f t="shared" si="76"/>
        <v>just like tom thumb's blues</v>
      </c>
      <c r="F2298" t="s">
        <v>6218</v>
      </c>
      <c r="G2298" t="str">
        <f>_xlfn.IFNA(VLOOKUP(F2298,songs!$B$1:$C$1539, 2, FALSE),"")</f>
        <v>Just Like Tom Thumb's Blues</v>
      </c>
      <c r="H2298" t="s">
        <v>2773</v>
      </c>
    </row>
    <row r="2299" spans="1:8" x14ac:dyDescent="0.25">
      <c r="A2299">
        <v>2298</v>
      </c>
      <c r="B2299" t="s">
        <v>2774</v>
      </c>
      <c r="C2299" t="s">
        <v>113</v>
      </c>
      <c r="D2299" t="str">
        <f t="shared" si="75"/>
        <v/>
      </c>
      <c r="E2299" t="str">
        <f t="shared" si="76"/>
        <v>cold rain and snow</v>
      </c>
      <c r="F2299" t="s">
        <v>5347</v>
      </c>
      <c r="G2299" t="str">
        <f>_xlfn.IFNA(VLOOKUP(F2299,songs!$B$1:$C$1539, 2, FALSE),"")</f>
        <v>Cold Rain And Snow</v>
      </c>
      <c r="H2299" t="s">
        <v>429</v>
      </c>
    </row>
    <row r="2300" spans="1:8" x14ac:dyDescent="0.25">
      <c r="A2300">
        <v>2299</v>
      </c>
      <c r="B2300" t="s">
        <v>2775</v>
      </c>
      <c r="C2300" t="s">
        <v>49</v>
      </c>
      <c r="D2300" t="str">
        <f t="shared" si="75"/>
        <v/>
      </c>
      <c r="E2300" t="str">
        <f t="shared" si="76"/>
        <v>the music never stopped</v>
      </c>
      <c r="F2300" t="s">
        <v>7316</v>
      </c>
      <c r="G2300" t="str">
        <f>_xlfn.IFNA(VLOOKUP(F2300,songs!$B$1:$C$1539, 2, FALSE),"")</f>
        <v>The Music Never Stopped</v>
      </c>
      <c r="H2300" t="s">
        <v>49</v>
      </c>
    </row>
    <row r="2301" spans="1:8" x14ac:dyDescent="0.25">
      <c r="A2301">
        <v>2300</v>
      </c>
      <c r="B2301" t="s">
        <v>2776</v>
      </c>
      <c r="C2301" t="s">
        <v>170</v>
      </c>
      <c r="D2301" t="str">
        <f t="shared" si="75"/>
        <v/>
      </c>
      <c r="E2301" t="str">
        <f t="shared" si="76"/>
        <v>scarlet begonias</v>
      </c>
      <c r="F2301" t="s">
        <v>6944</v>
      </c>
      <c r="G2301" t="str">
        <f>_xlfn.IFNA(VLOOKUP(F2301,songs!$B$1:$C$1539, 2, FALSE),"")</f>
        <v>Scarlet Begonias</v>
      </c>
      <c r="H2301" t="s">
        <v>170</v>
      </c>
    </row>
    <row r="2302" spans="1:8" x14ac:dyDescent="0.25">
      <c r="A2302">
        <v>2301</v>
      </c>
      <c r="B2302" t="s">
        <v>2777</v>
      </c>
      <c r="C2302" t="s">
        <v>71</v>
      </c>
      <c r="D2302" t="str">
        <f t="shared" si="75"/>
        <v/>
      </c>
      <c r="E2302" t="str">
        <f t="shared" si="76"/>
        <v>eyes of the world</v>
      </c>
      <c r="F2302" t="s">
        <v>5633</v>
      </c>
      <c r="G2302" t="str">
        <f>_xlfn.IFNA(VLOOKUP(F2302,songs!$B$1:$C$1539, 2, FALSE),"")</f>
        <v>Eyes Of The World</v>
      </c>
      <c r="H2302" t="s">
        <v>471</v>
      </c>
    </row>
    <row r="2303" spans="1:8" x14ac:dyDescent="0.25">
      <c r="A2303">
        <v>2350</v>
      </c>
      <c r="B2303" t="s">
        <v>2831</v>
      </c>
      <c r="C2303" t="s">
        <v>2832</v>
      </c>
      <c r="D2303" t="str">
        <f t="shared" si="75"/>
        <v/>
      </c>
      <c r="E2303" t="str">
        <f t="shared" si="76"/>
        <v>space ]</v>
      </c>
      <c r="F2303" t="s">
        <v>7091</v>
      </c>
      <c r="G2303" t="str">
        <f>_xlfn.IFNA(VLOOKUP(F2303,songs!$B$1:$C$1539, 2, FALSE),"")</f>
        <v>Space</v>
      </c>
      <c r="H2303" t="s">
        <v>7867</v>
      </c>
    </row>
    <row r="2304" spans="1:8" x14ac:dyDescent="0.25">
      <c r="A2304">
        <v>2351</v>
      </c>
      <c r="B2304" t="s">
        <v>2833</v>
      </c>
      <c r="C2304" t="s">
        <v>1290</v>
      </c>
      <c r="D2304" t="str">
        <f t="shared" si="75"/>
        <v/>
      </c>
      <c r="E2304" t="str">
        <f t="shared" si="76"/>
        <v>wharf rat ]</v>
      </c>
      <c r="F2304" t="s">
        <v>7664</v>
      </c>
      <c r="G2304" t="str">
        <f>_xlfn.IFNA(VLOOKUP(F2304,songs!$B$1:$C$1539, 2, FALSE),"")</f>
        <v>Wharf Rat</v>
      </c>
      <c r="H2304" t="s">
        <v>7867</v>
      </c>
    </row>
    <row r="2305" spans="1:8" x14ac:dyDescent="0.25">
      <c r="A2305">
        <v>2304</v>
      </c>
      <c r="B2305" t="s">
        <v>2780</v>
      </c>
      <c r="C2305" t="s">
        <v>100</v>
      </c>
      <c r="D2305" t="str">
        <f t="shared" si="75"/>
        <v/>
      </c>
      <c r="E2305" t="str">
        <f t="shared" si="76"/>
        <v>drums</v>
      </c>
      <c r="F2305" t="s">
        <v>5568</v>
      </c>
      <c r="G2305" t="str">
        <f>_xlfn.IFNA(VLOOKUP(F2305,songs!$B$1:$C$1539, 2, FALSE),"")</f>
        <v>Drums</v>
      </c>
      <c r="H2305" t="s">
        <v>100</v>
      </c>
    </row>
    <row r="2306" spans="1:8" x14ac:dyDescent="0.25">
      <c r="A2306">
        <v>2305</v>
      </c>
      <c r="B2306" t="s">
        <v>2781</v>
      </c>
      <c r="C2306" t="s">
        <v>277</v>
      </c>
      <c r="D2306" t="str">
        <f t="shared" si="75"/>
        <v/>
      </c>
      <c r="E2306" t="str">
        <f t="shared" si="76"/>
        <v>space</v>
      </c>
      <c r="F2306" t="s">
        <v>7091</v>
      </c>
      <c r="G2306" t="str">
        <f>_xlfn.IFNA(VLOOKUP(F2306,songs!$B$1:$C$1539, 2, FALSE),"")</f>
        <v>Space</v>
      </c>
      <c r="H2306" t="s">
        <v>277</v>
      </c>
    </row>
    <row r="2307" spans="1:8" x14ac:dyDescent="0.25">
      <c r="A2307">
        <v>2306</v>
      </c>
      <c r="B2307" t="s">
        <v>2782</v>
      </c>
      <c r="C2307" t="s">
        <v>567</v>
      </c>
      <c r="D2307" t="str">
        <f t="shared" ref="D2307:D2353" si="77">IF(RIGHT(TRIM(C2307),2)="-&gt;","&gt;",IF(RIGHT(TRIM(C2307),1)="&gt;","&gt;",""))</f>
        <v/>
      </c>
      <c r="E2307" t="str">
        <f t="shared" si="76"/>
        <v>the wheel</v>
      </c>
      <c r="F2307" t="s">
        <v>7343</v>
      </c>
      <c r="G2307" t="str">
        <f>_xlfn.IFNA(VLOOKUP(F2307,songs!$B$1:$C$1539, 2, FALSE),"")</f>
        <v>The Wheel</v>
      </c>
      <c r="H2307" t="s">
        <v>567</v>
      </c>
    </row>
    <row r="2308" spans="1:8" x14ac:dyDescent="0.25">
      <c r="A2308">
        <v>2307</v>
      </c>
      <c r="B2308" t="s">
        <v>2783</v>
      </c>
      <c r="C2308" t="s">
        <v>15</v>
      </c>
      <c r="D2308" t="str">
        <f t="shared" si="77"/>
        <v/>
      </c>
      <c r="E2308" t="str">
        <f t="shared" ref="E2308:E2371" si="78">LOWER(TRIM(SUBSTITUTE(IF(RIGHT(TRIM(C2308),2)="-&gt;",LEFT(TRIM(C2308),LEN(TRIM(C2308))-2),IF(RIGHT(TRIM(C2308),1)="&gt;",LEFT(TRIM(C2308),LEN(TRIM(C2308))-1),C2308)),"//","")))</f>
        <v>truckin'</v>
      </c>
      <c r="F2308" t="s">
        <v>7436</v>
      </c>
      <c r="G2308" t="str">
        <f>_xlfn.IFNA(VLOOKUP(F2308,songs!$B$1:$C$1539, 2, FALSE),"")</f>
        <v>Truckin'</v>
      </c>
      <c r="H2308" t="s">
        <v>15</v>
      </c>
    </row>
    <row r="2309" spans="1:8" x14ac:dyDescent="0.25">
      <c r="A2309">
        <v>2308</v>
      </c>
      <c r="B2309" t="s">
        <v>2784</v>
      </c>
      <c r="C2309" t="s">
        <v>139</v>
      </c>
      <c r="D2309" t="str">
        <f t="shared" si="77"/>
        <v/>
      </c>
      <c r="E2309" t="str">
        <f t="shared" si="78"/>
        <v>the other one</v>
      </c>
      <c r="F2309" t="s">
        <v>7325</v>
      </c>
      <c r="G2309" t="str">
        <f>_xlfn.IFNA(VLOOKUP(F2309,songs!$B$1:$C$1539, 2, FALSE),"")</f>
        <v>The Other One</v>
      </c>
      <c r="H2309" t="s">
        <v>139</v>
      </c>
    </row>
    <row r="2310" spans="1:8" x14ac:dyDescent="0.25">
      <c r="A2310">
        <v>2309</v>
      </c>
      <c r="B2310" t="s">
        <v>2785</v>
      </c>
      <c r="C2310" t="s">
        <v>221</v>
      </c>
      <c r="D2310" t="str">
        <f t="shared" si="77"/>
        <v/>
      </c>
      <c r="E2310" t="str">
        <f t="shared" si="78"/>
        <v>black peter</v>
      </c>
      <c r="F2310" t="s">
        <v>5190</v>
      </c>
      <c r="G2310" t="str">
        <f>_xlfn.IFNA(VLOOKUP(F2310,songs!$B$1:$C$1539, 2, FALSE),"")</f>
        <v>Black Peter</v>
      </c>
      <c r="H2310" t="s">
        <v>221</v>
      </c>
    </row>
    <row r="2311" spans="1:8" x14ac:dyDescent="0.25">
      <c r="A2311">
        <v>2310</v>
      </c>
      <c r="B2311" t="s">
        <v>2786</v>
      </c>
      <c r="C2311" t="s">
        <v>26</v>
      </c>
      <c r="D2311" t="str">
        <f t="shared" si="77"/>
        <v/>
      </c>
      <c r="E2311" t="str">
        <f t="shared" si="78"/>
        <v>around and around</v>
      </c>
      <c r="F2311" t="s">
        <v>5103</v>
      </c>
      <c r="G2311" t="str">
        <f>_xlfn.IFNA(VLOOKUP(F2311,songs!$B$1:$C$1539, 2, FALSE),"")</f>
        <v>Around And Around</v>
      </c>
      <c r="H2311" t="s">
        <v>579</v>
      </c>
    </row>
    <row r="2312" spans="1:8" x14ac:dyDescent="0.25">
      <c r="A2312">
        <v>2311</v>
      </c>
      <c r="B2312" t="s">
        <v>2787</v>
      </c>
      <c r="C2312" t="s">
        <v>956</v>
      </c>
      <c r="D2312" t="str">
        <f t="shared" si="77"/>
        <v/>
      </c>
      <c r="E2312" t="str">
        <f t="shared" si="78"/>
        <v>one more saturday night</v>
      </c>
      <c r="F2312" t="s">
        <v>6702</v>
      </c>
      <c r="G2312" t="str">
        <f>_xlfn.IFNA(VLOOKUP(F2312,songs!$B$1:$C$1539, 2, FALSE),"")</f>
        <v>One More Saturday Night</v>
      </c>
      <c r="H2312" t="s">
        <v>956</v>
      </c>
    </row>
    <row r="2313" spans="1:8" x14ac:dyDescent="0.25">
      <c r="A2313">
        <v>2352</v>
      </c>
      <c r="B2313" t="s">
        <v>2834</v>
      </c>
      <c r="C2313" t="s">
        <v>2007</v>
      </c>
      <c r="D2313" t="str">
        <f t="shared" si="77"/>
        <v/>
      </c>
      <c r="E2313" t="str">
        <f t="shared" si="78"/>
        <v>drums ]</v>
      </c>
      <c r="F2313" t="s">
        <v>5568</v>
      </c>
      <c r="G2313" t="str">
        <f>_xlfn.IFNA(VLOOKUP(F2313,songs!$B$1:$C$1539, 2, FALSE),"")</f>
        <v>Drums</v>
      </c>
      <c r="H2313" t="s">
        <v>7867</v>
      </c>
    </row>
    <row r="2314" spans="1:8" x14ac:dyDescent="0.25">
      <c r="A2314">
        <v>2353</v>
      </c>
      <c r="B2314" t="s">
        <v>2835</v>
      </c>
      <c r="C2314" t="s">
        <v>2836</v>
      </c>
      <c r="D2314" t="str">
        <f t="shared" si="77"/>
        <v/>
      </c>
      <c r="E2314" t="str">
        <f t="shared" si="78"/>
        <v>not fade away ]</v>
      </c>
      <c r="F2314" t="s">
        <v>6651</v>
      </c>
      <c r="G2314" t="str">
        <f>_xlfn.IFNA(VLOOKUP(F2314,songs!$B$1:$C$1539, 2, FALSE),"")</f>
        <v>Not Fade Away</v>
      </c>
      <c r="H2314" t="s">
        <v>7867</v>
      </c>
    </row>
    <row r="2315" spans="1:8" x14ac:dyDescent="0.25">
      <c r="A2315">
        <v>2314</v>
      </c>
      <c r="B2315" t="s">
        <v>2791</v>
      </c>
      <c r="C2315" t="s">
        <v>458</v>
      </c>
      <c r="D2315" t="str">
        <f t="shared" si="77"/>
        <v/>
      </c>
      <c r="E2315" t="str">
        <f t="shared" si="78"/>
        <v>mississippi half-step uptown toodeloo</v>
      </c>
      <c r="F2315" t="s">
        <v>6531</v>
      </c>
      <c r="G2315" t="str">
        <f>_xlfn.IFNA(VLOOKUP(F2315,songs!$B$1:$C$1539, 2, FALSE),"")</f>
        <v>Mississippi Half-Step Uptown Toodeloo</v>
      </c>
      <c r="H2315" t="s">
        <v>458</v>
      </c>
    </row>
    <row r="2316" spans="1:8" x14ac:dyDescent="0.25">
      <c r="A2316">
        <v>2357</v>
      </c>
      <c r="B2316" t="s">
        <v>2840</v>
      </c>
      <c r="C2316" t="s">
        <v>2841</v>
      </c>
      <c r="D2316" t="str">
        <f t="shared" si="77"/>
        <v/>
      </c>
      <c r="E2316" t="str">
        <f t="shared" si="78"/>
        <v>mississippi half-step uptown toodeloo ]</v>
      </c>
      <c r="F2316" t="s">
        <v>6531</v>
      </c>
      <c r="G2316" t="str">
        <f>_xlfn.IFNA(VLOOKUP(F2316,songs!$B$1:$C$1539, 2, FALSE),"")</f>
        <v>Mississippi Half-Step Uptown Toodeloo</v>
      </c>
      <c r="H2316" t="s">
        <v>7867</v>
      </c>
    </row>
    <row r="2317" spans="1:8" x14ac:dyDescent="0.25">
      <c r="A2317">
        <v>2316</v>
      </c>
      <c r="B2317" t="s">
        <v>2793</v>
      </c>
      <c r="C2317" t="s">
        <v>323</v>
      </c>
      <c r="D2317" t="str">
        <f t="shared" si="77"/>
        <v/>
      </c>
      <c r="E2317" t="str">
        <f t="shared" si="78"/>
        <v>bird song</v>
      </c>
      <c r="F2317" t="s">
        <v>5184</v>
      </c>
      <c r="G2317" t="str">
        <f>_xlfn.IFNA(VLOOKUP(F2317,songs!$B$1:$C$1539, 2, FALSE),"")</f>
        <v>Bird Song</v>
      </c>
      <c r="H2317" t="s">
        <v>323</v>
      </c>
    </row>
    <row r="2318" spans="1:8" x14ac:dyDescent="0.25">
      <c r="A2318">
        <v>2317</v>
      </c>
      <c r="B2318" t="s">
        <v>2794</v>
      </c>
      <c r="C2318" t="s">
        <v>2795</v>
      </c>
      <c r="D2318" t="str">
        <f t="shared" si="77"/>
        <v/>
      </c>
      <c r="E2318" t="str">
        <f t="shared" si="78"/>
        <v>tons of steel</v>
      </c>
      <c r="F2318" t="s">
        <v>7414</v>
      </c>
      <c r="G2318" t="str">
        <f>_xlfn.IFNA(VLOOKUP(F2318,songs!$B$1:$C$1539, 2, FALSE),"")</f>
        <v>Tons Of Steel</v>
      </c>
      <c r="H2318" t="s">
        <v>4275</v>
      </c>
    </row>
    <row r="2319" spans="1:8" x14ac:dyDescent="0.25">
      <c r="A2319">
        <v>2318</v>
      </c>
      <c r="B2319" t="s">
        <v>2796</v>
      </c>
      <c r="C2319" t="s">
        <v>84</v>
      </c>
      <c r="D2319" t="str">
        <f t="shared" si="77"/>
        <v/>
      </c>
      <c r="E2319" t="str">
        <f t="shared" si="78"/>
        <v>china cat sunflower</v>
      </c>
      <c r="F2319" t="s">
        <v>5319</v>
      </c>
      <c r="G2319" t="str">
        <f>_xlfn.IFNA(VLOOKUP(F2319,songs!$B$1:$C$1539, 2, FALSE),"")</f>
        <v>China Cat Sunflower</v>
      </c>
      <c r="H2319" t="s">
        <v>84</v>
      </c>
    </row>
    <row r="2320" spans="1:8" x14ac:dyDescent="0.25">
      <c r="A2320">
        <v>2319</v>
      </c>
      <c r="B2320" t="s">
        <v>2797</v>
      </c>
      <c r="C2320" t="s">
        <v>86</v>
      </c>
      <c r="D2320" t="str">
        <f t="shared" si="77"/>
        <v/>
      </c>
      <c r="E2320" t="str">
        <f t="shared" si="78"/>
        <v>i know you rider</v>
      </c>
      <c r="F2320" t="s">
        <v>6020</v>
      </c>
      <c r="G2320" t="str">
        <f>_xlfn.IFNA(VLOOKUP(F2320,songs!$B$1:$C$1539, 2, FALSE),"")</f>
        <v>I Know You Rider</v>
      </c>
      <c r="H2320" t="s">
        <v>86</v>
      </c>
    </row>
    <row r="2321" spans="1:8" x14ac:dyDescent="0.25">
      <c r="A2321">
        <v>2320</v>
      </c>
      <c r="B2321" t="s">
        <v>2798</v>
      </c>
      <c r="C2321" t="s">
        <v>183</v>
      </c>
      <c r="D2321" t="str">
        <f t="shared" si="77"/>
        <v/>
      </c>
      <c r="E2321" t="str">
        <f t="shared" si="78"/>
        <v>u.s. blues</v>
      </c>
      <c r="F2321" t="s">
        <v>7464</v>
      </c>
      <c r="G2321" t="str">
        <f>_xlfn.IFNA(VLOOKUP(F2321,songs!$B$1:$C$1539, 2, FALSE),"")</f>
        <v>U.S. Blues</v>
      </c>
      <c r="H2321" t="s">
        <v>183</v>
      </c>
    </row>
    <row r="2322" spans="1:8" x14ac:dyDescent="0.25">
      <c r="A2322">
        <v>2321</v>
      </c>
      <c r="B2322" t="s">
        <v>2799</v>
      </c>
      <c r="C2322" t="s">
        <v>2800</v>
      </c>
      <c r="D2322" t="str">
        <f t="shared" si="77"/>
        <v/>
      </c>
      <c r="E2322" t="str">
        <f t="shared" si="78"/>
        <v>she belongs to me</v>
      </c>
      <c r="F2322" t="s">
        <v>6975</v>
      </c>
      <c r="G2322" t="str">
        <f>_xlfn.IFNA(VLOOKUP(F2322,songs!$B$1:$C$1539, 2, FALSE),"")</f>
        <v>She Belongs To Me</v>
      </c>
      <c r="H2322" t="s">
        <v>6976</v>
      </c>
    </row>
    <row r="2323" spans="1:8" x14ac:dyDescent="0.25">
      <c r="A2323">
        <v>2322</v>
      </c>
      <c r="B2323" t="s">
        <v>2801</v>
      </c>
      <c r="C2323" t="s">
        <v>166</v>
      </c>
      <c r="D2323" t="str">
        <f t="shared" si="77"/>
        <v/>
      </c>
      <c r="E2323" t="str">
        <f t="shared" si="78"/>
        <v>hell in a bucket</v>
      </c>
      <c r="F2323" t="s">
        <v>5884</v>
      </c>
      <c r="G2323" t="str">
        <f>_xlfn.IFNA(VLOOKUP(F2323,songs!$B$1:$C$1539, 2, FALSE),"")</f>
        <v>Hell In A Bucket</v>
      </c>
      <c r="H2323" t="s">
        <v>4271</v>
      </c>
    </row>
    <row r="2324" spans="1:8" x14ac:dyDescent="0.25">
      <c r="A2324">
        <v>2323</v>
      </c>
      <c r="B2324" t="s">
        <v>2802</v>
      </c>
      <c r="C2324" t="s">
        <v>526</v>
      </c>
      <c r="D2324" t="str">
        <f t="shared" si="77"/>
        <v/>
      </c>
      <c r="E2324" t="str">
        <f t="shared" si="78"/>
        <v>crazy fingers</v>
      </c>
      <c r="F2324" t="s">
        <v>5390</v>
      </c>
      <c r="G2324" t="str">
        <f>_xlfn.IFNA(VLOOKUP(F2324,songs!$B$1:$C$1539, 2, FALSE),"")</f>
        <v>Crazy Fingers</v>
      </c>
      <c r="H2324" t="s">
        <v>526</v>
      </c>
    </row>
    <row r="2325" spans="1:8" x14ac:dyDescent="0.25">
      <c r="A2325">
        <v>2324</v>
      </c>
      <c r="B2325" t="s">
        <v>2803</v>
      </c>
      <c r="C2325" t="s">
        <v>11</v>
      </c>
      <c r="D2325" t="str">
        <f t="shared" si="77"/>
        <v/>
      </c>
      <c r="E2325" t="str">
        <f t="shared" si="78"/>
        <v>playing in the band</v>
      </c>
      <c r="F2325" t="s">
        <v>6769</v>
      </c>
      <c r="G2325" t="str">
        <f>_xlfn.IFNA(VLOOKUP(F2325,songs!$B$1:$C$1539, 2, FALSE),"")</f>
        <v>Playing In The Band</v>
      </c>
      <c r="H2325" t="s">
        <v>419</v>
      </c>
    </row>
    <row r="2326" spans="1:8" x14ac:dyDescent="0.25">
      <c r="A2326">
        <v>2325</v>
      </c>
      <c r="B2326" t="s">
        <v>2804</v>
      </c>
      <c r="C2326" t="s">
        <v>304</v>
      </c>
      <c r="D2326" t="str">
        <f t="shared" si="77"/>
        <v/>
      </c>
      <c r="E2326" t="str">
        <f t="shared" si="78"/>
        <v>china doll</v>
      </c>
      <c r="F2326" t="s">
        <v>5320</v>
      </c>
      <c r="G2326" t="str">
        <f>_xlfn.IFNA(VLOOKUP(F2326,songs!$B$1:$C$1539, 2, FALSE),"")</f>
        <v>China Doll</v>
      </c>
      <c r="H2326" t="s">
        <v>304</v>
      </c>
    </row>
    <row r="2327" spans="1:8" x14ac:dyDescent="0.25">
      <c r="A2327">
        <v>2326</v>
      </c>
      <c r="B2327" t="s">
        <v>2805</v>
      </c>
      <c r="C2327" t="s">
        <v>100</v>
      </c>
      <c r="D2327" t="str">
        <f t="shared" si="77"/>
        <v/>
      </c>
      <c r="E2327" t="str">
        <f t="shared" si="78"/>
        <v>drums</v>
      </c>
      <c r="F2327" t="s">
        <v>5568</v>
      </c>
      <c r="G2327" t="str">
        <f>_xlfn.IFNA(VLOOKUP(F2327,songs!$B$1:$C$1539, 2, FALSE),"")</f>
        <v>Drums</v>
      </c>
      <c r="H2327" t="s">
        <v>100</v>
      </c>
    </row>
    <row r="2328" spans="1:8" x14ac:dyDescent="0.25">
      <c r="A2328">
        <v>2327</v>
      </c>
      <c r="B2328" t="s">
        <v>2806</v>
      </c>
      <c r="C2328" t="s">
        <v>277</v>
      </c>
      <c r="D2328" t="str">
        <f t="shared" si="77"/>
        <v/>
      </c>
      <c r="E2328" t="str">
        <f t="shared" si="78"/>
        <v>space</v>
      </c>
      <c r="F2328" t="s">
        <v>7091</v>
      </c>
      <c r="G2328" t="str">
        <f>_xlfn.IFNA(VLOOKUP(F2328,songs!$B$1:$C$1539, 2, FALSE),"")</f>
        <v>Space</v>
      </c>
      <c r="H2328" t="s">
        <v>277</v>
      </c>
    </row>
    <row r="2329" spans="1:8" x14ac:dyDescent="0.25">
      <c r="A2329">
        <v>2328</v>
      </c>
      <c r="B2329" t="s">
        <v>2807</v>
      </c>
      <c r="C2329" t="s">
        <v>11</v>
      </c>
      <c r="D2329" t="str">
        <f t="shared" si="77"/>
        <v/>
      </c>
      <c r="E2329" t="str">
        <f t="shared" si="78"/>
        <v>playing in the band</v>
      </c>
      <c r="F2329" t="s">
        <v>6769</v>
      </c>
      <c r="G2329" t="str">
        <f>_xlfn.IFNA(VLOOKUP(F2329,songs!$B$1:$C$1539, 2, FALSE),"")</f>
        <v>Playing In The Band</v>
      </c>
      <c r="H2329" t="s">
        <v>419</v>
      </c>
    </row>
    <row r="2330" spans="1:8" x14ac:dyDescent="0.25">
      <c r="A2330">
        <v>2329</v>
      </c>
      <c r="B2330" t="s">
        <v>2808</v>
      </c>
      <c r="C2330" t="s">
        <v>73</v>
      </c>
      <c r="D2330" t="str">
        <f t="shared" si="77"/>
        <v/>
      </c>
      <c r="E2330" t="str">
        <f t="shared" si="78"/>
        <v>wharf rat</v>
      </c>
      <c r="F2330" t="s">
        <v>7664</v>
      </c>
      <c r="G2330" t="str">
        <f>_xlfn.IFNA(VLOOKUP(F2330,songs!$B$1:$C$1539, 2, FALSE),"")</f>
        <v>Wharf Rat</v>
      </c>
      <c r="H2330" t="s">
        <v>73</v>
      </c>
    </row>
    <row r="2331" spans="1:8" x14ac:dyDescent="0.25">
      <c r="A2331">
        <v>2330</v>
      </c>
      <c r="B2331" t="s">
        <v>2809</v>
      </c>
      <c r="C2331" t="s">
        <v>877</v>
      </c>
      <c r="D2331" t="str">
        <f t="shared" si="77"/>
        <v/>
      </c>
      <c r="E2331" t="str">
        <f t="shared" si="78"/>
        <v>throwing stones</v>
      </c>
      <c r="F2331" t="s">
        <v>7383</v>
      </c>
      <c r="G2331" t="str">
        <f>_xlfn.IFNA(VLOOKUP(F2331,songs!$B$1:$C$1539, 2, FALSE),"")</f>
        <v>Throwing Stones</v>
      </c>
      <c r="H2331" t="s">
        <v>877</v>
      </c>
    </row>
    <row r="2332" spans="1:8" x14ac:dyDescent="0.25">
      <c r="A2332">
        <v>2331</v>
      </c>
      <c r="B2332" t="s">
        <v>2810</v>
      </c>
      <c r="C2332" t="s">
        <v>34</v>
      </c>
      <c r="D2332" t="str">
        <f t="shared" si="77"/>
        <v/>
      </c>
      <c r="E2332" t="str">
        <f t="shared" si="78"/>
        <v>not fade away</v>
      </c>
      <c r="F2332" t="s">
        <v>6651</v>
      </c>
      <c r="G2332" t="str">
        <f>_xlfn.IFNA(VLOOKUP(F2332,songs!$B$1:$C$1539, 2, FALSE),"")</f>
        <v>Not Fade Away</v>
      </c>
      <c r="H2332" t="s">
        <v>34</v>
      </c>
    </row>
    <row r="2333" spans="1:8" x14ac:dyDescent="0.25">
      <c r="A2333">
        <v>2332</v>
      </c>
      <c r="B2333" t="s">
        <v>2811</v>
      </c>
      <c r="C2333" t="s">
        <v>130</v>
      </c>
      <c r="D2333" t="str">
        <f t="shared" si="77"/>
        <v/>
      </c>
      <c r="E2333" t="str">
        <f t="shared" si="78"/>
        <v>promised land</v>
      </c>
      <c r="F2333" t="s">
        <v>6797</v>
      </c>
      <c r="G2333" t="str">
        <f>_xlfn.IFNA(VLOOKUP(F2333,songs!$B$1:$C$1539, 2, FALSE),"")</f>
        <v>Promised Land</v>
      </c>
      <c r="H2333" t="s">
        <v>130</v>
      </c>
    </row>
    <row r="2334" spans="1:8" x14ac:dyDescent="0.25">
      <c r="A2334">
        <v>2333</v>
      </c>
      <c r="B2334" t="s">
        <v>2812</v>
      </c>
      <c r="C2334" t="s">
        <v>298</v>
      </c>
      <c r="D2334" t="str">
        <f t="shared" si="77"/>
        <v/>
      </c>
      <c r="E2334" t="str">
        <f t="shared" si="78"/>
        <v>bertha</v>
      </c>
      <c r="F2334" t="s">
        <v>5158</v>
      </c>
      <c r="G2334" t="str">
        <f>_xlfn.IFNA(VLOOKUP(F2334,songs!$B$1:$C$1539, 2, FALSE),"")</f>
        <v>Bertha</v>
      </c>
      <c r="H2334" t="s">
        <v>298</v>
      </c>
    </row>
    <row r="2335" spans="1:8" x14ac:dyDescent="0.25">
      <c r="A2335">
        <v>2334</v>
      </c>
      <c r="B2335" t="s">
        <v>2813</v>
      </c>
      <c r="C2335" t="s">
        <v>595</v>
      </c>
      <c r="D2335" t="str">
        <f t="shared" si="77"/>
        <v/>
      </c>
      <c r="E2335" t="str">
        <f t="shared" si="78"/>
        <v>me and my uncle</v>
      </c>
      <c r="F2335" t="s">
        <v>6486</v>
      </c>
      <c r="G2335" t="str">
        <f>_xlfn.IFNA(VLOOKUP(F2335,songs!$B$1:$C$1539, 2, FALSE),"")</f>
        <v>Me And My Uncle</v>
      </c>
      <c r="H2335" t="s">
        <v>903</v>
      </c>
    </row>
    <row r="2336" spans="1:8" x14ac:dyDescent="0.25">
      <c r="A2336">
        <v>2335</v>
      </c>
      <c r="B2336" t="s">
        <v>2814</v>
      </c>
      <c r="C2336" t="s">
        <v>461</v>
      </c>
      <c r="D2336" t="str">
        <f t="shared" si="77"/>
        <v/>
      </c>
      <c r="E2336" t="str">
        <f t="shared" si="78"/>
        <v>peggy-o</v>
      </c>
      <c r="F2336" t="s">
        <v>6749</v>
      </c>
      <c r="G2336" t="str">
        <f>_xlfn.IFNA(VLOOKUP(F2336,songs!$B$1:$C$1539, 2, FALSE),"")</f>
        <v>Peggy-O</v>
      </c>
      <c r="H2336" t="s">
        <v>461</v>
      </c>
    </row>
    <row r="2337" spans="1:8" x14ac:dyDescent="0.25">
      <c r="A2337">
        <v>2336</v>
      </c>
      <c r="B2337" t="s">
        <v>2815</v>
      </c>
      <c r="C2337" t="s">
        <v>199</v>
      </c>
      <c r="D2337" t="str">
        <f t="shared" si="77"/>
        <v/>
      </c>
      <c r="E2337" t="str">
        <f t="shared" si="78"/>
        <v>jack straw</v>
      </c>
      <c r="F2337" t="s">
        <v>6161</v>
      </c>
      <c r="G2337" t="str">
        <f>_xlfn.IFNA(VLOOKUP(F2337,songs!$B$1:$C$1539, 2, FALSE),"")</f>
        <v>Jack Straw</v>
      </c>
      <c r="H2337" t="s">
        <v>199</v>
      </c>
    </row>
    <row r="2338" spans="1:8" x14ac:dyDescent="0.25">
      <c r="A2338">
        <v>2337</v>
      </c>
      <c r="B2338" t="s">
        <v>2816</v>
      </c>
      <c r="C2338" t="s">
        <v>188</v>
      </c>
      <c r="D2338" t="str">
        <f t="shared" si="77"/>
        <v/>
      </c>
      <c r="E2338" t="str">
        <f t="shared" si="78"/>
        <v>row jimmy</v>
      </c>
      <c r="F2338" t="s">
        <v>6893</v>
      </c>
      <c r="G2338" t="str">
        <f>_xlfn.IFNA(VLOOKUP(F2338,songs!$B$1:$C$1539, 2, FALSE),"")</f>
        <v>Row Jimmy</v>
      </c>
      <c r="H2338" t="s">
        <v>188</v>
      </c>
    </row>
    <row r="2339" spans="1:8" x14ac:dyDescent="0.25">
      <c r="A2339">
        <v>2360</v>
      </c>
      <c r="B2339" t="s">
        <v>2844</v>
      </c>
      <c r="C2339" t="s">
        <v>57</v>
      </c>
      <c r="D2339" t="str">
        <f t="shared" si="77"/>
        <v/>
      </c>
      <c r="E2339" t="str">
        <f t="shared" si="78"/>
        <v>dancing in the street</v>
      </c>
      <c r="F2339" t="s">
        <v>5418</v>
      </c>
      <c r="G2339" t="str">
        <f>_xlfn.IFNA(VLOOKUP(F2339,songs!$B$1:$C$1539, 2, FALSE),"")</f>
        <v>Dancin' In The Streets</v>
      </c>
      <c r="H2339" t="s">
        <v>7867</v>
      </c>
    </row>
    <row r="2340" spans="1:8" x14ac:dyDescent="0.25">
      <c r="A2340">
        <v>2339</v>
      </c>
      <c r="B2340" t="s">
        <v>2818</v>
      </c>
      <c r="C2340" t="s">
        <v>55</v>
      </c>
      <c r="D2340" t="str">
        <f t="shared" si="77"/>
        <v/>
      </c>
      <c r="E2340" t="str">
        <f t="shared" si="78"/>
        <v>supplication</v>
      </c>
      <c r="F2340" t="s">
        <v>7162</v>
      </c>
      <c r="G2340" t="str">
        <f>_xlfn.IFNA(VLOOKUP(F2340,songs!$B$1:$C$1539, 2, FALSE),"")</f>
        <v>Supplication</v>
      </c>
      <c r="H2340" t="s">
        <v>55</v>
      </c>
    </row>
    <row r="2341" spans="1:8" x14ac:dyDescent="0.25">
      <c r="A2341">
        <v>2340</v>
      </c>
      <c r="B2341" t="s">
        <v>2819</v>
      </c>
      <c r="C2341" t="s">
        <v>264</v>
      </c>
      <c r="D2341" t="str">
        <f t="shared" si="77"/>
        <v/>
      </c>
      <c r="E2341" t="str">
        <f t="shared" si="78"/>
        <v>deal</v>
      </c>
      <c r="F2341" t="s">
        <v>5461</v>
      </c>
      <c r="G2341" t="str">
        <f>_xlfn.IFNA(VLOOKUP(F2341,songs!$B$1:$C$1539, 2, FALSE),"")</f>
        <v>Deal</v>
      </c>
      <c r="H2341" t="s">
        <v>264</v>
      </c>
    </row>
    <row r="2342" spans="1:8" x14ac:dyDescent="0.25">
      <c r="A2342">
        <v>2341</v>
      </c>
      <c r="B2342" t="s">
        <v>2820</v>
      </c>
      <c r="C2342" t="s">
        <v>242</v>
      </c>
      <c r="D2342" t="str">
        <f t="shared" si="77"/>
        <v/>
      </c>
      <c r="E2342" t="str">
        <f t="shared" si="78"/>
        <v>good lovin'</v>
      </c>
      <c r="F2342" t="s">
        <v>5810</v>
      </c>
      <c r="G2342" t="str">
        <f>_xlfn.IFNA(VLOOKUP(F2342,songs!$B$1:$C$1539, 2, FALSE),"")</f>
        <v>Good Lovin'</v>
      </c>
      <c r="H2342" t="s">
        <v>242</v>
      </c>
    </row>
    <row r="2343" spans="1:8" x14ac:dyDescent="0.25">
      <c r="A2343">
        <v>2342</v>
      </c>
      <c r="B2343" t="s">
        <v>2821</v>
      </c>
      <c r="C2343" t="s">
        <v>377</v>
      </c>
      <c r="D2343" t="str">
        <f t="shared" si="77"/>
        <v/>
      </c>
      <c r="E2343" t="str">
        <f t="shared" si="78"/>
        <v>ship of fools</v>
      </c>
      <c r="F2343" t="s">
        <v>6999</v>
      </c>
      <c r="G2343" t="str">
        <f>_xlfn.IFNA(VLOOKUP(F2343,songs!$B$1:$C$1539, 2, FALSE),"")</f>
        <v>Ship Of Fools</v>
      </c>
      <c r="H2343" t="s">
        <v>866</v>
      </c>
    </row>
    <row r="2344" spans="1:8" x14ac:dyDescent="0.25">
      <c r="A2344">
        <v>2343</v>
      </c>
      <c r="B2344" t="s">
        <v>2822</v>
      </c>
      <c r="C2344" t="s">
        <v>49</v>
      </c>
      <c r="D2344" t="str">
        <f t="shared" si="77"/>
        <v/>
      </c>
      <c r="E2344" t="str">
        <f t="shared" si="78"/>
        <v>the music never stopped</v>
      </c>
      <c r="F2344" t="s">
        <v>7316</v>
      </c>
      <c r="G2344" t="str">
        <f>_xlfn.IFNA(VLOOKUP(F2344,songs!$B$1:$C$1539, 2, FALSE),"")</f>
        <v>The Music Never Stopped</v>
      </c>
      <c r="H2344" t="s">
        <v>49</v>
      </c>
    </row>
    <row r="2345" spans="1:8" x14ac:dyDescent="0.25">
      <c r="A2345">
        <v>2344</v>
      </c>
      <c r="B2345" t="s">
        <v>2823</v>
      </c>
      <c r="C2345" t="s">
        <v>2824</v>
      </c>
      <c r="D2345" t="str">
        <f t="shared" si="77"/>
        <v/>
      </c>
      <c r="E2345" t="str">
        <f t="shared" si="78"/>
        <v>might as well</v>
      </c>
      <c r="F2345" t="s">
        <v>6518</v>
      </c>
      <c r="G2345" t="str">
        <f>_xlfn.IFNA(VLOOKUP(F2345,songs!$B$1:$C$1539, 2, FALSE),"")</f>
        <v>Might As Well</v>
      </c>
      <c r="H2345" t="s">
        <v>1127</v>
      </c>
    </row>
    <row r="2346" spans="1:8" x14ac:dyDescent="0.25">
      <c r="A2346">
        <v>2345</v>
      </c>
      <c r="B2346" t="s">
        <v>2825</v>
      </c>
      <c r="C2346" t="s">
        <v>69</v>
      </c>
      <c r="D2346" t="str">
        <f t="shared" si="77"/>
        <v/>
      </c>
      <c r="E2346" t="str">
        <f t="shared" si="78"/>
        <v>estimated prophet</v>
      </c>
      <c r="F2346" t="s">
        <v>5612</v>
      </c>
      <c r="G2346" t="str">
        <f>_xlfn.IFNA(VLOOKUP(F2346,songs!$B$1:$C$1539, 2, FALSE),"")</f>
        <v>Estimated Prophet</v>
      </c>
      <c r="H2346" t="s">
        <v>69</v>
      </c>
    </row>
    <row r="2347" spans="1:8" x14ac:dyDescent="0.25">
      <c r="A2347">
        <v>2346</v>
      </c>
      <c r="B2347" t="s">
        <v>2826</v>
      </c>
      <c r="C2347" t="s">
        <v>51</v>
      </c>
      <c r="D2347" t="str">
        <f t="shared" si="77"/>
        <v/>
      </c>
      <c r="E2347" t="str">
        <f t="shared" si="78"/>
        <v>sugaree</v>
      </c>
      <c r="F2347" t="s">
        <v>7151</v>
      </c>
      <c r="G2347" t="str">
        <f>_xlfn.IFNA(VLOOKUP(F2347,songs!$B$1:$C$1539, 2, FALSE),"")</f>
        <v>Sugaree</v>
      </c>
      <c r="H2347" t="s">
        <v>51</v>
      </c>
    </row>
    <row r="2348" spans="1:8" x14ac:dyDescent="0.25">
      <c r="A2348">
        <v>2347</v>
      </c>
      <c r="B2348" t="s">
        <v>2827</v>
      </c>
      <c r="C2348" t="s">
        <v>65</v>
      </c>
      <c r="D2348" t="str">
        <f t="shared" si="77"/>
        <v/>
      </c>
      <c r="E2348" t="str">
        <f t="shared" si="78"/>
        <v>samson and delilah</v>
      </c>
      <c r="F2348" t="s">
        <v>6925</v>
      </c>
      <c r="G2348" t="str">
        <f>_xlfn.IFNA(VLOOKUP(F2348,songs!$B$1:$C$1539, 2, FALSE),"")</f>
        <v>Samson And Delilah</v>
      </c>
      <c r="H2348" t="s">
        <v>266</v>
      </c>
    </row>
    <row r="2349" spans="1:8" x14ac:dyDescent="0.25">
      <c r="A2349">
        <v>2348</v>
      </c>
      <c r="B2349" t="s">
        <v>2828</v>
      </c>
      <c r="C2349" t="s">
        <v>124</v>
      </c>
      <c r="D2349" t="str">
        <f t="shared" si="77"/>
        <v/>
      </c>
      <c r="E2349" t="str">
        <f t="shared" si="78"/>
        <v>friend of the devil</v>
      </c>
      <c r="F2349" t="s">
        <v>5721</v>
      </c>
      <c r="G2349" t="str">
        <f>_xlfn.IFNA(VLOOKUP(F2349,songs!$B$1:$C$1539, 2, FALSE),"")</f>
        <v>Friend Of The Devil</v>
      </c>
      <c r="H2349" t="s">
        <v>464</v>
      </c>
    </row>
    <row r="2350" spans="1:8" x14ac:dyDescent="0.25">
      <c r="A2350">
        <v>2362</v>
      </c>
      <c r="B2350" t="s">
        <v>2846</v>
      </c>
      <c r="C2350" t="s">
        <v>1280</v>
      </c>
      <c r="D2350" t="str">
        <f t="shared" si="77"/>
        <v/>
      </c>
      <c r="E2350" t="str">
        <f t="shared" si="78"/>
        <v>scarlet begonias ]</v>
      </c>
      <c r="F2350" t="s">
        <v>6944</v>
      </c>
      <c r="G2350" t="str">
        <f>_xlfn.IFNA(VLOOKUP(F2350,songs!$B$1:$C$1539, 2, FALSE),"")</f>
        <v>Scarlet Begonias</v>
      </c>
      <c r="H2350" t="s">
        <v>7867</v>
      </c>
    </row>
    <row r="2351" spans="1:8" x14ac:dyDescent="0.25">
      <c r="A2351">
        <v>2364</v>
      </c>
      <c r="B2351" t="s">
        <v>2848</v>
      </c>
      <c r="C2351" t="s">
        <v>2849</v>
      </c>
      <c r="D2351" t="str">
        <f t="shared" si="77"/>
        <v/>
      </c>
      <c r="E2351" t="str">
        <f t="shared" si="78"/>
        <v>terrapin station ]</v>
      </c>
      <c r="F2351" t="s">
        <v>7237</v>
      </c>
      <c r="G2351" t="str">
        <f>_xlfn.IFNA(VLOOKUP(F2351,songs!$B$1:$C$1539, 2, FALSE),"")</f>
        <v>Terrapin Station</v>
      </c>
      <c r="H2351" t="s">
        <v>7867</v>
      </c>
    </row>
    <row r="2352" spans="1:8" x14ac:dyDescent="0.25">
      <c r="A2352">
        <v>2365</v>
      </c>
      <c r="B2352" t="s">
        <v>2850</v>
      </c>
      <c r="C2352" t="s">
        <v>2851</v>
      </c>
      <c r="D2352" t="str">
        <f t="shared" si="77"/>
        <v/>
      </c>
      <c r="E2352" t="str">
        <f t="shared" si="78"/>
        <v>playing in the band ]</v>
      </c>
      <c r="F2352" t="s">
        <v>6769</v>
      </c>
      <c r="G2352" t="str">
        <f>_xlfn.IFNA(VLOOKUP(F2352,songs!$B$1:$C$1539, 2, FALSE),"")</f>
        <v>Playing In The Band</v>
      </c>
      <c r="H2352" t="s">
        <v>7867</v>
      </c>
    </row>
    <row r="2353" spans="1:8" x14ac:dyDescent="0.25">
      <c r="A2353">
        <v>2366</v>
      </c>
      <c r="B2353" t="s">
        <v>2852</v>
      </c>
      <c r="C2353" t="s">
        <v>2853</v>
      </c>
      <c r="D2353" t="str">
        <f t="shared" si="77"/>
        <v/>
      </c>
      <c r="E2353" t="str">
        <f t="shared" si="78"/>
        <v>comes a time ]</v>
      </c>
      <c r="F2353" t="s">
        <v>5360</v>
      </c>
      <c r="G2353" t="str">
        <f>_xlfn.IFNA(VLOOKUP(F2353,songs!$B$1:$C$1539, 2, FALSE),"")</f>
        <v>Comes A Time</v>
      </c>
      <c r="H2353" t="s">
        <v>7867</v>
      </c>
    </row>
    <row r="2354" spans="1:8" x14ac:dyDescent="0.25">
      <c r="A2354">
        <v>2373</v>
      </c>
      <c r="B2354" t="s">
        <v>2861</v>
      </c>
      <c r="C2354" t="s">
        <v>2862</v>
      </c>
      <c r="D2354" t="s">
        <v>7871</v>
      </c>
      <c r="E2354" t="str">
        <f t="shared" si="78"/>
        <v>truckin »</v>
      </c>
      <c r="F2354" t="s">
        <v>7436</v>
      </c>
      <c r="G2354" t="str">
        <f>_xlfn.IFNA(VLOOKUP(F2354,songs!$B$1:$C$1539, 2, FALSE),"")</f>
        <v>Truckin'</v>
      </c>
      <c r="H2354" t="s">
        <v>7867</v>
      </c>
    </row>
    <row r="2355" spans="1:8" x14ac:dyDescent="0.25">
      <c r="A2355">
        <v>2354</v>
      </c>
      <c r="B2355" t="s">
        <v>2837</v>
      </c>
      <c r="C2355" t="s">
        <v>26</v>
      </c>
      <c r="D2355" t="str">
        <f>IF(RIGHT(TRIM(C2355),2)="-&gt;","&gt;",IF(RIGHT(TRIM(C2355),1)="&gt;","&gt;",""))</f>
        <v/>
      </c>
      <c r="E2355" t="str">
        <f t="shared" si="78"/>
        <v>around and around</v>
      </c>
      <c r="F2355" t="s">
        <v>5103</v>
      </c>
      <c r="G2355" t="str">
        <f>_xlfn.IFNA(VLOOKUP(F2355,songs!$B$1:$C$1539, 2, FALSE),"")</f>
        <v>Around And Around</v>
      </c>
      <c r="H2355" t="s">
        <v>579</v>
      </c>
    </row>
    <row r="2356" spans="1:8" x14ac:dyDescent="0.25">
      <c r="A2356">
        <v>2355</v>
      </c>
      <c r="B2356" t="s">
        <v>2838</v>
      </c>
      <c r="C2356" t="s">
        <v>133</v>
      </c>
      <c r="D2356" t="str">
        <f>IF(RIGHT(TRIM(C2356),2)="-&gt;","&gt;",IF(RIGHT(TRIM(C2356),1)="&gt;","&gt;",""))</f>
        <v/>
      </c>
      <c r="E2356" t="str">
        <f t="shared" si="78"/>
        <v>uncle john's band</v>
      </c>
      <c r="F2356" t="s">
        <v>7466</v>
      </c>
      <c r="G2356" t="str">
        <f>_xlfn.IFNA(VLOOKUP(F2356,songs!$B$1:$C$1539, 2, FALSE),"")</f>
        <v>Uncle John's Band</v>
      </c>
      <c r="H2356" t="s">
        <v>133</v>
      </c>
    </row>
    <row r="2357" spans="1:8" x14ac:dyDescent="0.25">
      <c r="A2357">
        <v>2356</v>
      </c>
      <c r="B2357" t="s">
        <v>2839</v>
      </c>
      <c r="C2357" t="s">
        <v>3</v>
      </c>
      <c r="D2357" t="str">
        <f>IF(RIGHT(TRIM(C2357),2)="-&gt;","&gt;",IF(RIGHT(TRIM(C2357),1)="&gt;","&gt;",""))</f>
        <v/>
      </c>
      <c r="E2357" t="str">
        <f t="shared" si="78"/>
        <v>big river</v>
      </c>
      <c r="F2357" t="s">
        <v>5175</v>
      </c>
      <c r="G2357" t="str">
        <f>_xlfn.IFNA(VLOOKUP(F2357,songs!$B$1:$C$1539, 2, FALSE),"")</f>
        <v>Big River</v>
      </c>
      <c r="H2357" t="s">
        <v>3</v>
      </c>
    </row>
    <row r="2358" spans="1:8" x14ac:dyDescent="0.25">
      <c r="A2358">
        <v>2374</v>
      </c>
      <c r="B2358" t="s">
        <v>2863</v>
      </c>
      <c r="C2358" t="s">
        <v>2864</v>
      </c>
      <c r="D2358" t="s">
        <v>7871</v>
      </c>
      <c r="E2358" t="str">
        <f t="shared" si="78"/>
        <v>drums »</v>
      </c>
      <c r="F2358" t="s">
        <v>5568</v>
      </c>
      <c r="G2358" t="str">
        <f>_xlfn.IFNA(VLOOKUP(F2358,songs!$B$1:$C$1539, 2, FALSE),"")</f>
        <v>Drums</v>
      </c>
      <c r="H2358" t="s">
        <v>7867</v>
      </c>
    </row>
    <row r="2359" spans="1:8" x14ac:dyDescent="0.25">
      <c r="A2359">
        <v>2358</v>
      </c>
      <c r="B2359" t="s">
        <v>2842</v>
      </c>
      <c r="C2359" t="s">
        <v>156</v>
      </c>
      <c r="D2359" t="str">
        <f>IF(RIGHT(TRIM(C2359),2)="-&gt;","&gt;",IF(RIGHT(TRIM(C2359),1)="&gt;","&gt;",""))</f>
        <v/>
      </c>
      <c r="E2359" t="str">
        <f t="shared" si="78"/>
        <v>they love each other</v>
      </c>
      <c r="F2359" t="s">
        <v>7358</v>
      </c>
      <c r="G2359" t="str">
        <f>_xlfn.IFNA(VLOOKUP(F2359,songs!$B$1:$C$1539, 2, FALSE),"")</f>
        <v>They Love Each Other</v>
      </c>
      <c r="H2359" t="s">
        <v>156</v>
      </c>
    </row>
    <row r="2360" spans="1:8" x14ac:dyDescent="0.25">
      <c r="A2360">
        <v>2359</v>
      </c>
      <c r="B2360" t="s">
        <v>2843</v>
      </c>
      <c r="C2360" t="s">
        <v>1463</v>
      </c>
      <c r="D2360" t="str">
        <f>IF(RIGHT(TRIM(C2360),2)="-&gt;","&gt;",IF(RIGHT(TRIM(C2360),1)="&gt;","&gt;",""))</f>
        <v/>
      </c>
      <c r="E2360" t="str">
        <f t="shared" si="78"/>
        <v>it must have been the roses</v>
      </c>
      <c r="F2360" t="s">
        <v>6128</v>
      </c>
      <c r="G2360" t="str">
        <f>_xlfn.IFNA(VLOOKUP(F2360,songs!$B$1:$C$1539, 2, FALSE),"")</f>
        <v>It Must Have Been The Roses</v>
      </c>
      <c r="H2360" t="s">
        <v>1057</v>
      </c>
    </row>
    <row r="2361" spans="1:8" x14ac:dyDescent="0.25">
      <c r="A2361">
        <v>2375</v>
      </c>
      <c r="B2361" t="s">
        <v>2865</v>
      </c>
      <c r="C2361" t="s">
        <v>2866</v>
      </c>
      <c r="D2361" t="str">
        <f>IF(RIGHT(TRIM(C2361),2)="-&gt;","&gt;",IF(RIGHT(TRIM(C2361),1)="&gt;","&gt;",""))</f>
        <v/>
      </c>
      <c r="E2361" t="str">
        <f t="shared" si="78"/>
        <v>the other one »</v>
      </c>
      <c r="F2361" t="s">
        <v>7325</v>
      </c>
      <c r="G2361" t="str">
        <f>_xlfn.IFNA(VLOOKUP(F2361,songs!$B$1:$C$1539, 2, FALSE),"")</f>
        <v>The Other One</v>
      </c>
      <c r="H2361" t="s">
        <v>7867</v>
      </c>
    </row>
    <row r="2362" spans="1:8" x14ac:dyDescent="0.25">
      <c r="A2362">
        <v>2361</v>
      </c>
      <c r="B2362" t="s">
        <v>2845</v>
      </c>
      <c r="C2362" t="s">
        <v>69</v>
      </c>
      <c r="D2362" t="str">
        <f>IF(RIGHT(TRIM(C2362),2)="-&gt;","&gt;",IF(RIGHT(TRIM(C2362),1)="&gt;","&gt;",""))</f>
        <v/>
      </c>
      <c r="E2362" t="str">
        <f t="shared" si="78"/>
        <v>estimated prophet</v>
      </c>
      <c r="F2362" t="s">
        <v>5612</v>
      </c>
      <c r="G2362" t="str">
        <f>_xlfn.IFNA(VLOOKUP(F2362,songs!$B$1:$C$1539, 2, FALSE),"")</f>
        <v>Estimated Prophet</v>
      </c>
      <c r="H2362" t="s">
        <v>69</v>
      </c>
    </row>
    <row r="2363" spans="1:8" x14ac:dyDescent="0.25">
      <c r="A2363">
        <v>2380</v>
      </c>
      <c r="B2363" t="s">
        <v>2872</v>
      </c>
      <c r="C2363" t="s">
        <v>2873</v>
      </c>
      <c r="D2363" t="s">
        <v>7871</v>
      </c>
      <c r="E2363" t="str">
        <f t="shared" si="78"/>
        <v>deal »</v>
      </c>
      <c r="F2363" t="s">
        <v>5461</v>
      </c>
      <c r="G2363" t="str">
        <f>_xlfn.IFNA(VLOOKUP(F2363,songs!$B$1:$C$1539, 2, FALSE),"")</f>
        <v>Deal</v>
      </c>
      <c r="H2363" t="s">
        <v>7867</v>
      </c>
    </row>
    <row r="2364" spans="1:8" x14ac:dyDescent="0.25">
      <c r="A2364">
        <v>2363</v>
      </c>
      <c r="B2364" t="s">
        <v>2847</v>
      </c>
      <c r="C2364" t="s">
        <v>172</v>
      </c>
      <c r="D2364" t="str">
        <f>IF(RIGHT(TRIM(C2364),2)="-&gt;","&gt;",IF(RIGHT(TRIM(C2364),1)="&gt;","&gt;",""))</f>
        <v/>
      </c>
      <c r="E2364" t="str">
        <f t="shared" si="78"/>
        <v>fire on the mountain</v>
      </c>
      <c r="F2364" t="s">
        <v>5675</v>
      </c>
      <c r="G2364" t="str">
        <f>_xlfn.IFNA(VLOOKUP(F2364,songs!$B$1:$C$1539, 2, FALSE),"")</f>
        <v>Fire On The Mountain</v>
      </c>
      <c r="H2364" t="s">
        <v>573</v>
      </c>
    </row>
    <row r="2365" spans="1:8" x14ac:dyDescent="0.25">
      <c r="A2365">
        <v>2381</v>
      </c>
      <c r="B2365" t="s">
        <v>2874</v>
      </c>
      <c r="C2365" t="s">
        <v>2875</v>
      </c>
      <c r="D2365" t="s">
        <v>7871</v>
      </c>
      <c r="E2365" t="str">
        <f t="shared" si="78"/>
        <v>not fade away »</v>
      </c>
      <c r="F2365" t="s">
        <v>6651</v>
      </c>
      <c r="G2365" t="str">
        <f>_xlfn.IFNA(VLOOKUP(F2365,songs!$B$1:$C$1539, 2, FALSE),"")</f>
        <v>Not Fade Away</v>
      </c>
      <c r="H2365" t="s">
        <v>7867</v>
      </c>
    </row>
    <row r="2366" spans="1:8" x14ac:dyDescent="0.25">
      <c r="A2366">
        <v>2382</v>
      </c>
      <c r="B2366" t="s">
        <v>2876</v>
      </c>
      <c r="C2366" t="s">
        <v>2877</v>
      </c>
      <c r="D2366" t="str">
        <f>IF(RIGHT(TRIM(C2366),2)="-&gt;","&gt;",IF(RIGHT(TRIM(C2366),1)="&gt;","&gt;",""))</f>
        <v/>
      </c>
      <c r="E2366" t="str">
        <f t="shared" si="78"/>
        <v>goin down the road feeling bad »</v>
      </c>
      <c r="F2366" t="s">
        <v>5783</v>
      </c>
      <c r="G2366" t="str">
        <f>_xlfn.IFNA(VLOOKUP(F2366,songs!$B$1:$C$1539, 2, FALSE),"")</f>
        <v>Goin' Down The Road Feelin' Bad</v>
      </c>
      <c r="H2366" t="s">
        <v>7867</v>
      </c>
    </row>
    <row r="2367" spans="1:8" x14ac:dyDescent="0.25">
      <c r="A2367">
        <v>2395</v>
      </c>
      <c r="B2367" t="s">
        <v>2890</v>
      </c>
      <c r="C2367" t="s">
        <v>2862</v>
      </c>
      <c r="D2367" t="s">
        <v>7871</v>
      </c>
      <c r="E2367" t="str">
        <f t="shared" si="78"/>
        <v>truckin »</v>
      </c>
      <c r="F2367" t="s">
        <v>7436</v>
      </c>
      <c r="G2367" t="str">
        <f>_xlfn.IFNA(VLOOKUP(F2367,songs!$B$1:$C$1539, 2, FALSE),"")</f>
        <v>Truckin'</v>
      </c>
      <c r="H2367" t="s">
        <v>7867</v>
      </c>
    </row>
    <row r="2368" spans="1:8" x14ac:dyDescent="0.25">
      <c r="A2368">
        <v>2367</v>
      </c>
      <c r="B2368" t="s">
        <v>2854</v>
      </c>
      <c r="C2368" t="s">
        <v>11</v>
      </c>
      <c r="D2368" t="str">
        <f t="shared" ref="D2368:D2373" si="79">IF(RIGHT(TRIM(C2368),2)="-&gt;","&gt;",IF(RIGHT(TRIM(C2368),1)="&gt;","&gt;",""))</f>
        <v/>
      </c>
      <c r="E2368" t="str">
        <f t="shared" si="78"/>
        <v>playing in the band</v>
      </c>
      <c r="F2368" t="s">
        <v>6769</v>
      </c>
      <c r="G2368" t="str">
        <f>_xlfn.IFNA(VLOOKUP(F2368,songs!$B$1:$C$1539, 2, FALSE),"")</f>
        <v>Playing In The Band</v>
      </c>
      <c r="H2368" t="s">
        <v>419</v>
      </c>
    </row>
    <row r="2369" spans="1:8" x14ac:dyDescent="0.25">
      <c r="A2369">
        <v>2368</v>
      </c>
      <c r="B2369" t="s">
        <v>2855</v>
      </c>
      <c r="C2369" t="s">
        <v>903</v>
      </c>
      <c r="D2369" t="str">
        <f t="shared" si="79"/>
        <v/>
      </c>
      <c r="E2369" t="str">
        <f t="shared" si="78"/>
        <v>me and my uncle</v>
      </c>
      <c r="F2369" t="s">
        <v>6486</v>
      </c>
      <c r="G2369" t="str">
        <f>_xlfn.IFNA(VLOOKUP(F2369,songs!$B$1:$C$1539, 2, FALSE),"")</f>
        <v>Me And My Uncle</v>
      </c>
      <c r="H2369" t="s">
        <v>903</v>
      </c>
    </row>
    <row r="2370" spans="1:8" x14ac:dyDescent="0.25">
      <c r="A2370">
        <v>2369</v>
      </c>
      <c r="B2370" t="s">
        <v>2856</v>
      </c>
      <c r="C2370" t="s">
        <v>464</v>
      </c>
      <c r="D2370" t="str">
        <f t="shared" si="79"/>
        <v/>
      </c>
      <c r="E2370" t="str">
        <f t="shared" si="78"/>
        <v>friend of the devil</v>
      </c>
      <c r="F2370" t="s">
        <v>5721</v>
      </c>
      <c r="G2370" t="str">
        <f>_xlfn.IFNA(VLOOKUP(F2370,songs!$B$1:$C$1539, 2, FALSE),"")</f>
        <v>Friend Of The Devil</v>
      </c>
      <c r="H2370" t="s">
        <v>464</v>
      </c>
    </row>
    <row r="2371" spans="1:8" x14ac:dyDescent="0.25">
      <c r="A2371">
        <v>2370</v>
      </c>
      <c r="B2371" t="s">
        <v>2857</v>
      </c>
      <c r="C2371" t="s">
        <v>429</v>
      </c>
      <c r="D2371" t="str">
        <f t="shared" si="79"/>
        <v/>
      </c>
      <c r="E2371" t="str">
        <f t="shared" si="78"/>
        <v>cold rain and snow</v>
      </c>
      <c r="F2371" t="s">
        <v>5347</v>
      </c>
      <c r="G2371" t="str">
        <f>_xlfn.IFNA(VLOOKUP(F2371,songs!$B$1:$C$1539, 2, FALSE),"")</f>
        <v>Cold Rain And Snow</v>
      </c>
      <c r="H2371" t="s">
        <v>429</v>
      </c>
    </row>
    <row r="2372" spans="1:8" x14ac:dyDescent="0.25">
      <c r="A2372">
        <v>2371</v>
      </c>
      <c r="B2372" t="s">
        <v>2858</v>
      </c>
      <c r="C2372" t="s">
        <v>2859</v>
      </c>
      <c r="D2372" t="str">
        <f t="shared" si="79"/>
        <v/>
      </c>
      <c r="E2372" t="str">
        <f t="shared" ref="E2372:E2435" si="80">LOWER(TRIM(SUBSTITUTE(IF(RIGHT(TRIM(C2372),2)="-&gt;",LEFT(TRIM(C2372),LEN(TRIM(C2372))-2),IF(RIGHT(TRIM(C2372),1)="&gt;",LEFT(TRIM(C2372),LEN(TRIM(C2372))-1),C2372)),"//","")))</f>
        <v>attics of my life</v>
      </c>
      <c r="F2372" t="s">
        <v>5108</v>
      </c>
      <c r="G2372" t="str">
        <f>_xlfn.IFNA(VLOOKUP(F2372,songs!$B$1:$C$1539, 2, FALSE),"")</f>
        <v>Attics Of My Life</v>
      </c>
      <c r="H2372" t="s">
        <v>2859</v>
      </c>
    </row>
    <row r="2373" spans="1:8" x14ac:dyDescent="0.25">
      <c r="A2373">
        <v>2372</v>
      </c>
      <c r="B2373" t="s">
        <v>2860</v>
      </c>
      <c r="C2373" t="s">
        <v>81</v>
      </c>
      <c r="D2373" t="str">
        <f t="shared" si="79"/>
        <v/>
      </c>
      <c r="E2373" t="str">
        <f t="shared" si="80"/>
        <v>casey jones</v>
      </c>
      <c r="F2373" t="s">
        <v>5290</v>
      </c>
      <c r="G2373" t="str">
        <f>_xlfn.IFNA(VLOOKUP(F2373,songs!$B$1:$C$1539, 2, FALSE),"")</f>
        <v>Casey Jones</v>
      </c>
      <c r="H2373" t="s">
        <v>81</v>
      </c>
    </row>
    <row r="2374" spans="1:8" x14ac:dyDescent="0.25">
      <c r="A2374">
        <v>2396</v>
      </c>
      <c r="B2374" t="s">
        <v>2891</v>
      </c>
      <c r="C2374" t="s">
        <v>2864</v>
      </c>
      <c r="D2374" t="s">
        <v>7871</v>
      </c>
      <c r="E2374" t="str">
        <f t="shared" si="80"/>
        <v>drums »</v>
      </c>
      <c r="F2374" t="s">
        <v>5568</v>
      </c>
      <c r="G2374" t="str">
        <f>_xlfn.IFNA(VLOOKUP(F2374,songs!$B$1:$C$1539, 2, FALSE),"")</f>
        <v>Drums</v>
      </c>
      <c r="H2374" t="s">
        <v>7867</v>
      </c>
    </row>
    <row r="2375" spans="1:8" x14ac:dyDescent="0.25">
      <c r="A2375">
        <v>2397</v>
      </c>
      <c r="B2375" t="s">
        <v>2892</v>
      </c>
      <c r="C2375" t="s">
        <v>2893</v>
      </c>
      <c r="D2375" t="str">
        <f>IF(RIGHT(TRIM(C2375),2)="-&gt;","&gt;",IF(RIGHT(TRIM(C2375),1)="&gt;","&gt;",""))</f>
        <v/>
      </c>
      <c r="E2375" t="str">
        <f t="shared" si="80"/>
        <v>good lovin</v>
      </c>
      <c r="F2375" t="s">
        <v>5810</v>
      </c>
      <c r="G2375" t="str">
        <f>_xlfn.IFNA(VLOOKUP(F2375,songs!$B$1:$C$1539, 2, FALSE),"")</f>
        <v>Good Lovin'</v>
      </c>
      <c r="H2375" t="s">
        <v>7867</v>
      </c>
    </row>
    <row r="2376" spans="1:8" x14ac:dyDescent="0.25">
      <c r="A2376">
        <v>2399</v>
      </c>
      <c r="B2376" t="s">
        <v>2896</v>
      </c>
      <c r="C2376" t="s">
        <v>2897</v>
      </c>
      <c r="D2376" t="s">
        <v>7871</v>
      </c>
      <c r="E2376" t="str">
        <f t="shared" si="80"/>
        <v>greatest story ever told »</v>
      </c>
      <c r="F2376" t="s">
        <v>5826</v>
      </c>
      <c r="G2376" t="str">
        <f>_xlfn.IFNA(VLOOKUP(F2376,songs!$B$1:$C$1539, 2, FALSE),"")</f>
        <v>Greatest Story Ever Told</v>
      </c>
      <c r="H2376" t="s">
        <v>7867</v>
      </c>
    </row>
    <row r="2377" spans="1:8" x14ac:dyDescent="0.25">
      <c r="A2377">
        <v>2376</v>
      </c>
      <c r="B2377" t="s">
        <v>2867</v>
      </c>
      <c r="C2377" t="s">
        <v>73</v>
      </c>
      <c r="D2377" t="str">
        <f t="shared" ref="D2377:D2440" si="81">IF(RIGHT(TRIM(C2377),2)="-&gt;","&gt;",IF(RIGHT(TRIM(C2377),1)="&gt;","&gt;",""))</f>
        <v/>
      </c>
      <c r="E2377" t="str">
        <f t="shared" si="80"/>
        <v>wharf rat</v>
      </c>
      <c r="F2377" t="s">
        <v>7664</v>
      </c>
      <c r="G2377" t="str">
        <f>_xlfn.IFNA(VLOOKUP(F2377,songs!$B$1:$C$1539, 2, FALSE),"")</f>
        <v>Wharf Rat</v>
      </c>
      <c r="H2377" t="s">
        <v>73</v>
      </c>
    </row>
    <row r="2378" spans="1:8" x14ac:dyDescent="0.25">
      <c r="A2378">
        <v>2377</v>
      </c>
      <c r="B2378" t="s">
        <v>2868</v>
      </c>
      <c r="C2378" t="s">
        <v>2869</v>
      </c>
      <c r="D2378" t="str">
        <f t="shared" si="81"/>
        <v/>
      </c>
      <c r="E2378" t="str">
        <f t="shared" si="80"/>
        <v>me and bobby mcgee</v>
      </c>
      <c r="F2378" t="s">
        <v>6483</v>
      </c>
      <c r="G2378" t="str">
        <f>_xlfn.IFNA(VLOOKUP(F2378,songs!$B$1:$C$1539, 2, FALSE),"")</f>
        <v>Me And Bobby McGee</v>
      </c>
      <c r="H2378" t="s">
        <v>1228</v>
      </c>
    </row>
    <row r="2379" spans="1:8" x14ac:dyDescent="0.25">
      <c r="A2379">
        <v>2378</v>
      </c>
      <c r="B2379" t="s">
        <v>2870</v>
      </c>
      <c r="C2379" t="s">
        <v>81</v>
      </c>
      <c r="D2379" t="str">
        <f t="shared" si="81"/>
        <v/>
      </c>
      <c r="E2379" t="str">
        <f t="shared" si="80"/>
        <v>casey jones</v>
      </c>
      <c r="F2379" t="s">
        <v>5290</v>
      </c>
      <c r="G2379" t="str">
        <f>_xlfn.IFNA(VLOOKUP(F2379,songs!$B$1:$C$1539, 2, FALSE),"")</f>
        <v>Casey Jones</v>
      </c>
      <c r="H2379" t="s">
        <v>81</v>
      </c>
    </row>
    <row r="2380" spans="1:8" x14ac:dyDescent="0.25">
      <c r="A2380">
        <v>2379</v>
      </c>
      <c r="B2380" t="s">
        <v>2871</v>
      </c>
      <c r="C2380" t="s">
        <v>30</v>
      </c>
      <c r="D2380" t="str">
        <f t="shared" si="81"/>
        <v/>
      </c>
      <c r="E2380" t="str">
        <f t="shared" si="80"/>
        <v>sugar magnolia</v>
      </c>
      <c r="F2380" t="s">
        <v>7150</v>
      </c>
      <c r="G2380" t="str">
        <f>_xlfn.IFNA(VLOOKUP(F2380,songs!$B$1:$C$1539, 2, FALSE),"")</f>
        <v>Sugar Magnolia</v>
      </c>
      <c r="H2380" t="s">
        <v>30</v>
      </c>
    </row>
    <row r="2381" spans="1:8" x14ac:dyDescent="0.25">
      <c r="A2381">
        <v>2401</v>
      </c>
      <c r="B2381" t="s">
        <v>2899</v>
      </c>
      <c r="C2381" t="s">
        <v>2900</v>
      </c>
      <c r="D2381" t="str">
        <f t="shared" si="81"/>
        <v/>
      </c>
      <c r="E2381" t="str">
        <f t="shared" si="80"/>
        <v>uncle john s band</v>
      </c>
      <c r="F2381" t="s">
        <v>7466</v>
      </c>
      <c r="G2381" t="str">
        <f>_xlfn.IFNA(VLOOKUP(F2381,songs!$B$1:$C$1539, 2, FALSE),"")</f>
        <v>Uncle John's Band</v>
      </c>
      <c r="H2381" t="s">
        <v>7867</v>
      </c>
    </row>
    <row r="2382" spans="1:8" x14ac:dyDescent="0.25">
      <c r="A2382">
        <v>2444</v>
      </c>
      <c r="B2382" t="s">
        <v>2945</v>
      </c>
      <c r="C2382" t="s">
        <v>1775</v>
      </c>
      <c r="D2382" t="str">
        <f t="shared" si="81"/>
        <v/>
      </c>
      <c r="E2382" t="str">
        <f t="shared" si="80"/>
        <v>dancing in the street</v>
      </c>
      <c r="F2382" t="s">
        <v>5418</v>
      </c>
      <c r="G2382" t="str">
        <f>_xlfn.IFNA(VLOOKUP(F2382,songs!$B$1:$C$1539, 2, FALSE),"")</f>
        <v>Dancin' In The Streets</v>
      </c>
      <c r="H2382" t="s">
        <v>7867</v>
      </c>
    </row>
    <row r="2383" spans="1:8" x14ac:dyDescent="0.25">
      <c r="A2383">
        <v>2450</v>
      </c>
      <c r="B2383" t="s">
        <v>2951</v>
      </c>
      <c r="C2383" t="s">
        <v>122</v>
      </c>
      <c r="D2383" t="str">
        <f t="shared" si="81"/>
        <v/>
      </c>
      <c r="E2383" t="str">
        <f t="shared" si="80"/>
        <v>new minglewood blues</v>
      </c>
      <c r="F2383" t="s">
        <v>7869</v>
      </c>
      <c r="G2383" t="str">
        <f>_xlfn.IFNA(VLOOKUP(F2383,songs!$B$1:$C$1539, 2, FALSE),"")</f>
        <v>Minglewood Blues</v>
      </c>
      <c r="H2383" t="s">
        <v>7867</v>
      </c>
    </row>
    <row r="2384" spans="1:8" x14ac:dyDescent="0.25">
      <c r="A2384">
        <v>2383</v>
      </c>
      <c r="B2384" t="s">
        <v>2878</v>
      </c>
      <c r="C2384" t="s">
        <v>507</v>
      </c>
      <c r="D2384" t="str">
        <f t="shared" si="81"/>
        <v/>
      </c>
      <c r="E2384" t="str">
        <f t="shared" si="80"/>
        <v>turn on your lovelight</v>
      </c>
      <c r="F2384" t="s">
        <v>7447</v>
      </c>
      <c r="G2384" t="str">
        <f>_xlfn.IFNA(VLOOKUP(F2384,songs!$B$1:$C$1539, 2, FALSE),"")</f>
        <v>Turn On Your Lovelight</v>
      </c>
      <c r="H2384" t="s">
        <v>507</v>
      </c>
    </row>
    <row r="2385" spans="1:8" x14ac:dyDescent="0.25">
      <c r="A2385">
        <v>2384</v>
      </c>
      <c r="B2385" t="s">
        <v>2879</v>
      </c>
      <c r="C2385" t="s">
        <v>81</v>
      </c>
      <c r="D2385" t="str">
        <f t="shared" si="81"/>
        <v/>
      </c>
      <c r="E2385" t="str">
        <f t="shared" si="80"/>
        <v>casey jones</v>
      </c>
      <c r="F2385" t="s">
        <v>5290</v>
      </c>
      <c r="G2385" t="str">
        <f>_xlfn.IFNA(VLOOKUP(F2385,songs!$B$1:$C$1539, 2, FALSE),"")</f>
        <v>Casey Jones</v>
      </c>
      <c r="H2385" t="s">
        <v>81</v>
      </c>
    </row>
    <row r="2386" spans="1:8" x14ac:dyDescent="0.25">
      <c r="A2386">
        <v>2385</v>
      </c>
      <c r="B2386" t="s">
        <v>2880</v>
      </c>
      <c r="C2386" t="s">
        <v>158</v>
      </c>
      <c r="D2386" t="str">
        <f t="shared" si="81"/>
        <v/>
      </c>
      <c r="E2386" t="str">
        <f t="shared" si="80"/>
        <v>mama tried</v>
      </c>
      <c r="F2386" t="s">
        <v>6454</v>
      </c>
      <c r="G2386" t="str">
        <f>_xlfn.IFNA(VLOOKUP(F2386,songs!$B$1:$C$1539, 2, FALSE),"")</f>
        <v>Mama Tried</v>
      </c>
      <c r="H2386" t="s">
        <v>158</v>
      </c>
    </row>
    <row r="2387" spans="1:8" x14ac:dyDescent="0.25">
      <c r="A2387">
        <v>2386</v>
      </c>
      <c r="B2387" t="s">
        <v>2881</v>
      </c>
      <c r="C2387" t="s">
        <v>291</v>
      </c>
      <c r="D2387" t="str">
        <f t="shared" si="81"/>
        <v/>
      </c>
      <c r="E2387" t="str">
        <f t="shared" si="80"/>
        <v>loser</v>
      </c>
      <c r="F2387" t="s">
        <v>6400</v>
      </c>
      <c r="G2387" t="str">
        <f>_xlfn.IFNA(VLOOKUP(F2387,songs!$B$1:$C$1539, 2, FALSE),"")</f>
        <v>Loser</v>
      </c>
      <c r="H2387" t="s">
        <v>291</v>
      </c>
    </row>
    <row r="2388" spans="1:8" x14ac:dyDescent="0.25">
      <c r="A2388">
        <v>2387</v>
      </c>
      <c r="B2388" t="s">
        <v>2882</v>
      </c>
      <c r="C2388" t="s">
        <v>1196</v>
      </c>
      <c r="D2388" t="str">
        <f t="shared" si="81"/>
        <v/>
      </c>
      <c r="E2388" t="str">
        <f t="shared" si="80"/>
        <v>big boss man</v>
      </c>
      <c r="F2388" t="s">
        <v>5163</v>
      </c>
      <c r="G2388" t="str">
        <f>_xlfn.IFNA(VLOOKUP(F2388,songs!$B$1:$C$1539, 2, FALSE),"")</f>
        <v>Big Boss Man</v>
      </c>
      <c r="H2388" t="s">
        <v>1196</v>
      </c>
    </row>
    <row r="2389" spans="1:8" x14ac:dyDescent="0.25">
      <c r="A2389">
        <v>2388</v>
      </c>
      <c r="B2389" t="s">
        <v>2883</v>
      </c>
      <c r="C2389" t="s">
        <v>2869</v>
      </c>
      <c r="D2389" t="str">
        <f t="shared" si="81"/>
        <v/>
      </c>
      <c r="E2389" t="str">
        <f t="shared" si="80"/>
        <v>me and bobby mcgee</v>
      </c>
      <c r="F2389" t="s">
        <v>6483</v>
      </c>
      <c r="G2389" t="str">
        <f>_xlfn.IFNA(VLOOKUP(F2389,songs!$B$1:$C$1539, 2, FALSE),"")</f>
        <v>Me And Bobby McGee</v>
      </c>
      <c r="H2389" t="s">
        <v>1228</v>
      </c>
    </row>
    <row r="2390" spans="1:8" x14ac:dyDescent="0.25">
      <c r="A2390">
        <v>2389</v>
      </c>
      <c r="B2390" t="s">
        <v>2884</v>
      </c>
      <c r="C2390" t="s">
        <v>298</v>
      </c>
      <c r="D2390" t="str">
        <f t="shared" si="81"/>
        <v/>
      </c>
      <c r="E2390" t="str">
        <f t="shared" si="80"/>
        <v>bertha</v>
      </c>
      <c r="F2390" t="s">
        <v>5158</v>
      </c>
      <c r="G2390" t="str">
        <f>_xlfn.IFNA(VLOOKUP(F2390,songs!$B$1:$C$1539, 2, FALSE),"")</f>
        <v>Bertha</v>
      </c>
      <c r="H2390" t="s">
        <v>298</v>
      </c>
    </row>
    <row r="2391" spans="1:8" x14ac:dyDescent="0.25">
      <c r="A2391">
        <v>2390</v>
      </c>
      <c r="B2391" t="s">
        <v>2885</v>
      </c>
      <c r="C2391" t="s">
        <v>225</v>
      </c>
      <c r="D2391" t="str">
        <f t="shared" si="81"/>
        <v/>
      </c>
      <c r="E2391" t="str">
        <f t="shared" si="80"/>
        <v>cumberland blues</v>
      </c>
      <c r="F2391" t="s">
        <v>5411</v>
      </c>
      <c r="G2391" t="str">
        <f>_xlfn.IFNA(VLOOKUP(F2391,songs!$B$1:$C$1539, 2, FALSE),"")</f>
        <v>Cumberland Blues</v>
      </c>
      <c r="H2391" t="s">
        <v>225</v>
      </c>
    </row>
    <row r="2392" spans="1:8" x14ac:dyDescent="0.25">
      <c r="A2392">
        <v>2391</v>
      </c>
      <c r="B2392" t="s">
        <v>2886</v>
      </c>
      <c r="C2392" t="s">
        <v>9</v>
      </c>
      <c r="D2392" t="str">
        <f t="shared" si="81"/>
        <v/>
      </c>
      <c r="E2392" t="str">
        <f t="shared" si="80"/>
        <v>big railroad blues</v>
      </c>
      <c r="F2392" t="s">
        <v>5174</v>
      </c>
      <c r="G2392" t="str">
        <f>_xlfn.IFNA(VLOOKUP(F2392,songs!$B$1:$C$1539, 2, FALSE),"")</f>
        <v>Big Railroad Blues</v>
      </c>
      <c r="H2392" t="s">
        <v>9</v>
      </c>
    </row>
    <row r="2393" spans="1:8" x14ac:dyDescent="0.25">
      <c r="A2393">
        <v>2392</v>
      </c>
      <c r="B2393" t="s">
        <v>2887</v>
      </c>
      <c r="C2393" t="s">
        <v>419</v>
      </c>
      <c r="D2393" t="str">
        <f t="shared" si="81"/>
        <v/>
      </c>
      <c r="E2393" t="str">
        <f t="shared" si="80"/>
        <v>playing in the band</v>
      </c>
      <c r="F2393" t="s">
        <v>6769</v>
      </c>
      <c r="G2393" t="str">
        <f>_xlfn.IFNA(VLOOKUP(F2393,songs!$B$1:$C$1539, 2, FALSE),"")</f>
        <v>Playing In The Band</v>
      </c>
      <c r="H2393" t="s">
        <v>419</v>
      </c>
    </row>
    <row r="2394" spans="1:8" x14ac:dyDescent="0.25">
      <c r="A2394">
        <v>2393</v>
      </c>
      <c r="B2394" t="s">
        <v>2888</v>
      </c>
      <c r="C2394" t="s">
        <v>1199</v>
      </c>
      <c r="D2394" t="str">
        <f t="shared" si="81"/>
        <v/>
      </c>
      <c r="E2394" t="str">
        <f t="shared" si="80"/>
        <v>hard to handle</v>
      </c>
      <c r="F2394" t="s">
        <v>5861</v>
      </c>
      <c r="G2394" t="str">
        <f>_xlfn.IFNA(VLOOKUP(F2394,songs!$B$1:$C$1539, 2, FALSE),"")</f>
        <v>Hard To Handle</v>
      </c>
      <c r="H2394" t="s">
        <v>1199</v>
      </c>
    </row>
    <row r="2395" spans="1:8" x14ac:dyDescent="0.25">
      <c r="A2395">
        <v>2394</v>
      </c>
      <c r="B2395" t="s">
        <v>2889</v>
      </c>
      <c r="C2395" t="s">
        <v>30</v>
      </c>
      <c r="D2395" t="str">
        <f t="shared" si="81"/>
        <v/>
      </c>
      <c r="E2395" t="str">
        <f t="shared" si="80"/>
        <v>sugar magnolia</v>
      </c>
      <c r="F2395" t="s">
        <v>7150</v>
      </c>
      <c r="G2395" t="str">
        <f>_xlfn.IFNA(VLOOKUP(F2395,songs!$B$1:$C$1539, 2, FALSE),"")</f>
        <v>Sugar Magnolia</v>
      </c>
      <c r="H2395" t="s">
        <v>30</v>
      </c>
    </row>
    <row r="2396" spans="1:8" x14ac:dyDescent="0.25">
      <c r="A2396">
        <v>2454</v>
      </c>
      <c r="B2396" t="s">
        <v>2955</v>
      </c>
      <c r="C2396" t="s">
        <v>615</v>
      </c>
      <c r="D2396" t="str">
        <f t="shared" si="81"/>
        <v/>
      </c>
      <c r="E2396" t="str">
        <f t="shared" si="80"/>
        <v>brown-eyed women</v>
      </c>
      <c r="F2396" t="s">
        <v>5255</v>
      </c>
      <c r="G2396" t="str">
        <f>_xlfn.IFNA(VLOOKUP(F2396,songs!$B$1:$C$1539, 2, FALSE),"")</f>
        <v>Brown Eyed Women</v>
      </c>
      <c r="H2396" t="s">
        <v>7867</v>
      </c>
    </row>
    <row r="2397" spans="1:8" x14ac:dyDescent="0.25">
      <c r="A2397">
        <v>2456</v>
      </c>
      <c r="B2397" t="s">
        <v>2957</v>
      </c>
      <c r="C2397" t="s">
        <v>2958</v>
      </c>
      <c r="D2397" t="str">
        <f t="shared" si="81"/>
        <v/>
      </c>
      <c r="E2397" t="str">
        <f t="shared" si="80"/>
        <v>mississippi half step uptown toodeloo</v>
      </c>
      <c r="F2397" t="s">
        <v>6531</v>
      </c>
      <c r="G2397" t="str">
        <f>_xlfn.IFNA(VLOOKUP(F2397,songs!$B$1:$C$1539, 2, FALSE),"")</f>
        <v>Mississippi Half-Step Uptown Toodeloo</v>
      </c>
      <c r="H2397" t="s">
        <v>7867</v>
      </c>
    </row>
    <row r="2398" spans="1:8" x14ac:dyDescent="0.25">
      <c r="A2398">
        <v>2497</v>
      </c>
      <c r="B2398" t="s">
        <v>3001</v>
      </c>
      <c r="C2398" t="s">
        <v>3002</v>
      </c>
      <c r="D2398" t="str">
        <f t="shared" si="81"/>
        <v/>
      </c>
      <c r="E2398" t="str">
        <f t="shared" si="80"/>
        <v>walkin’ blues</v>
      </c>
      <c r="F2398" t="s">
        <v>7611</v>
      </c>
      <c r="G2398" t="str">
        <f>_xlfn.IFNA(VLOOKUP(F2398,songs!$B$1:$C$1539, 2, FALSE),"")</f>
        <v>Walkin' Blues</v>
      </c>
      <c r="H2398" t="s">
        <v>7867</v>
      </c>
    </row>
    <row r="2399" spans="1:8" x14ac:dyDescent="0.25">
      <c r="A2399">
        <v>2398</v>
      </c>
      <c r="B2399" t="s">
        <v>2894</v>
      </c>
      <c r="C2399" t="s">
        <v>2895</v>
      </c>
      <c r="D2399" t="str">
        <f t="shared" si="81"/>
        <v/>
      </c>
      <c r="E2399" t="str">
        <f t="shared" si="80"/>
        <v>i second that emotion</v>
      </c>
      <c r="F2399" t="s">
        <v>6024</v>
      </c>
      <c r="G2399" t="str">
        <f>_xlfn.IFNA(VLOOKUP(F2399,songs!$B$1:$C$1539, 2, FALSE),"")</f>
        <v>I Second That Emotion</v>
      </c>
      <c r="H2399" t="s">
        <v>2895</v>
      </c>
    </row>
    <row r="2400" spans="1:8" x14ac:dyDescent="0.25">
      <c r="A2400">
        <v>2501</v>
      </c>
      <c r="B2400" t="s">
        <v>3007</v>
      </c>
      <c r="C2400" t="s">
        <v>3008</v>
      </c>
      <c r="D2400" t="str">
        <f t="shared" si="81"/>
        <v/>
      </c>
      <c r="E2400" t="str">
        <f t="shared" si="80"/>
        <v>maggie’s farm</v>
      </c>
      <c r="F2400" t="s">
        <v>6442</v>
      </c>
      <c r="G2400" t="str">
        <f>_xlfn.IFNA(VLOOKUP(F2400,songs!$B$1:$C$1539, 2, FALSE),"")</f>
        <v>Maggie's Farm</v>
      </c>
      <c r="H2400" t="s">
        <v>7867</v>
      </c>
    </row>
    <row r="2401" spans="1:8" x14ac:dyDescent="0.25">
      <c r="A2401">
        <v>2400</v>
      </c>
      <c r="B2401" t="s">
        <v>2898</v>
      </c>
      <c r="C2401" t="s">
        <v>148</v>
      </c>
      <c r="D2401" t="str">
        <f t="shared" si="81"/>
        <v/>
      </c>
      <c r="E2401" t="str">
        <f t="shared" si="80"/>
        <v>johnny b. goode</v>
      </c>
      <c r="F2401" t="s">
        <v>6192</v>
      </c>
      <c r="G2401" t="str">
        <f>_xlfn.IFNA(VLOOKUP(F2401,songs!$B$1:$C$1539, 2, FALSE),"")</f>
        <v>Johnny B. Goode</v>
      </c>
      <c r="H2401" t="s">
        <v>148</v>
      </c>
    </row>
    <row r="2402" spans="1:8" x14ac:dyDescent="0.25">
      <c r="A2402">
        <v>2515</v>
      </c>
      <c r="B2402" t="s">
        <v>3024</v>
      </c>
      <c r="C2402" t="s">
        <v>3025</v>
      </c>
      <c r="D2402" t="str">
        <f t="shared" si="81"/>
        <v/>
      </c>
      <c r="E2402" t="str">
        <f t="shared" si="80"/>
        <v>knockin’ on heaven’s door</v>
      </c>
      <c r="F2402" t="s">
        <v>6251</v>
      </c>
      <c r="G2402" t="str">
        <f>_xlfn.IFNA(VLOOKUP(F2402,songs!$B$1:$C$1539, 2, FALSE),"")</f>
        <v>Knockin' On Heaven's Door</v>
      </c>
      <c r="H2402" t="s">
        <v>7867</v>
      </c>
    </row>
    <row r="2403" spans="1:8" x14ac:dyDescent="0.25">
      <c r="A2403">
        <v>2402</v>
      </c>
      <c r="B2403" t="s">
        <v>2901</v>
      </c>
      <c r="C2403" t="s">
        <v>128</v>
      </c>
      <c r="D2403" t="str">
        <f t="shared" si="81"/>
        <v/>
      </c>
      <c r="E2403" t="str">
        <f t="shared" si="80"/>
        <v>alabama getaway</v>
      </c>
      <c r="F2403" t="s">
        <v>5047</v>
      </c>
      <c r="G2403" t="str">
        <f>_xlfn.IFNA(VLOOKUP(F2403,songs!$B$1:$C$1539, 2, FALSE),"")</f>
        <v>Alabama Getaway</v>
      </c>
      <c r="H2403" t="s">
        <v>128</v>
      </c>
    </row>
    <row r="2404" spans="1:8" x14ac:dyDescent="0.25">
      <c r="A2404">
        <v>2403</v>
      </c>
      <c r="B2404" t="s">
        <v>2902</v>
      </c>
      <c r="C2404" t="s">
        <v>154</v>
      </c>
      <c r="D2404" t="str">
        <f t="shared" si="81"/>
        <v/>
      </c>
      <c r="E2404" t="str">
        <f t="shared" si="80"/>
        <v>greatest story ever told</v>
      </c>
      <c r="F2404" t="s">
        <v>5826</v>
      </c>
      <c r="G2404" t="str">
        <f>_xlfn.IFNA(VLOOKUP(F2404,songs!$B$1:$C$1539, 2, FALSE),"")</f>
        <v>Greatest Story Ever Told</v>
      </c>
      <c r="H2404" t="s">
        <v>154</v>
      </c>
    </row>
    <row r="2405" spans="1:8" x14ac:dyDescent="0.25">
      <c r="A2405">
        <v>2404</v>
      </c>
      <c r="B2405" t="s">
        <v>2903</v>
      </c>
      <c r="C2405" t="s">
        <v>90</v>
      </c>
      <c r="D2405" t="str">
        <f t="shared" si="81"/>
        <v/>
      </c>
      <c r="E2405" t="str">
        <f t="shared" si="80"/>
        <v>dire wolf</v>
      </c>
      <c r="F2405" t="s">
        <v>5497</v>
      </c>
      <c r="G2405" t="str">
        <f>_xlfn.IFNA(VLOOKUP(F2405,songs!$B$1:$C$1539, 2, FALSE),"")</f>
        <v>Dire Wolf</v>
      </c>
      <c r="H2405" t="s">
        <v>90</v>
      </c>
    </row>
    <row r="2406" spans="1:8" x14ac:dyDescent="0.25">
      <c r="A2406">
        <v>2405</v>
      </c>
      <c r="B2406" t="s">
        <v>2904</v>
      </c>
      <c r="C2406" t="s">
        <v>166</v>
      </c>
      <c r="D2406" t="str">
        <f t="shared" si="81"/>
        <v/>
      </c>
      <c r="E2406" t="str">
        <f t="shared" si="80"/>
        <v>hell in a bucket</v>
      </c>
      <c r="F2406" t="s">
        <v>5884</v>
      </c>
      <c r="G2406" t="str">
        <f>_xlfn.IFNA(VLOOKUP(F2406,songs!$B$1:$C$1539, 2, FALSE),"")</f>
        <v>Hell In A Bucket</v>
      </c>
      <c r="H2406" t="s">
        <v>4271</v>
      </c>
    </row>
    <row r="2407" spans="1:8" x14ac:dyDescent="0.25">
      <c r="A2407">
        <v>2406</v>
      </c>
      <c r="B2407" t="s">
        <v>2905</v>
      </c>
      <c r="C2407" t="s">
        <v>2355</v>
      </c>
      <c r="D2407" t="str">
        <f t="shared" si="81"/>
        <v/>
      </c>
      <c r="E2407" t="str">
        <f t="shared" si="80"/>
        <v>west l.a. fadeaway</v>
      </c>
      <c r="F2407" t="s">
        <v>7663</v>
      </c>
      <c r="G2407" t="str">
        <f>_xlfn.IFNA(VLOOKUP(F2407,songs!$B$1:$C$1539, 2, FALSE),"")</f>
        <v>West L.A. Fadeaway</v>
      </c>
      <c r="H2407" t="s">
        <v>2355</v>
      </c>
    </row>
    <row r="2408" spans="1:8" x14ac:dyDescent="0.25">
      <c r="A2408">
        <v>2407</v>
      </c>
      <c r="B2408" t="s">
        <v>2906</v>
      </c>
      <c r="C2408" t="s">
        <v>595</v>
      </c>
      <c r="D2408" t="str">
        <f t="shared" si="81"/>
        <v/>
      </c>
      <c r="E2408" t="str">
        <f t="shared" si="80"/>
        <v>me and my uncle</v>
      </c>
      <c r="F2408" t="s">
        <v>6486</v>
      </c>
      <c r="G2408" t="str">
        <f>_xlfn.IFNA(VLOOKUP(F2408,songs!$B$1:$C$1539, 2, FALSE),"")</f>
        <v>Me And My Uncle</v>
      </c>
      <c r="H2408" t="s">
        <v>903</v>
      </c>
    </row>
    <row r="2409" spans="1:8" x14ac:dyDescent="0.25">
      <c r="A2409">
        <v>2408</v>
      </c>
      <c r="B2409" t="s">
        <v>2907</v>
      </c>
      <c r="C2409" t="s">
        <v>186</v>
      </c>
      <c r="D2409" t="str">
        <f t="shared" si="81"/>
        <v/>
      </c>
      <c r="E2409" t="str">
        <f t="shared" si="80"/>
        <v>mexicali blues</v>
      </c>
      <c r="F2409" t="s">
        <v>6499</v>
      </c>
      <c r="G2409" t="str">
        <f>_xlfn.IFNA(VLOOKUP(F2409,songs!$B$1:$C$1539, 2, FALSE),"")</f>
        <v>Mexicali Blues</v>
      </c>
      <c r="H2409" t="s">
        <v>186</v>
      </c>
    </row>
    <row r="2410" spans="1:8" x14ac:dyDescent="0.25">
      <c r="A2410">
        <v>2409</v>
      </c>
      <c r="B2410" t="s">
        <v>2908</v>
      </c>
      <c r="C2410" t="s">
        <v>161</v>
      </c>
      <c r="D2410" t="str">
        <f t="shared" si="81"/>
        <v/>
      </c>
      <c r="E2410" t="str">
        <f t="shared" si="80"/>
        <v>althea</v>
      </c>
      <c r="F2410" t="s">
        <v>5073</v>
      </c>
      <c r="G2410" t="str">
        <f>_xlfn.IFNA(VLOOKUP(F2410,songs!$B$1:$C$1539, 2, FALSE),"")</f>
        <v>Althea</v>
      </c>
      <c r="H2410" t="s">
        <v>161</v>
      </c>
    </row>
    <row r="2411" spans="1:8" x14ac:dyDescent="0.25">
      <c r="A2411">
        <v>2410</v>
      </c>
      <c r="B2411" t="s">
        <v>2909</v>
      </c>
      <c r="C2411" t="s">
        <v>115</v>
      </c>
      <c r="D2411" t="str">
        <f t="shared" si="81"/>
        <v/>
      </c>
      <c r="E2411" t="str">
        <f t="shared" si="80"/>
        <v>c.c. rider</v>
      </c>
      <c r="F2411" t="s">
        <v>5273</v>
      </c>
      <c r="G2411" t="str">
        <f>_xlfn.IFNA(VLOOKUP(F2411,songs!$B$1:$C$1539, 2, FALSE),"")</f>
        <v>C.C. Rider</v>
      </c>
      <c r="H2411" t="s">
        <v>115</v>
      </c>
    </row>
    <row r="2412" spans="1:8" x14ac:dyDescent="0.25">
      <c r="A2412">
        <v>2411</v>
      </c>
      <c r="B2412" t="s">
        <v>2910</v>
      </c>
      <c r="C2412" t="s">
        <v>2824</v>
      </c>
      <c r="D2412" t="str">
        <f t="shared" si="81"/>
        <v/>
      </c>
      <c r="E2412" t="str">
        <f t="shared" si="80"/>
        <v>might as well</v>
      </c>
      <c r="F2412" t="s">
        <v>6518</v>
      </c>
      <c r="G2412" t="str">
        <f>_xlfn.IFNA(VLOOKUP(F2412,songs!$B$1:$C$1539, 2, FALSE),"")</f>
        <v>Might As Well</v>
      </c>
      <c r="H2412" t="s">
        <v>1127</v>
      </c>
    </row>
    <row r="2413" spans="1:8" x14ac:dyDescent="0.25">
      <c r="A2413">
        <v>2412</v>
      </c>
      <c r="B2413" t="s">
        <v>2911</v>
      </c>
      <c r="C2413" t="s">
        <v>59</v>
      </c>
      <c r="D2413" t="str">
        <f t="shared" si="81"/>
        <v/>
      </c>
      <c r="E2413" t="str">
        <f t="shared" si="80"/>
        <v>help on the way</v>
      </c>
      <c r="F2413" t="s">
        <v>5895</v>
      </c>
      <c r="G2413" t="str">
        <f>_xlfn.IFNA(VLOOKUP(F2413,songs!$B$1:$C$1539, 2, FALSE),"")</f>
        <v>Help On The Way</v>
      </c>
      <c r="H2413" t="s">
        <v>1382</v>
      </c>
    </row>
    <row r="2414" spans="1:8" x14ac:dyDescent="0.25">
      <c r="A2414">
        <v>2413</v>
      </c>
      <c r="B2414" t="s">
        <v>2912</v>
      </c>
      <c r="C2414" t="s">
        <v>61</v>
      </c>
      <c r="D2414" t="str">
        <f t="shared" si="81"/>
        <v/>
      </c>
      <c r="E2414" t="str">
        <f t="shared" si="80"/>
        <v>slipknot!</v>
      </c>
      <c r="F2414" t="s">
        <v>7035</v>
      </c>
      <c r="G2414" t="str">
        <f>_xlfn.IFNA(VLOOKUP(F2414,songs!$B$1:$C$1539, 2, FALSE),"")</f>
        <v>Slipknot!</v>
      </c>
      <c r="H2414" t="s">
        <v>61</v>
      </c>
    </row>
    <row r="2415" spans="1:8" x14ac:dyDescent="0.25">
      <c r="A2415">
        <v>2414</v>
      </c>
      <c r="B2415" t="s">
        <v>2913</v>
      </c>
      <c r="C2415" t="s">
        <v>63</v>
      </c>
      <c r="D2415" t="str">
        <f t="shared" si="81"/>
        <v/>
      </c>
      <c r="E2415" t="str">
        <f t="shared" si="80"/>
        <v>franklin's tower</v>
      </c>
      <c r="F2415" t="s">
        <v>5712</v>
      </c>
      <c r="G2415" t="str">
        <f>_xlfn.IFNA(VLOOKUP(F2415,songs!$B$1:$C$1539, 2, FALSE),"")</f>
        <v>Franklin's Tower</v>
      </c>
      <c r="H2415" t="s">
        <v>63</v>
      </c>
    </row>
    <row r="2416" spans="1:8" x14ac:dyDescent="0.25">
      <c r="A2416">
        <v>2415</v>
      </c>
      <c r="B2416" t="s">
        <v>2914</v>
      </c>
      <c r="C2416" t="s">
        <v>389</v>
      </c>
      <c r="D2416" t="str">
        <f t="shared" si="81"/>
        <v/>
      </c>
      <c r="E2416" t="str">
        <f t="shared" si="80"/>
        <v>let it grow</v>
      </c>
      <c r="F2416" t="s">
        <v>6308</v>
      </c>
      <c r="G2416" t="str">
        <f>_xlfn.IFNA(VLOOKUP(F2416,songs!$B$1:$C$1539, 2, FALSE),"")</f>
        <v>Let It Grow</v>
      </c>
      <c r="H2416" t="s">
        <v>389</v>
      </c>
    </row>
    <row r="2417" spans="1:8" x14ac:dyDescent="0.25">
      <c r="A2417">
        <v>2416</v>
      </c>
      <c r="B2417" t="s">
        <v>2915</v>
      </c>
      <c r="C2417" t="s">
        <v>13</v>
      </c>
      <c r="D2417" t="str">
        <f t="shared" si="81"/>
        <v/>
      </c>
      <c r="E2417" t="str">
        <f t="shared" si="80"/>
        <v>he's gone</v>
      </c>
      <c r="F2417" t="s">
        <v>5903</v>
      </c>
      <c r="G2417" t="str">
        <f>_xlfn.IFNA(VLOOKUP(F2417,songs!$B$1:$C$1539, 2, FALSE),"")</f>
        <v>He's Gone</v>
      </c>
      <c r="H2417" t="s">
        <v>13</v>
      </c>
    </row>
    <row r="2418" spans="1:8" x14ac:dyDescent="0.25">
      <c r="A2418">
        <v>2417</v>
      </c>
      <c r="B2418" t="s">
        <v>2916</v>
      </c>
      <c r="C2418" t="s">
        <v>100</v>
      </c>
      <c r="D2418" t="str">
        <f t="shared" si="81"/>
        <v/>
      </c>
      <c r="E2418" t="str">
        <f t="shared" si="80"/>
        <v>drums</v>
      </c>
      <c r="F2418" t="s">
        <v>5568</v>
      </c>
      <c r="G2418" t="str">
        <f>_xlfn.IFNA(VLOOKUP(F2418,songs!$B$1:$C$1539, 2, FALSE),"")</f>
        <v>Drums</v>
      </c>
      <c r="H2418" t="s">
        <v>100</v>
      </c>
    </row>
    <row r="2419" spans="1:8" x14ac:dyDescent="0.25">
      <c r="A2419">
        <v>2418</v>
      </c>
      <c r="B2419" t="s">
        <v>2917</v>
      </c>
      <c r="C2419" t="s">
        <v>277</v>
      </c>
      <c r="D2419" t="str">
        <f t="shared" si="81"/>
        <v/>
      </c>
      <c r="E2419" t="str">
        <f t="shared" si="80"/>
        <v>space</v>
      </c>
      <c r="F2419" t="s">
        <v>7091</v>
      </c>
      <c r="G2419" t="str">
        <f>_xlfn.IFNA(VLOOKUP(F2419,songs!$B$1:$C$1539, 2, FALSE),"")</f>
        <v>Space</v>
      </c>
      <c r="H2419" t="s">
        <v>277</v>
      </c>
    </row>
    <row r="2420" spans="1:8" x14ac:dyDescent="0.25">
      <c r="A2420">
        <v>2419</v>
      </c>
      <c r="B2420" t="s">
        <v>2918</v>
      </c>
      <c r="C2420" t="s">
        <v>15</v>
      </c>
      <c r="D2420" t="str">
        <f t="shared" si="81"/>
        <v/>
      </c>
      <c r="E2420" t="str">
        <f t="shared" si="80"/>
        <v>truckin'</v>
      </c>
      <c r="F2420" t="s">
        <v>7436</v>
      </c>
      <c r="G2420" t="str">
        <f>_xlfn.IFNA(VLOOKUP(F2420,songs!$B$1:$C$1539, 2, FALSE),"")</f>
        <v>Truckin'</v>
      </c>
      <c r="H2420" t="s">
        <v>15</v>
      </c>
    </row>
    <row r="2421" spans="1:8" x14ac:dyDescent="0.25">
      <c r="A2421">
        <v>2420</v>
      </c>
      <c r="B2421" t="s">
        <v>2919</v>
      </c>
      <c r="C2421" t="s">
        <v>2920</v>
      </c>
      <c r="D2421" t="str">
        <f t="shared" si="81"/>
        <v/>
      </c>
      <c r="E2421" t="str">
        <f t="shared" si="80"/>
        <v>wang dang doodle</v>
      </c>
      <c r="F2421" t="s">
        <v>7634</v>
      </c>
      <c r="G2421" t="str">
        <f>_xlfn.IFNA(VLOOKUP(F2421,songs!$B$1:$C$1539, 2, FALSE),"")</f>
        <v>Wang Dang Doodle</v>
      </c>
      <c r="H2421" t="s">
        <v>2920</v>
      </c>
    </row>
    <row r="2422" spans="1:8" x14ac:dyDescent="0.25">
      <c r="A2422">
        <v>2421</v>
      </c>
      <c r="B2422" t="s">
        <v>2921</v>
      </c>
      <c r="C2422" t="s">
        <v>212</v>
      </c>
      <c r="D2422" t="str">
        <f t="shared" si="81"/>
        <v/>
      </c>
      <c r="E2422" t="str">
        <f t="shared" si="80"/>
        <v>morning dew</v>
      </c>
      <c r="F2422" t="s">
        <v>6555</v>
      </c>
      <c r="G2422" t="str">
        <f>_xlfn.IFNA(VLOOKUP(F2422,songs!$B$1:$C$1539, 2, FALSE),"")</f>
        <v>Morning Dew</v>
      </c>
      <c r="H2422" t="s">
        <v>212</v>
      </c>
    </row>
    <row r="2423" spans="1:8" x14ac:dyDescent="0.25">
      <c r="A2423">
        <v>2422</v>
      </c>
      <c r="B2423" t="s">
        <v>2922</v>
      </c>
      <c r="C2423" t="s">
        <v>26</v>
      </c>
      <c r="D2423" t="str">
        <f t="shared" si="81"/>
        <v/>
      </c>
      <c r="E2423" t="str">
        <f t="shared" si="80"/>
        <v>around and around</v>
      </c>
      <c r="F2423" t="s">
        <v>5103</v>
      </c>
      <c r="G2423" t="str">
        <f>_xlfn.IFNA(VLOOKUP(F2423,songs!$B$1:$C$1539, 2, FALSE),"")</f>
        <v>Around And Around</v>
      </c>
      <c r="H2423" t="s">
        <v>579</v>
      </c>
    </row>
    <row r="2424" spans="1:8" x14ac:dyDescent="0.25">
      <c r="A2424">
        <v>2423</v>
      </c>
      <c r="B2424" t="s">
        <v>2923</v>
      </c>
      <c r="C2424" t="s">
        <v>30</v>
      </c>
      <c r="D2424" t="str">
        <f t="shared" si="81"/>
        <v/>
      </c>
      <c r="E2424" t="str">
        <f t="shared" si="80"/>
        <v>sugar magnolia</v>
      </c>
      <c r="F2424" t="s">
        <v>7150</v>
      </c>
      <c r="G2424" t="str">
        <f>_xlfn.IFNA(VLOOKUP(F2424,songs!$B$1:$C$1539, 2, FALSE),"")</f>
        <v>Sugar Magnolia</v>
      </c>
      <c r="H2424" t="s">
        <v>30</v>
      </c>
    </row>
    <row r="2425" spans="1:8" x14ac:dyDescent="0.25">
      <c r="A2425">
        <v>2424</v>
      </c>
      <c r="B2425" t="s">
        <v>2924</v>
      </c>
      <c r="C2425" t="s">
        <v>183</v>
      </c>
      <c r="D2425" t="str">
        <f t="shared" si="81"/>
        <v/>
      </c>
      <c r="E2425" t="str">
        <f t="shared" si="80"/>
        <v>u.s. blues</v>
      </c>
      <c r="F2425" t="s">
        <v>7464</v>
      </c>
      <c r="G2425" t="str">
        <f>_xlfn.IFNA(VLOOKUP(F2425,songs!$B$1:$C$1539, 2, FALSE),"")</f>
        <v>U.S. Blues</v>
      </c>
      <c r="H2425" t="s">
        <v>183</v>
      </c>
    </row>
    <row r="2426" spans="1:8" x14ac:dyDescent="0.25">
      <c r="A2426">
        <v>2425</v>
      </c>
      <c r="B2426" t="s">
        <v>2925</v>
      </c>
      <c r="C2426" t="s">
        <v>225</v>
      </c>
      <c r="D2426" t="str">
        <f t="shared" si="81"/>
        <v/>
      </c>
      <c r="E2426" t="str">
        <f t="shared" si="80"/>
        <v>cumberland blues</v>
      </c>
      <c r="F2426" t="s">
        <v>5411</v>
      </c>
      <c r="G2426" t="str">
        <f>_xlfn.IFNA(VLOOKUP(F2426,songs!$B$1:$C$1539, 2, FALSE),"")</f>
        <v>Cumberland Blues</v>
      </c>
      <c r="H2426" t="s">
        <v>225</v>
      </c>
    </row>
    <row r="2427" spans="1:8" x14ac:dyDescent="0.25">
      <c r="A2427">
        <v>2426</v>
      </c>
      <c r="B2427" t="s">
        <v>2926</v>
      </c>
      <c r="C2427" t="s">
        <v>11</v>
      </c>
      <c r="D2427" t="str">
        <f t="shared" si="81"/>
        <v/>
      </c>
      <c r="E2427" t="str">
        <f t="shared" si="80"/>
        <v>playing in the band</v>
      </c>
      <c r="F2427" t="s">
        <v>6769</v>
      </c>
      <c r="G2427" t="str">
        <f>_xlfn.IFNA(VLOOKUP(F2427,songs!$B$1:$C$1539, 2, FALSE),"")</f>
        <v>Playing In The Band</v>
      </c>
      <c r="H2427" t="s">
        <v>419</v>
      </c>
    </row>
    <row r="2428" spans="1:8" x14ac:dyDescent="0.25">
      <c r="A2428">
        <v>2427</v>
      </c>
      <c r="B2428" t="s">
        <v>2927</v>
      </c>
      <c r="C2428" t="s">
        <v>304</v>
      </c>
      <c r="D2428" t="str">
        <f t="shared" si="81"/>
        <v/>
      </c>
      <c r="E2428" t="str">
        <f t="shared" si="80"/>
        <v>china doll</v>
      </c>
      <c r="F2428" t="s">
        <v>5320</v>
      </c>
      <c r="G2428" t="str">
        <f>_xlfn.IFNA(VLOOKUP(F2428,songs!$B$1:$C$1539, 2, FALSE),"")</f>
        <v>China Doll</v>
      </c>
      <c r="H2428" t="s">
        <v>304</v>
      </c>
    </row>
    <row r="2429" spans="1:8" x14ac:dyDescent="0.25">
      <c r="A2429">
        <v>2428</v>
      </c>
      <c r="B2429" t="s">
        <v>2928</v>
      </c>
      <c r="C2429" t="s">
        <v>130</v>
      </c>
      <c r="D2429" t="str">
        <f t="shared" si="81"/>
        <v/>
      </c>
      <c r="E2429" t="str">
        <f t="shared" si="80"/>
        <v>promised land</v>
      </c>
      <c r="F2429" t="s">
        <v>6797</v>
      </c>
      <c r="G2429" t="str">
        <f>_xlfn.IFNA(VLOOKUP(F2429,songs!$B$1:$C$1539, 2, FALSE),"")</f>
        <v>Promised Land</v>
      </c>
      <c r="H2429" t="s">
        <v>130</v>
      </c>
    </row>
    <row r="2430" spans="1:8" x14ac:dyDescent="0.25">
      <c r="A2430">
        <v>2429</v>
      </c>
      <c r="B2430" t="s">
        <v>2929</v>
      </c>
      <c r="C2430" t="s">
        <v>156</v>
      </c>
      <c r="D2430" t="str">
        <f t="shared" si="81"/>
        <v/>
      </c>
      <c r="E2430" t="str">
        <f t="shared" si="80"/>
        <v>they love each other</v>
      </c>
      <c r="F2430" t="s">
        <v>7358</v>
      </c>
      <c r="G2430" t="str">
        <f>_xlfn.IFNA(VLOOKUP(F2430,songs!$B$1:$C$1539, 2, FALSE),"")</f>
        <v>They Love Each Other</v>
      </c>
      <c r="H2430" t="s">
        <v>156</v>
      </c>
    </row>
    <row r="2431" spans="1:8" x14ac:dyDescent="0.25">
      <c r="A2431">
        <v>2430</v>
      </c>
      <c r="B2431" t="s">
        <v>2930</v>
      </c>
      <c r="C2431" t="s">
        <v>2931</v>
      </c>
      <c r="D2431" t="str">
        <f t="shared" si="81"/>
        <v/>
      </c>
      <c r="E2431" t="str">
        <f t="shared" si="80"/>
        <v>minglewood blues</v>
      </c>
      <c r="F2431" t="s">
        <v>6528</v>
      </c>
      <c r="G2431" t="str">
        <f>_xlfn.IFNA(VLOOKUP(F2431,songs!$B$1:$C$1539, 2, FALSE),"")</f>
        <v>Minglewood Blues</v>
      </c>
      <c r="H2431" t="s">
        <v>2931</v>
      </c>
    </row>
    <row r="2432" spans="1:8" x14ac:dyDescent="0.25">
      <c r="A2432">
        <v>2431</v>
      </c>
      <c r="B2432" t="s">
        <v>2932</v>
      </c>
      <c r="C2432" t="s">
        <v>188</v>
      </c>
      <c r="D2432" t="str">
        <f t="shared" si="81"/>
        <v/>
      </c>
      <c r="E2432" t="str">
        <f t="shared" si="80"/>
        <v>row jimmy</v>
      </c>
      <c r="F2432" t="s">
        <v>6893</v>
      </c>
      <c r="G2432" t="str">
        <f>_xlfn.IFNA(VLOOKUP(F2432,songs!$B$1:$C$1539, 2, FALSE),"")</f>
        <v>Row Jimmy</v>
      </c>
      <c r="H2432" t="s">
        <v>188</v>
      </c>
    </row>
    <row r="2433" spans="1:8" x14ac:dyDescent="0.25">
      <c r="A2433">
        <v>2432</v>
      </c>
      <c r="B2433" t="s">
        <v>2933</v>
      </c>
      <c r="C2433" t="s">
        <v>327</v>
      </c>
      <c r="D2433" t="str">
        <f t="shared" si="81"/>
        <v/>
      </c>
      <c r="E2433" t="str">
        <f t="shared" si="80"/>
        <v>el paso</v>
      </c>
      <c r="F2433" t="s">
        <v>5600</v>
      </c>
      <c r="G2433" t="str">
        <f>_xlfn.IFNA(VLOOKUP(F2433,songs!$B$1:$C$1539, 2, FALSE),"")</f>
        <v>El Paso</v>
      </c>
      <c r="H2433" t="s">
        <v>327</v>
      </c>
    </row>
    <row r="2434" spans="1:8" x14ac:dyDescent="0.25">
      <c r="A2434">
        <v>2433</v>
      </c>
      <c r="B2434" t="s">
        <v>2934</v>
      </c>
      <c r="C2434" t="s">
        <v>164</v>
      </c>
      <c r="D2434" t="str">
        <f t="shared" si="81"/>
        <v/>
      </c>
      <c r="E2434" t="str">
        <f t="shared" si="80"/>
        <v>tennessee jed</v>
      </c>
      <c r="F2434" t="s">
        <v>7234</v>
      </c>
      <c r="G2434" t="str">
        <f>_xlfn.IFNA(VLOOKUP(F2434,songs!$B$1:$C$1539, 2, FALSE),"")</f>
        <v>Tennessee Jed</v>
      </c>
      <c r="H2434" t="s">
        <v>164</v>
      </c>
    </row>
    <row r="2435" spans="1:8" x14ac:dyDescent="0.25">
      <c r="A2435">
        <v>2434</v>
      </c>
      <c r="B2435" t="s">
        <v>2935</v>
      </c>
      <c r="C2435" t="s">
        <v>554</v>
      </c>
      <c r="D2435" t="str">
        <f t="shared" si="81"/>
        <v/>
      </c>
      <c r="E2435" t="str">
        <f t="shared" si="80"/>
        <v>it's all over now</v>
      </c>
      <c r="F2435" t="s">
        <v>6135</v>
      </c>
      <c r="G2435" t="str">
        <f>_xlfn.IFNA(VLOOKUP(F2435,songs!$B$1:$C$1539, 2, FALSE),"")</f>
        <v>It's All Over Now</v>
      </c>
      <c r="H2435" t="s">
        <v>554</v>
      </c>
    </row>
    <row r="2436" spans="1:8" x14ac:dyDescent="0.25">
      <c r="A2436">
        <v>2435</v>
      </c>
      <c r="B2436" t="s">
        <v>2936</v>
      </c>
      <c r="C2436" t="s">
        <v>1222</v>
      </c>
      <c r="D2436" t="str">
        <f t="shared" si="81"/>
        <v/>
      </c>
      <c r="E2436" t="str">
        <f t="shared" ref="E2436:E2499" si="82">LOWER(TRIM(SUBSTITUTE(IF(RIGHT(TRIM(C2436),2)="-&gt;",LEFT(TRIM(C2436),LEN(TRIM(C2436))-2),IF(RIGHT(TRIM(C2436),1)="&gt;",LEFT(TRIM(C2436),LEN(TRIM(C2436))-1),C2436)),"//","")))</f>
        <v>brown eyed women</v>
      </c>
      <c r="F2436" t="s">
        <v>5255</v>
      </c>
      <c r="G2436" t="str">
        <f>_xlfn.IFNA(VLOOKUP(F2436,songs!$B$1:$C$1539, 2, FALSE),"")</f>
        <v>Brown Eyed Women</v>
      </c>
      <c r="H2436" t="s">
        <v>1222</v>
      </c>
    </row>
    <row r="2437" spans="1:8" x14ac:dyDescent="0.25">
      <c r="A2437">
        <v>2436</v>
      </c>
      <c r="B2437" t="s">
        <v>2937</v>
      </c>
      <c r="C2437" t="s">
        <v>389</v>
      </c>
      <c r="D2437" t="str">
        <f t="shared" si="81"/>
        <v/>
      </c>
      <c r="E2437" t="str">
        <f t="shared" si="82"/>
        <v>let it grow</v>
      </c>
      <c r="F2437" t="s">
        <v>6308</v>
      </c>
      <c r="G2437" t="str">
        <f>_xlfn.IFNA(VLOOKUP(F2437,songs!$B$1:$C$1539, 2, FALSE),"")</f>
        <v>Let It Grow</v>
      </c>
      <c r="H2437" t="s">
        <v>389</v>
      </c>
    </row>
    <row r="2438" spans="1:8" x14ac:dyDescent="0.25">
      <c r="A2438">
        <v>2437</v>
      </c>
      <c r="B2438" t="s">
        <v>2938</v>
      </c>
      <c r="C2438" t="s">
        <v>1127</v>
      </c>
      <c r="D2438" t="str">
        <f t="shared" si="81"/>
        <v/>
      </c>
      <c r="E2438" t="str">
        <f t="shared" si="82"/>
        <v>might as well</v>
      </c>
      <c r="F2438" t="s">
        <v>6518</v>
      </c>
      <c r="G2438" t="str">
        <f>_xlfn.IFNA(VLOOKUP(F2438,songs!$B$1:$C$1539, 2, FALSE),"")</f>
        <v>Might As Well</v>
      </c>
      <c r="H2438" t="s">
        <v>1127</v>
      </c>
    </row>
    <row r="2439" spans="1:8" x14ac:dyDescent="0.25">
      <c r="A2439">
        <v>2438</v>
      </c>
      <c r="B2439" t="s">
        <v>2939</v>
      </c>
      <c r="C2439" t="s">
        <v>49</v>
      </c>
      <c r="D2439" t="str">
        <f t="shared" si="81"/>
        <v/>
      </c>
      <c r="E2439" t="str">
        <f t="shared" si="82"/>
        <v>the music never stopped</v>
      </c>
      <c r="F2439" t="s">
        <v>7316</v>
      </c>
      <c r="G2439" t="str">
        <f>_xlfn.IFNA(VLOOKUP(F2439,songs!$B$1:$C$1539, 2, FALSE),"")</f>
        <v>The Music Never Stopped</v>
      </c>
      <c r="H2439" t="s">
        <v>49</v>
      </c>
    </row>
    <row r="2440" spans="1:8" x14ac:dyDescent="0.25">
      <c r="A2440">
        <v>2439</v>
      </c>
      <c r="B2440" t="s">
        <v>2940</v>
      </c>
      <c r="C2440" t="s">
        <v>641</v>
      </c>
      <c r="D2440" t="str">
        <f t="shared" si="81"/>
        <v/>
      </c>
      <c r="E2440" t="str">
        <f t="shared" si="82"/>
        <v>candyman</v>
      </c>
      <c r="F2440" t="s">
        <v>5278</v>
      </c>
      <c r="G2440" t="str">
        <f>_xlfn.IFNA(VLOOKUP(F2440,songs!$B$1:$C$1539, 2, FALSE),"")</f>
        <v>Candyman</v>
      </c>
      <c r="H2440" t="s">
        <v>641</v>
      </c>
    </row>
    <row r="2441" spans="1:8" x14ac:dyDescent="0.25">
      <c r="A2441">
        <v>2440</v>
      </c>
      <c r="B2441" t="s">
        <v>2941</v>
      </c>
      <c r="C2441" t="s">
        <v>266</v>
      </c>
      <c r="D2441" t="str">
        <f t="shared" ref="D2441:D2504" si="83">IF(RIGHT(TRIM(C2441),2)="-&gt;","&gt;",IF(RIGHT(TRIM(C2441),1)="&gt;","&gt;",""))</f>
        <v/>
      </c>
      <c r="E2441" t="str">
        <f t="shared" si="82"/>
        <v>samson and delilah</v>
      </c>
      <c r="F2441" t="s">
        <v>6925</v>
      </c>
      <c r="G2441" t="str">
        <f>_xlfn.IFNA(VLOOKUP(F2441,songs!$B$1:$C$1539, 2, FALSE),"")</f>
        <v>Samson And Delilah</v>
      </c>
      <c r="H2441" t="s">
        <v>266</v>
      </c>
    </row>
    <row r="2442" spans="1:8" x14ac:dyDescent="0.25">
      <c r="A2442">
        <v>2441</v>
      </c>
      <c r="B2442" t="s">
        <v>2942</v>
      </c>
      <c r="C2442" t="s">
        <v>1057</v>
      </c>
      <c r="D2442" t="str">
        <f t="shared" si="83"/>
        <v/>
      </c>
      <c r="E2442" t="str">
        <f t="shared" si="82"/>
        <v>it must have been the roses</v>
      </c>
      <c r="F2442" t="s">
        <v>6128</v>
      </c>
      <c r="G2442" t="str">
        <f>_xlfn.IFNA(VLOOKUP(F2442,songs!$B$1:$C$1539, 2, FALSE),"")</f>
        <v>It Must Have Been The Roses</v>
      </c>
      <c r="H2442" t="s">
        <v>1057</v>
      </c>
    </row>
    <row r="2443" spans="1:8" x14ac:dyDescent="0.25">
      <c r="A2443">
        <v>2442</v>
      </c>
      <c r="B2443" t="s">
        <v>2943</v>
      </c>
      <c r="C2443" t="s">
        <v>3</v>
      </c>
      <c r="D2443" t="str">
        <f t="shared" si="83"/>
        <v/>
      </c>
      <c r="E2443" t="str">
        <f t="shared" si="82"/>
        <v>big river</v>
      </c>
      <c r="F2443" t="s">
        <v>5175</v>
      </c>
      <c r="G2443" t="str">
        <f>_xlfn.IFNA(VLOOKUP(F2443,songs!$B$1:$C$1539, 2, FALSE),"")</f>
        <v>Big River</v>
      </c>
      <c r="H2443" t="s">
        <v>3</v>
      </c>
    </row>
    <row r="2444" spans="1:8" x14ac:dyDescent="0.25">
      <c r="A2444">
        <v>2443</v>
      </c>
      <c r="B2444" t="s">
        <v>2944</v>
      </c>
      <c r="C2444" t="s">
        <v>464</v>
      </c>
      <c r="D2444" t="str">
        <f t="shared" si="83"/>
        <v/>
      </c>
      <c r="E2444" t="str">
        <f t="shared" si="82"/>
        <v>friend of the devil</v>
      </c>
      <c r="F2444" t="s">
        <v>5721</v>
      </c>
      <c r="G2444" t="str">
        <f>_xlfn.IFNA(VLOOKUP(F2444,songs!$B$1:$C$1539, 2, FALSE),"")</f>
        <v>Friend Of The Devil</v>
      </c>
      <c r="H2444" t="s">
        <v>464</v>
      </c>
    </row>
    <row r="2445" spans="1:8" x14ac:dyDescent="0.25">
      <c r="A2445">
        <v>2524</v>
      </c>
      <c r="B2445" t="s">
        <v>3038</v>
      </c>
      <c r="C2445" t="s">
        <v>2841</v>
      </c>
      <c r="D2445" t="str">
        <f t="shared" si="83"/>
        <v/>
      </c>
      <c r="E2445" t="str">
        <f t="shared" si="82"/>
        <v>mississippi half-step uptown toodeloo ]</v>
      </c>
      <c r="F2445" t="s">
        <v>6531</v>
      </c>
      <c r="G2445" t="str">
        <f>_xlfn.IFNA(VLOOKUP(F2445,songs!$B$1:$C$1539, 2, FALSE),"")</f>
        <v>Mississippi Half-Step Uptown Toodeloo</v>
      </c>
      <c r="H2445" t="s">
        <v>7867</v>
      </c>
    </row>
    <row r="2446" spans="1:8" x14ac:dyDescent="0.25">
      <c r="A2446">
        <v>2445</v>
      </c>
      <c r="B2446" t="s">
        <v>2946</v>
      </c>
      <c r="C2446" t="s">
        <v>100</v>
      </c>
      <c r="D2446" t="str">
        <f t="shared" si="83"/>
        <v/>
      </c>
      <c r="E2446" t="str">
        <f t="shared" si="82"/>
        <v>drums</v>
      </c>
      <c r="F2446" t="s">
        <v>5568</v>
      </c>
      <c r="G2446" t="str">
        <f>_xlfn.IFNA(VLOOKUP(F2446,songs!$B$1:$C$1539, 2, FALSE),"")</f>
        <v>Drums</v>
      </c>
      <c r="H2446" t="s">
        <v>100</v>
      </c>
    </row>
    <row r="2447" spans="1:8" x14ac:dyDescent="0.25">
      <c r="A2447">
        <v>2446</v>
      </c>
      <c r="B2447" t="s">
        <v>2947</v>
      </c>
      <c r="C2447" t="s">
        <v>139</v>
      </c>
      <c r="D2447" t="str">
        <f t="shared" si="83"/>
        <v/>
      </c>
      <c r="E2447" t="str">
        <f t="shared" si="82"/>
        <v>the other one</v>
      </c>
      <c r="F2447" t="s">
        <v>7325</v>
      </c>
      <c r="G2447" t="str">
        <f>_xlfn.IFNA(VLOOKUP(F2447,songs!$B$1:$C$1539, 2, FALSE),"")</f>
        <v>The Other One</v>
      </c>
      <c r="H2447" t="s">
        <v>139</v>
      </c>
    </row>
    <row r="2448" spans="1:8" x14ac:dyDescent="0.25">
      <c r="A2448">
        <v>2447</v>
      </c>
      <c r="B2448" t="s">
        <v>2948</v>
      </c>
      <c r="C2448" t="s">
        <v>24</v>
      </c>
      <c r="D2448" t="str">
        <f t="shared" si="83"/>
        <v/>
      </c>
      <c r="E2448" t="str">
        <f t="shared" si="82"/>
        <v>stella blue</v>
      </c>
      <c r="F2448" t="s">
        <v>7123</v>
      </c>
      <c r="G2448" t="str">
        <f>_xlfn.IFNA(VLOOKUP(F2448,songs!$B$1:$C$1539, 2, FALSE),"")</f>
        <v>Stella Blue</v>
      </c>
      <c r="H2448" t="s">
        <v>24</v>
      </c>
    </row>
    <row r="2449" spans="1:8" x14ac:dyDescent="0.25">
      <c r="A2449">
        <v>2448</v>
      </c>
      <c r="B2449" t="s">
        <v>2949</v>
      </c>
      <c r="C2449" t="s">
        <v>139</v>
      </c>
      <c r="D2449" t="str">
        <f t="shared" si="83"/>
        <v/>
      </c>
      <c r="E2449" t="str">
        <f t="shared" si="82"/>
        <v>the other one</v>
      </c>
      <c r="F2449" t="s">
        <v>7325</v>
      </c>
      <c r="G2449" t="str">
        <f>_xlfn.IFNA(VLOOKUP(F2449,songs!$B$1:$C$1539, 2, FALSE),"")</f>
        <v>The Other One</v>
      </c>
      <c r="H2449" t="s">
        <v>139</v>
      </c>
    </row>
    <row r="2450" spans="1:8" x14ac:dyDescent="0.25">
      <c r="A2450">
        <v>2449</v>
      </c>
      <c r="B2450" t="s">
        <v>2950</v>
      </c>
      <c r="C2450" t="s">
        <v>30</v>
      </c>
      <c r="D2450" t="str">
        <f t="shared" si="83"/>
        <v/>
      </c>
      <c r="E2450" t="str">
        <f t="shared" si="82"/>
        <v>sugar magnolia</v>
      </c>
      <c r="F2450" t="s">
        <v>7150</v>
      </c>
      <c r="G2450" t="str">
        <f>_xlfn.IFNA(VLOOKUP(F2450,songs!$B$1:$C$1539, 2, FALSE),"")</f>
        <v>Sugar Magnolia</v>
      </c>
      <c r="H2450" t="s">
        <v>30</v>
      </c>
    </row>
    <row r="2451" spans="1:8" x14ac:dyDescent="0.25">
      <c r="A2451">
        <v>2527</v>
      </c>
      <c r="B2451" t="s">
        <v>3041</v>
      </c>
      <c r="C2451" t="s">
        <v>122</v>
      </c>
      <c r="D2451" t="str">
        <f t="shared" si="83"/>
        <v/>
      </c>
      <c r="E2451" t="str">
        <f t="shared" si="82"/>
        <v>new minglewood blues</v>
      </c>
      <c r="F2451" t="s">
        <v>7869</v>
      </c>
      <c r="G2451" t="str">
        <f>_xlfn.IFNA(VLOOKUP(F2451,songs!$B$1:$C$1539, 2, FALSE),"")</f>
        <v>Minglewood Blues</v>
      </c>
      <c r="H2451" t="s">
        <v>7867</v>
      </c>
    </row>
    <row r="2452" spans="1:8" x14ac:dyDescent="0.25">
      <c r="A2452">
        <v>2451</v>
      </c>
      <c r="B2452" t="s">
        <v>2952</v>
      </c>
      <c r="C2452" t="s">
        <v>262</v>
      </c>
      <c r="D2452" t="str">
        <f t="shared" si="83"/>
        <v/>
      </c>
      <c r="E2452" t="str">
        <f t="shared" si="82"/>
        <v>cassidy</v>
      </c>
      <c r="F2452" t="s">
        <v>5291</v>
      </c>
      <c r="G2452" t="str">
        <f>_xlfn.IFNA(VLOOKUP(F2452,songs!$B$1:$C$1539, 2, FALSE),"")</f>
        <v>Cassidy</v>
      </c>
      <c r="H2452" t="s">
        <v>262</v>
      </c>
    </row>
    <row r="2453" spans="1:8" x14ac:dyDescent="0.25">
      <c r="A2453">
        <v>2452</v>
      </c>
      <c r="B2453" t="s">
        <v>2953</v>
      </c>
      <c r="C2453" t="s">
        <v>264</v>
      </c>
      <c r="D2453" t="str">
        <f t="shared" si="83"/>
        <v/>
      </c>
      <c r="E2453" t="str">
        <f t="shared" si="82"/>
        <v>deal</v>
      </c>
      <c r="F2453" t="s">
        <v>5461</v>
      </c>
      <c r="G2453" t="str">
        <f>_xlfn.IFNA(VLOOKUP(F2453,songs!$B$1:$C$1539, 2, FALSE),"")</f>
        <v>Deal</v>
      </c>
      <c r="H2453" t="s">
        <v>264</v>
      </c>
    </row>
    <row r="2454" spans="1:8" x14ac:dyDescent="0.25">
      <c r="A2454">
        <v>2453</v>
      </c>
      <c r="B2454" t="s">
        <v>2954</v>
      </c>
      <c r="C2454" t="s">
        <v>126</v>
      </c>
      <c r="D2454" t="str">
        <f t="shared" si="83"/>
        <v/>
      </c>
      <c r="E2454" t="str">
        <f t="shared" si="82"/>
        <v>looks like rain</v>
      </c>
      <c r="F2454" t="s">
        <v>6398</v>
      </c>
      <c r="G2454" t="str">
        <f>_xlfn.IFNA(VLOOKUP(F2454,songs!$B$1:$C$1539, 2, FALSE),"")</f>
        <v>Looks Like Rain</v>
      </c>
      <c r="H2454" t="s">
        <v>126</v>
      </c>
    </row>
    <row r="2455" spans="1:8" x14ac:dyDescent="0.25">
      <c r="A2455">
        <v>2531</v>
      </c>
      <c r="B2455" t="s">
        <v>3045</v>
      </c>
      <c r="C2455" t="s">
        <v>615</v>
      </c>
      <c r="D2455" t="str">
        <f t="shared" si="83"/>
        <v/>
      </c>
      <c r="E2455" t="str">
        <f t="shared" si="82"/>
        <v>brown-eyed women</v>
      </c>
      <c r="F2455" t="s">
        <v>5255</v>
      </c>
      <c r="G2455" t="str">
        <f>_xlfn.IFNA(VLOOKUP(F2455,songs!$B$1:$C$1539, 2, FALSE),"")</f>
        <v>Brown Eyed Women</v>
      </c>
      <c r="H2455" t="s">
        <v>7867</v>
      </c>
    </row>
    <row r="2456" spans="1:8" x14ac:dyDescent="0.25">
      <c r="A2456">
        <v>2455</v>
      </c>
      <c r="B2456" t="s">
        <v>2956</v>
      </c>
      <c r="C2456" t="s">
        <v>130</v>
      </c>
      <c r="D2456" t="str">
        <f t="shared" si="83"/>
        <v/>
      </c>
      <c r="E2456" t="str">
        <f t="shared" si="82"/>
        <v>promised land</v>
      </c>
      <c r="F2456" t="s">
        <v>6797</v>
      </c>
      <c r="G2456" t="str">
        <f>_xlfn.IFNA(VLOOKUP(F2456,songs!$B$1:$C$1539, 2, FALSE),"")</f>
        <v>Promised Land</v>
      </c>
      <c r="H2456" t="s">
        <v>130</v>
      </c>
    </row>
    <row r="2457" spans="1:8" x14ac:dyDescent="0.25">
      <c r="A2457">
        <v>2532</v>
      </c>
      <c r="B2457" t="s">
        <v>3046</v>
      </c>
      <c r="C2457" t="s">
        <v>57</v>
      </c>
      <c r="D2457" t="str">
        <f t="shared" si="83"/>
        <v/>
      </c>
      <c r="E2457" t="str">
        <f t="shared" si="82"/>
        <v>dancing in the street</v>
      </c>
      <c r="F2457" t="s">
        <v>5418</v>
      </c>
      <c r="G2457" t="str">
        <f>_xlfn.IFNA(VLOOKUP(F2457,songs!$B$1:$C$1539, 2, FALSE),"")</f>
        <v>Dancin' In The Streets</v>
      </c>
      <c r="H2457" t="s">
        <v>7867</v>
      </c>
    </row>
    <row r="2458" spans="1:8" x14ac:dyDescent="0.25">
      <c r="A2458">
        <v>2457</v>
      </c>
      <c r="B2458" t="s">
        <v>2959</v>
      </c>
      <c r="C2458" t="s">
        <v>1400</v>
      </c>
      <c r="D2458" t="str">
        <f t="shared" si="83"/>
        <v/>
      </c>
      <c r="E2458" t="str">
        <f t="shared" si="82"/>
        <v>the race is on</v>
      </c>
      <c r="F2458" t="s">
        <v>7326</v>
      </c>
      <c r="G2458" t="str">
        <f>_xlfn.IFNA(VLOOKUP(F2458,songs!$B$1:$C$1539, 2, FALSE),"")</f>
        <v>The Race Is On</v>
      </c>
      <c r="H2458" t="s">
        <v>1400</v>
      </c>
    </row>
    <row r="2459" spans="1:8" x14ac:dyDescent="0.25">
      <c r="A2459">
        <v>2458</v>
      </c>
      <c r="B2459" t="s">
        <v>2960</v>
      </c>
      <c r="C2459" t="s">
        <v>1666</v>
      </c>
      <c r="D2459" t="str">
        <f t="shared" si="83"/>
        <v/>
      </c>
      <c r="E2459" t="str">
        <f t="shared" si="82"/>
        <v>wave that flag</v>
      </c>
      <c r="F2459" t="s">
        <v>7645</v>
      </c>
      <c r="G2459" t="str">
        <f>_xlfn.IFNA(VLOOKUP(F2459,songs!$B$1:$C$1539, 2, FALSE),"")</f>
        <v>Wave That Flag</v>
      </c>
      <c r="H2459" t="s">
        <v>1666</v>
      </c>
    </row>
    <row r="2460" spans="1:8" x14ac:dyDescent="0.25">
      <c r="A2460">
        <v>2459</v>
      </c>
      <c r="B2460" t="s">
        <v>2961</v>
      </c>
      <c r="C2460" t="s">
        <v>199</v>
      </c>
      <c r="D2460" t="str">
        <f t="shared" si="83"/>
        <v/>
      </c>
      <c r="E2460" t="str">
        <f t="shared" si="82"/>
        <v>jack straw</v>
      </c>
      <c r="F2460" t="s">
        <v>6161</v>
      </c>
      <c r="G2460" t="str">
        <f>_xlfn.IFNA(VLOOKUP(F2460,songs!$B$1:$C$1539, 2, FALSE),"")</f>
        <v>Jack Straw</v>
      </c>
      <c r="H2460" t="s">
        <v>199</v>
      </c>
    </row>
    <row r="2461" spans="1:8" x14ac:dyDescent="0.25">
      <c r="A2461">
        <v>2460</v>
      </c>
      <c r="B2461" t="s">
        <v>2962</v>
      </c>
      <c r="C2461" t="s">
        <v>51</v>
      </c>
      <c r="D2461" t="str">
        <f t="shared" si="83"/>
        <v/>
      </c>
      <c r="E2461" t="str">
        <f t="shared" si="82"/>
        <v>sugaree</v>
      </c>
      <c r="F2461" t="s">
        <v>7151</v>
      </c>
      <c r="G2461" t="str">
        <f>_xlfn.IFNA(VLOOKUP(F2461,songs!$B$1:$C$1539, 2, FALSE),"")</f>
        <v>Sugaree</v>
      </c>
      <c r="H2461" t="s">
        <v>51</v>
      </c>
    </row>
    <row r="2462" spans="1:8" x14ac:dyDescent="0.25">
      <c r="A2462">
        <v>2461</v>
      </c>
      <c r="B2462" t="s">
        <v>2963</v>
      </c>
      <c r="C2462" t="s">
        <v>186</v>
      </c>
      <c r="D2462" t="str">
        <f t="shared" si="83"/>
        <v/>
      </c>
      <c r="E2462" t="str">
        <f t="shared" si="82"/>
        <v>mexicali blues</v>
      </c>
      <c r="F2462" t="s">
        <v>6499</v>
      </c>
      <c r="G2462" t="str">
        <f>_xlfn.IFNA(VLOOKUP(F2462,songs!$B$1:$C$1539, 2, FALSE),"")</f>
        <v>Mexicali Blues</v>
      </c>
      <c r="H2462" t="s">
        <v>186</v>
      </c>
    </row>
    <row r="2463" spans="1:8" x14ac:dyDescent="0.25">
      <c r="A2463">
        <v>2462</v>
      </c>
      <c r="B2463" t="s">
        <v>2964</v>
      </c>
      <c r="C2463" t="s">
        <v>1671</v>
      </c>
      <c r="D2463" t="str">
        <f t="shared" si="83"/>
        <v/>
      </c>
      <c r="E2463" t="str">
        <f t="shared" si="82"/>
        <v>box of rain</v>
      </c>
      <c r="F2463" t="s">
        <v>5237</v>
      </c>
      <c r="G2463" t="str">
        <f>_xlfn.IFNA(VLOOKUP(F2463,songs!$B$1:$C$1539, 2, FALSE),"")</f>
        <v>Box Of Rain</v>
      </c>
      <c r="H2463" t="s">
        <v>915</v>
      </c>
    </row>
    <row r="2464" spans="1:8" x14ac:dyDescent="0.25">
      <c r="A2464">
        <v>2463</v>
      </c>
      <c r="B2464" t="s">
        <v>2965</v>
      </c>
      <c r="C2464" t="s">
        <v>188</v>
      </c>
      <c r="D2464" t="str">
        <f t="shared" si="83"/>
        <v/>
      </c>
      <c r="E2464" t="str">
        <f t="shared" si="82"/>
        <v>row jimmy</v>
      </c>
      <c r="F2464" t="s">
        <v>6893</v>
      </c>
      <c r="G2464" t="str">
        <f>_xlfn.IFNA(VLOOKUP(F2464,songs!$B$1:$C$1539, 2, FALSE),"")</f>
        <v>Row Jimmy</v>
      </c>
      <c r="H2464" t="s">
        <v>188</v>
      </c>
    </row>
    <row r="2465" spans="1:8" x14ac:dyDescent="0.25">
      <c r="A2465">
        <v>2464</v>
      </c>
      <c r="B2465" t="s">
        <v>2966</v>
      </c>
      <c r="C2465" t="s">
        <v>802</v>
      </c>
      <c r="D2465" t="str">
        <f t="shared" si="83"/>
        <v/>
      </c>
      <c r="E2465" t="str">
        <f t="shared" si="82"/>
        <v>beat it on down the line</v>
      </c>
      <c r="F2465" t="s">
        <v>5149</v>
      </c>
      <c r="G2465" t="str">
        <f>_xlfn.IFNA(VLOOKUP(F2465,songs!$B$1:$C$1539, 2, FALSE),"")</f>
        <v>Beat It On Down The Line</v>
      </c>
      <c r="H2465" t="s">
        <v>431</v>
      </c>
    </row>
    <row r="2466" spans="1:8" x14ac:dyDescent="0.25">
      <c r="A2466">
        <v>2465</v>
      </c>
      <c r="B2466" t="s">
        <v>2967</v>
      </c>
      <c r="C2466" t="s">
        <v>1222</v>
      </c>
      <c r="D2466" t="str">
        <f t="shared" si="83"/>
        <v/>
      </c>
      <c r="E2466" t="str">
        <f t="shared" si="82"/>
        <v>brown eyed women</v>
      </c>
      <c r="F2466" t="s">
        <v>5255</v>
      </c>
      <c r="G2466" t="str">
        <f>_xlfn.IFNA(VLOOKUP(F2466,songs!$B$1:$C$1539, 2, FALSE),"")</f>
        <v>Brown Eyed Women</v>
      </c>
      <c r="H2466" t="s">
        <v>1222</v>
      </c>
    </row>
    <row r="2467" spans="1:8" x14ac:dyDescent="0.25">
      <c r="A2467">
        <v>2466</v>
      </c>
      <c r="B2467" t="s">
        <v>2968</v>
      </c>
      <c r="C2467" t="s">
        <v>327</v>
      </c>
      <c r="D2467" t="str">
        <f t="shared" si="83"/>
        <v/>
      </c>
      <c r="E2467" t="str">
        <f t="shared" si="82"/>
        <v>el paso</v>
      </c>
      <c r="F2467" t="s">
        <v>5600</v>
      </c>
      <c r="G2467" t="str">
        <f>_xlfn.IFNA(VLOOKUP(F2467,songs!$B$1:$C$1539, 2, FALSE),"")</f>
        <v>El Paso</v>
      </c>
      <c r="H2467" t="s">
        <v>327</v>
      </c>
    </row>
    <row r="2468" spans="1:8" x14ac:dyDescent="0.25">
      <c r="A2468">
        <v>2467</v>
      </c>
      <c r="B2468" t="s">
        <v>2969</v>
      </c>
      <c r="C2468" t="s">
        <v>84</v>
      </c>
      <c r="D2468" t="str">
        <f t="shared" si="83"/>
        <v/>
      </c>
      <c r="E2468" t="str">
        <f t="shared" si="82"/>
        <v>china cat sunflower</v>
      </c>
      <c r="F2468" t="s">
        <v>5319</v>
      </c>
      <c r="G2468" t="str">
        <f>_xlfn.IFNA(VLOOKUP(F2468,songs!$B$1:$C$1539, 2, FALSE),"")</f>
        <v>China Cat Sunflower</v>
      </c>
      <c r="H2468" t="s">
        <v>84</v>
      </c>
    </row>
    <row r="2469" spans="1:8" x14ac:dyDescent="0.25">
      <c r="A2469">
        <v>2468</v>
      </c>
      <c r="B2469" t="s">
        <v>2970</v>
      </c>
      <c r="C2469" t="s">
        <v>86</v>
      </c>
      <c r="D2469" t="str">
        <f t="shared" si="83"/>
        <v/>
      </c>
      <c r="E2469" t="str">
        <f t="shared" si="82"/>
        <v>i know you rider</v>
      </c>
      <c r="F2469" t="s">
        <v>6020</v>
      </c>
      <c r="G2469" t="str">
        <f>_xlfn.IFNA(VLOOKUP(F2469,songs!$B$1:$C$1539, 2, FALSE),"")</f>
        <v>I Know You Rider</v>
      </c>
      <c r="H2469" t="s">
        <v>86</v>
      </c>
    </row>
    <row r="2470" spans="1:8" x14ac:dyDescent="0.25">
      <c r="A2470">
        <v>2469</v>
      </c>
      <c r="B2470" t="s">
        <v>2971</v>
      </c>
      <c r="C2470" t="s">
        <v>126</v>
      </c>
      <c r="D2470" t="str">
        <f t="shared" si="83"/>
        <v/>
      </c>
      <c r="E2470" t="str">
        <f t="shared" si="82"/>
        <v>looks like rain</v>
      </c>
      <c r="F2470" t="s">
        <v>6398</v>
      </c>
      <c r="G2470" t="str">
        <f>_xlfn.IFNA(VLOOKUP(F2470,songs!$B$1:$C$1539, 2, FALSE),"")</f>
        <v>Looks Like Rain</v>
      </c>
      <c r="H2470" t="s">
        <v>126</v>
      </c>
    </row>
    <row r="2471" spans="1:8" x14ac:dyDescent="0.25">
      <c r="A2471">
        <v>2470</v>
      </c>
      <c r="B2471" t="s">
        <v>2972</v>
      </c>
      <c r="C2471" t="s">
        <v>215</v>
      </c>
      <c r="D2471" t="str">
        <f t="shared" si="83"/>
        <v/>
      </c>
      <c r="E2471" t="str">
        <f t="shared" si="82"/>
        <v>don't ease me in</v>
      </c>
      <c r="F2471" t="s">
        <v>5513</v>
      </c>
      <c r="G2471" t="str">
        <f>_xlfn.IFNA(VLOOKUP(F2471,songs!$B$1:$C$1539, 2, FALSE),"")</f>
        <v>Don't Ease Me In</v>
      </c>
      <c r="H2471" t="s">
        <v>215</v>
      </c>
    </row>
    <row r="2472" spans="1:8" x14ac:dyDescent="0.25">
      <c r="A2472">
        <v>2471</v>
      </c>
      <c r="B2472" t="s">
        <v>2973</v>
      </c>
      <c r="C2472" t="s">
        <v>11</v>
      </c>
      <c r="D2472" t="str">
        <f t="shared" si="83"/>
        <v/>
      </c>
      <c r="E2472" t="str">
        <f t="shared" si="82"/>
        <v>playing in the band</v>
      </c>
      <c r="F2472" t="s">
        <v>6769</v>
      </c>
      <c r="G2472" t="str">
        <f>_xlfn.IFNA(VLOOKUP(F2472,songs!$B$1:$C$1539, 2, FALSE),"")</f>
        <v>Playing In The Band</v>
      </c>
      <c r="H2472" t="s">
        <v>419</v>
      </c>
    </row>
    <row r="2473" spans="1:8" x14ac:dyDescent="0.25">
      <c r="A2473">
        <v>2534</v>
      </c>
      <c r="B2473" t="s">
        <v>3048</v>
      </c>
      <c r="C2473" t="s">
        <v>1280</v>
      </c>
      <c r="D2473" t="str">
        <f t="shared" si="83"/>
        <v/>
      </c>
      <c r="E2473" t="str">
        <f t="shared" si="82"/>
        <v>scarlet begonias ]</v>
      </c>
      <c r="F2473" t="s">
        <v>6944</v>
      </c>
      <c r="G2473" t="str">
        <f>_xlfn.IFNA(VLOOKUP(F2473,songs!$B$1:$C$1539, 2, FALSE),"")</f>
        <v>Scarlet Begonias</v>
      </c>
      <c r="H2473" t="s">
        <v>7867</v>
      </c>
    </row>
    <row r="2474" spans="1:8" x14ac:dyDescent="0.25">
      <c r="A2474">
        <v>2473</v>
      </c>
      <c r="B2474" t="s">
        <v>2976</v>
      </c>
      <c r="C2474" t="s">
        <v>436</v>
      </c>
      <c r="D2474" t="str">
        <f t="shared" si="83"/>
        <v/>
      </c>
      <c r="E2474" t="str">
        <f t="shared" si="82"/>
        <v>ramble on rose</v>
      </c>
      <c r="F2474" t="s">
        <v>6827</v>
      </c>
      <c r="G2474" t="str">
        <f>_xlfn.IFNA(VLOOKUP(F2474,songs!$B$1:$C$1539, 2, FALSE),"")</f>
        <v>Ramble On Rose</v>
      </c>
      <c r="H2474" t="s">
        <v>436</v>
      </c>
    </row>
    <row r="2475" spans="1:8" x14ac:dyDescent="0.25">
      <c r="A2475">
        <v>2474</v>
      </c>
      <c r="B2475" t="s">
        <v>2977</v>
      </c>
      <c r="C2475" t="s">
        <v>3</v>
      </c>
      <c r="D2475" t="str">
        <f t="shared" si="83"/>
        <v/>
      </c>
      <c r="E2475" t="str">
        <f t="shared" si="82"/>
        <v>big river</v>
      </c>
      <c r="F2475" t="s">
        <v>5175</v>
      </c>
      <c r="G2475" t="str">
        <f>_xlfn.IFNA(VLOOKUP(F2475,songs!$B$1:$C$1539, 2, FALSE),"")</f>
        <v>Big River</v>
      </c>
      <c r="H2475" t="s">
        <v>3</v>
      </c>
    </row>
    <row r="2476" spans="1:8" x14ac:dyDescent="0.25">
      <c r="A2476">
        <v>2475</v>
      </c>
      <c r="B2476" t="s">
        <v>2978</v>
      </c>
      <c r="C2476" t="s">
        <v>1</v>
      </c>
      <c r="D2476" t="str">
        <f t="shared" si="83"/>
        <v/>
      </c>
      <c r="E2476" t="str">
        <f t="shared" si="82"/>
        <v>here comes sunshine</v>
      </c>
      <c r="F2476" t="s">
        <v>5898</v>
      </c>
      <c r="G2476" t="str">
        <f>_xlfn.IFNA(VLOOKUP(F2476,songs!$B$1:$C$1539, 2, FALSE),"")</f>
        <v>Here Comes Sunshine</v>
      </c>
      <c r="H2476" t="s">
        <v>1</v>
      </c>
    </row>
    <row r="2477" spans="1:8" x14ac:dyDescent="0.25">
      <c r="A2477">
        <v>2476</v>
      </c>
      <c r="B2477" t="s">
        <v>2979</v>
      </c>
      <c r="C2477" t="s">
        <v>154</v>
      </c>
      <c r="D2477" t="str">
        <f t="shared" si="83"/>
        <v/>
      </c>
      <c r="E2477" t="str">
        <f t="shared" si="82"/>
        <v>greatest story ever told</v>
      </c>
      <c r="F2477" t="s">
        <v>5826</v>
      </c>
      <c r="G2477" t="str">
        <f>_xlfn.IFNA(VLOOKUP(F2477,songs!$B$1:$C$1539, 2, FALSE),"")</f>
        <v>Greatest Story Ever Told</v>
      </c>
      <c r="H2477" t="s">
        <v>154</v>
      </c>
    </row>
    <row r="2478" spans="1:8" x14ac:dyDescent="0.25">
      <c r="A2478">
        <v>2477</v>
      </c>
      <c r="B2478" t="s">
        <v>2980</v>
      </c>
      <c r="C2478" t="s">
        <v>641</v>
      </c>
      <c r="D2478" t="str">
        <f t="shared" si="83"/>
        <v/>
      </c>
      <c r="E2478" t="str">
        <f t="shared" si="82"/>
        <v>candyman</v>
      </c>
      <c r="F2478" t="s">
        <v>5278</v>
      </c>
      <c r="G2478" t="str">
        <f>_xlfn.IFNA(VLOOKUP(F2478,songs!$B$1:$C$1539, 2, FALSE),"")</f>
        <v>Candyman</v>
      </c>
      <c r="H2478" t="s">
        <v>641</v>
      </c>
    </row>
    <row r="2479" spans="1:8" x14ac:dyDescent="0.25">
      <c r="A2479">
        <v>2478</v>
      </c>
      <c r="B2479" t="s">
        <v>2981</v>
      </c>
      <c r="C2479" t="s">
        <v>595</v>
      </c>
      <c r="D2479" t="str">
        <f t="shared" si="83"/>
        <v/>
      </c>
      <c r="E2479" t="str">
        <f t="shared" si="82"/>
        <v>me and my uncle</v>
      </c>
      <c r="F2479" t="s">
        <v>6486</v>
      </c>
      <c r="G2479" t="str">
        <f>_xlfn.IFNA(VLOOKUP(F2479,songs!$B$1:$C$1539, 2, FALSE),"")</f>
        <v>Me And My Uncle</v>
      </c>
      <c r="H2479" t="s">
        <v>903</v>
      </c>
    </row>
    <row r="2480" spans="1:8" x14ac:dyDescent="0.25">
      <c r="A2480">
        <v>2479</v>
      </c>
      <c r="B2480" t="s">
        <v>2982</v>
      </c>
      <c r="C2480" t="s">
        <v>956</v>
      </c>
      <c r="D2480" t="str">
        <f t="shared" si="83"/>
        <v/>
      </c>
      <c r="E2480" t="str">
        <f t="shared" si="82"/>
        <v>one more saturday night</v>
      </c>
      <c r="F2480" t="s">
        <v>6702</v>
      </c>
      <c r="G2480" t="str">
        <f>_xlfn.IFNA(VLOOKUP(F2480,songs!$B$1:$C$1539, 2, FALSE),"")</f>
        <v>One More Saturday Night</v>
      </c>
      <c r="H2480" t="s">
        <v>956</v>
      </c>
    </row>
    <row r="2481" spans="1:8" x14ac:dyDescent="0.25">
      <c r="A2481">
        <v>2480</v>
      </c>
      <c r="B2481" t="s">
        <v>2983</v>
      </c>
      <c r="C2481" t="s">
        <v>13</v>
      </c>
      <c r="D2481" t="str">
        <f t="shared" si="83"/>
        <v/>
      </c>
      <c r="E2481" t="str">
        <f t="shared" si="82"/>
        <v>he's gone</v>
      </c>
      <c r="F2481" t="s">
        <v>5903</v>
      </c>
      <c r="G2481" t="str">
        <f>_xlfn.IFNA(VLOOKUP(F2481,songs!$B$1:$C$1539, 2, FALSE),"")</f>
        <v>He's Gone</v>
      </c>
      <c r="H2481" t="s">
        <v>13</v>
      </c>
    </row>
    <row r="2482" spans="1:8" x14ac:dyDescent="0.25">
      <c r="A2482">
        <v>2481</v>
      </c>
      <c r="B2482" t="s">
        <v>2984</v>
      </c>
      <c r="C2482" t="s">
        <v>15</v>
      </c>
      <c r="D2482" t="str">
        <f t="shared" si="83"/>
        <v/>
      </c>
      <c r="E2482" t="str">
        <f t="shared" si="82"/>
        <v>truckin'</v>
      </c>
      <c r="F2482" t="s">
        <v>7436</v>
      </c>
      <c r="G2482" t="str">
        <f>_xlfn.IFNA(VLOOKUP(F2482,songs!$B$1:$C$1539, 2, FALSE),"")</f>
        <v>Truckin'</v>
      </c>
      <c r="H2482" t="s">
        <v>15</v>
      </c>
    </row>
    <row r="2483" spans="1:8" x14ac:dyDescent="0.25">
      <c r="A2483">
        <v>2482</v>
      </c>
      <c r="B2483" t="s">
        <v>2985</v>
      </c>
      <c r="C2483" t="s">
        <v>1692</v>
      </c>
      <c r="D2483" t="str">
        <f t="shared" si="83"/>
        <v/>
      </c>
      <c r="E2483" t="str">
        <f t="shared" si="82"/>
        <v>weather report suite prelude</v>
      </c>
      <c r="F2483" t="s">
        <v>7657</v>
      </c>
      <c r="G2483" t="str">
        <f>_xlfn.IFNA(VLOOKUP(F2483,songs!$B$1:$C$1539, 2, FALSE),"")</f>
        <v>Weather Report Suite Prelude</v>
      </c>
      <c r="H2483" t="s">
        <v>1692</v>
      </c>
    </row>
    <row r="2484" spans="1:8" x14ac:dyDescent="0.25">
      <c r="A2484">
        <v>2483</v>
      </c>
      <c r="B2484" t="s">
        <v>2986</v>
      </c>
      <c r="C2484" t="s">
        <v>19</v>
      </c>
      <c r="D2484" t="str">
        <f t="shared" si="83"/>
        <v/>
      </c>
      <c r="E2484" t="str">
        <f t="shared" si="82"/>
        <v>jam</v>
      </c>
      <c r="F2484" t="s">
        <v>6165</v>
      </c>
      <c r="G2484" t="str">
        <f>_xlfn.IFNA(VLOOKUP(F2484,songs!$B$1:$C$1539, 2, FALSE),"")</f>
        <v>Jam</v>
      </c>
      <c r="H2484" t="s">
        <v>19</v>
      </c>
    </row>
    <row r="2485" spans="1:8" x14ac:dyDescent="0.25">
      <c r="A2485">
        <v>2484</v>
      </c>
      <c r="B2485" t="s">
        <v>2987</v>
      </c>
      <c r="C2485" t="s">
        <v>73</v>
      </c>
      <c r="D2485" t="str">
        <f t="shared" si="83"/>
        <v/>
      </c>
      <c r="E2485" t="str">
        <f t="shared" si="82"/>
        <v>wharf rat</v>
      </c>
      <c r="F2485" t="s">
        <v>7664</v>
      </c>
      <c r="G2485" t="str">
        <f>_xlfn.IFNA(VLOOKUP(F2485,songs!$B$1:$C$1539, 2, FALSE),"")</f>
        <v>Wharf Rat</v>
      </c>
      <c r="H2485" t="s">
        <v>73</v>
      </c>
    </row>
    <row r="2486" spans="1:8" x14ac:dyDescent="0.25">
      <c r="A2486">
        <v>2485</v>
      </c>
      <c r="B2486" t="s">
        <v>2988</v>
      </c>
      <c r="C2486" t="s">
        <v>1340</v>
      </c>
      <c r="D2486" t="str">
        <f t="shared" si="83"/>
        <v/>
      </c>
      <c r="E2486" t="str">
        <f t="shared" si="82"/>
        <v>me and bobby mcgee</v>
      </c>
      <c r="F2486" t="s">
        <v>6483</v>
      </c>
      <c r="G2486" t="str">
        <f>_xlfn.IFNA(VLOOKUP(F2486,songs!$B$1:$C$1539, 2, FALSE),"")</f>
        <v>Me And Bobby McGee</v>
      </c>
      <c r="H2486" t="s">
        <v>1228</v>
      </c>
    </row>
    <row r="2487" spans="1:8" x14ac:dyDescent="0.25">
      <c r="A2487">
        <v>2486</v>
      </c>
      <c r="B2487" t="s">
        <v>2989</v>
      </c>
      <c r="C2487" t="s">
        <v>71</v>
      </c>
      <c r="D2487" t="str">
        <f t="shared" si="83"/>
        <v/>
      </c>
      <c r="E2487" t="str">
        <f t="shared" si="82"/>
        <v>eyes of the world</v>
      </c>
      <c r="F2487" t="s">
        <v>5633</v>
      </c>
      <c r="G2487" t="str">
        <f>_xlfn.IFNA(VLOOKUP(F2487,songs!$B$1:$C$1539, 2, FALSE),"")</f>
        <v>Eyes Of The World</v>
      </c>
      <c r="H2487" t="s">
        <v>471</v>
      </c>
    </row>
    <row r="2488" spans="1:8" x14ac:dyDescent="0.25">
      <c r="A2488">
        <v>2487</v>
      </c>
      <c r="B2488" t="s">
        <v>2990</v>
      </c>
      <c r="C2488" t="s">
        <v>212</v>
      </c>
      <c r="D2488" t="str">
        <f t="shared" si="83"/>
        <v/>
      </c>
      <c r="E2488" t="str">
        <f t="shared" si="82"/>
        <v>morning dew</v>
      </c>
      <c r="F2488" t="s">
        <v>6555</v>
      </c>
      <c r="G2488" t="str">
        <f>_xlfn.IFNA(VLOOKUP(F2488,songs!$B$1:$C$1539, 2, FALSE),"")</f>
        <v>Morning Dew</v>
      </c>
      <c r="H2488" t="s">
        <v>212</v>
      </c>
    </row>
    <row r="2489" spans="1:8" x14ac:dyDescent="0.25">
      <c r="A2489">
        <v>2488</v>
      </c>
      <c r="B2489" t="s">
        <v>2991</v>
      </c>
      <c r="C2489" t="s">
        <v>11</v>
      </c>
      <c r="D2489" t="str">
        <f t="shared" si="83"/>
        <v/>
      </c>
      <c r="E2489" t="str">
        <f t="shared" si="82"/>
        <v>playing in the band</v>
      </c>
      <c r="F2489" t="s">
        <v>6769</v>
      </c>
      <c r="G2489" t="str">
        <f>_xlfn.IFNA(VLOOKUP(F2489,songs!$B$1:$C$1539, 2, FALSE),"")</f>
        <v>Playing In The Band</v>
      </c>
      <c r="H2489" t="s">
        <v>419</v>
      </c>
    </row>
    <row r="2490" spans="1:8" x14ac:dyDescent="0.25">
      <c r="A2490">
        <v>2489</v>
      </c>
      <c r="B2490" t="s">
        <v>2992</v>
      </c>
      <c r="C2490" t="s">
        <v>13</v>
      </c>
      <c r="D2490" t="str">
        <f t="shared" si="83"/>
        <v/>
      </c>
      <c r="E2490" t="str">
        <f t="shared" si="82"/>
        <v>he's gone</v>
      </c>
      <c r="F2490" t="s">
        <v>5903</v>
      </c>
      <c r="G2490" t="str">
        <f>_xlfn.IFNA(VLOOKUP(F2490,songs!$B$1:$C$1539, 2, FALSE),"")</f>
        <v>He's Gone</v>
      </c>
      <c r="H2490" t="s">
        <v>13</v>
      </c>
    </row>
    <row r="2491" spans="1:8" x14ac:dyDescent="0.25">
      <c r="A2491">
        <v>2490</v>
      </c>
      <c r="B2491" t="s">
        <v>2993</v>
      </c>
      <c r="C2491" t="s">
        <v>15</v>
      </c>
      <c r="D2491" t="str">
        <f t="shared" si="83"/>
        <v/>
      </c>
      <c r="E2491" t="str">
        <f t="shared" si="82"/>
        <v>truckin'</v>
      </c>
      <c r="F2491" t="s">
        <v>7436</v>
      </c>
      <c r="G2491" t="str">
        <f>_xlfn.IFNA(VLOOKUP(F2491,songs!$B$1:$C$1539, 2, FALSE),"")</f>
        <v>Truckin'</v>
      </c>
      <c r="H2491" t="s">
        <v>15</v>
      </c>
    </row>
    <row r="2492" spans="1:8" x14ac:dyDescent="0.25">
      <c r="A2492">
        <v>2491</v>
      </c>
      <c r="B2492" t="s">
        <v>2994</v>
      </c>
      <c r="C2492" t="s">
        <v>100</v>
      </c>
      <c r="D2492" t="str">
        <f t="shared" si="83"/>
        <v/>
      </c>
      <c r="E2492" t="str">
        <f t="shared" si="82"/>
        <v>drums</v>
      </c>
      <c r="F2492" t="s">
        <v>5568</v>
      </c>
      <c r="G2492" t="str">
        <f>_xlfn.IFNA(VLOOKUP(F2492,songs!$B$1:$C$1539, 2, FALSE),"")</f>
        <v>Drums</v>
      </c>
      <c r="H2492" t="s">
        <v>100</v>
      </c>
    </row>
    <row r="2493" spans="1:8" x14ac:dyDescent="0.25">
      <c r="A2493">
        <v>2492</v>
      </c>
      <c r="B2493" t="s">
        <v>2995</v>
      </c>
      <c r="C2493" t="s">
        <v>139</v>
      </c>
      <c r="D2493" t="str">
        <f t="shared" si="83"/>
        <v/>
      </c>
      <c r="E2493" t="str">
        <f t="shared" si="82"/>
        <v>the other one</v>
      </c>
      <c r="F2493" t="s">
        <v>7325</v>
      </c>
      <c r="G2493" t="str">
        <f>_xlfn.IFNA(VLOOKUP(F2493,songs!$B$1:$C$1539, 2, FALSE),"")</f>
        <v>The Other One</v>
      </c>
      <c r="H2493" t="s">
        <v>139</v>
      </c>
    </row>
    <row r="2494" spans="1:8" x14ac:dyDescent="0.25">
      <c r="A2494">
        <v>2493</v>
      </c>
      <c r="B2494" t="s">
        <v>2996</v>
      </c>
      <c r="C2494" t="s">
        <v>19</v>
      </c>
      <c r="D2494" t="str">
        <f t="shared" si="83"/>
        <v/>
      </c>
      <c r="E2494" t="str">
        <f t="shared" si="82"/>
        <v>jam</v>
      </c>
      <c r="F2494" t="s">
        <v>6165</v>
      </c>
      <c r="G2494" t="str">
        <f>_xlfn.IFNA(VLOOKUP(F2494,songs!$B$1:$C$1539, 2, FALSE),"")</f>
        <v>Jam</v>
      </c>
      <c r="H2494" t="s">
        <v>19</v>
      </c>
    </row>
    <row r="2495" spans="1:8" x14ac:dyDescent="0.25">
      <c r="A2495">
        <v>2494</v>
      </c>
      <c r="B2495" t="s">
        <v>2997</v>
      </c>
      <c r="C2495" t="s">
        <v>86</v>
      </c>
      <c r="D2495" t="str">
        <f t="shared" si="83"/>
        <v/>
      </c>
      <c r="E2495" t="str">
        <f t="shared" si="82"/>
        <v>i know you rider</v>
      </c>
      <c r="F2495" t="s">
        <v>6020</v>
      </c>
      <c r="G2495" t="str">
        <f>_xlfn.IFNA(VLOOKUP(F2495,songs!$B$1:$C$1539, 2, FALSE),"")</f>
        <v>I Know You Rider</v>
      </c>
      <c r="H2495" t="s">
        <v>86</v>
      </c>
    </row>
    <row r="2496" spans="1:8" x14ac:dyDescent="0.25">
      <c r="A2496">
        <v>2495</v>
      </c>
      <c r="B2496" t="s">
        <v>2998</v>
      </c>
      <c r="C2496" t="s">
        <v>30</v>
      </c>
      <c r="D2496" t="str">
        <f t="shared" si="83"/>
        <v/>
      </c>
      <c r="E2496" t="str">
        <f t="shared" si="82"/>
        <v>sugar magnolia</v>
      </c>
      <c r="F2496" t="s">
        <v>7150</v>
      </c>
      <c r="G2496" t="str">
        <f>_xlfn.IFNA(VLOOKUP(F2496,songs!$B$1:$C$1539, 2, FALSE),"")</f>
        <v>Sugar Magnolia</v>
      </c>
      <c r="H2496" t="s">
        <v>30</v>
      </c>
    </row>
    <row r="2497" spans="1:8" x14ac:dyDescent="0.25">
      <c r="A2497">
        <v>2496</v>
      </c>
      <c r="B2497" t="s">
        <v>2999</v>
      </c>
      <c r="C2497" t="s">
        <v>3000</v>
      </c>
      <c r="D2497" t="str">
        <f t="shared" si="83"/>
        <v>&gt;</v>
      </c>
      <c r="E2497" t="str">
        <f t="shared" si="82"/>
        <v>touch of grey</v>
      </c>
      <c r="F2497" t="s">
        <v>7419</v>
      </c>
      <c r="G2497" t="str">
        <f>_xlfn.IFNA(VLOOKUP(F2497,songs!$B$1:$C$1539, 2, FALSE),"")</f>
        <v>Touch Of Grey</v>
      </c>
      <c r="H2497" t="s">
        <v>2253</v>
      </c>
    </row>
    <row r="2498" spans="1:8" x14ac:dyDescent="0.25">
      <c r="A2498">
        <v>2536</v>
      </c>
      <c r="B2498" t="s">
        <v>3050</v>
      </c>
      <c r="C2498" t="s">
        <v>2849</v>
      </c>
      <c r="D2498" t="str">
        <f t="shared" si="83"/>
        <v/>
      </c>
      <c r="E2498" t="str">
        <f t="shared" si="82"/>
        <v>terrapin station ]</v>
      </c>
      <c r="F2498" t="s">
        <v>7237</v>
      </c>
      <c r="G2498" t="str">
        <f>_xlfn.IFNA(VLOOKUP(F2498,songs!$B$1:$C$1539, 2, FALSE),"")</f>
        <v>Terrapin Station</v>
      </c>
      <c r="H2498" t="s">
        <v>7867</v>
      </c>
    </row>
    <row r="2499" spans="1:8" x14ac:dyDescent="0.25">
      <c r="A2499">
        <v>2498</v>
      </c>
      <c r="B2499" t="s">
        <v>3003</v>
      </c>
      <c r="C2499" t="s">
        <v>641</v>
      </c>
      <c r="D2499" t="str">
        <f t="shared" si="83"/>
        <v/>
      </c>
      <c r="E2499" t="str">
        <f t="shared" si="82"/>
        <v>candyman</v>
      </c>
      <c r="F2499" t="s">
        <v>5278</v>
      </c>
      <c r="G2499" t="str">
        <f>_xlfn.IFNA(VLOOKUP(F2499,songs!$B$1:$C$1539, 2, FALSE),"")</f>
        <v>Candyman</v>
      </c>
      <c r="H2499" t="s">
        <v>641</v>
      </c>
    </row>
    <row r="2500" spans="1:8" x14ac:dyDescent="0.25">
      <c r="A2500">
        <v>2499</v>
      </c>
      <c r="B2500" t="s">
        <v>3004</v>
      </c>
      <c r="C2500" t="s">
        <v>1671</v>
      </c>
      <c r="D2500" t="str">
        <f t="shared" si="83"/>
        <v/>
      </c>
      <c r="E2500" t="str">
        <f t="shared" ref="E2500:E2563" si="84">LOWER(TRIM(SUBSTITUTE(IF(RIGHT(TRIM(C2500),2)="-&gt;",LEFT(TRIM(C2500),LEN(TRIM(C2500))-2),IF(RIGHT(TRIM(C2500),1)="&gt;",LEFT(TRIM(C2500),LEN(TRIM(C2500))-1),C2500)),"//","")))</f>
        <v>box of rain</v>
      </c>
      <c r="F2500" t="s">
        <v>5237</v>
      </c>
      <c r="G2500" t="str">
        <f>_xlfn.IFNA(VLOOKUP(F2500,songs!$B$1:$C$1539, 2, FALSE),"")</f>
        <v>Box Of Rain</v>
      </c>
      <c r="H2500" t="s">
        <v>915</v>
      </c>
    </row>
    <row r="2501" spans="1:8" x14ac:dyDescent="0.25">
      <c r="A2501">
        <v>2500</v>
      </c>
      <c r="B2501" t="s">
        <v>3005</v>
      </c>
      <c r="C2501" t="s">
        <v>3006</v>
      </c>
      <c r="D2501" t="str">
        <f t="shared" si="83"/>
        <v>&gt;</v>
      </c>
      <c r="E2501" t="str">
        <f t="shared" si="84"/>
        <v>mexicali blues</v>
      </c>
      <c r="F2501" t="s">
        <v>6499</v>
      </c>
      <c r="G2501" t="str">
        <f>_xlfn.IFNA(VLOOKUP(F2501,songs!$B$1:$C$1539, 2, FALSE),"")</f>
        <v>Mexicali Blues</v>
      </c>
      <c r="H2501" t="s">
        <v>186</v>
      </c>
    </row>
    <row r="2502" spans="1:8" x14ac:dyDescent="0.25">
      <c r="A2502">
        <v>2537</v>
      </c>
      <c r="B2502" t="s">
        <v>3051</v>
      </c>
      <c r="C2502" t="s">
        <v>2851</v>
      </c>
      <c r="D2502" t="str">
        <f t="shared" si="83"/>
        <v/>
      </c>
      <c r="E2502" t="str">
        <f t="shared" si="84"/>
        <v>playing in the band ]</v>
      </c>
      <c r="F2502" t="s">
        <v>6769</v>
      </c>
      <c r="G2502" t="str">
        <f>_xlfn.IFNA(VLOOKUP(F2502,songs!$B$1:$C$1539, 2, FALSE),"")</f>
        <v>Playing In The Band</v>
      </c>
      <c r="H2502" t="s">
        <v>7867</v>
      </c>
    </row>
    <row r="2503" spans="1:8" x14ac:dyDescent="0.25">
      <c r="A2503">
        <v>2502</v>
      </c>
      <c r="B2503" t="s">
        <v>3009</v>
      </c>
      <c r="C2503" t="s">
        <v>161</v>
      </c>
      <c r="D2503" t="str">
        <f t="shared" si="83"/>
        <v/>
      </c>
      <c r="E2503" t="str">
        <f t="shared" si="84"/>
        <v>althea</v>
      </c>
      <c r="F2503" t="s">
        <v>5073</v>
      </c>
      <c r="G2503" t="str">
        <f>_xlfn.IFNA(VLOOKUP(F2503,songs!$B$1:$C$1539, 2, FALSE),"")</f>
        <v>Althea</v>
      </c>
      <c r="H2503" t="s">
        <v>161</v>
      </c>
    </row>
    <row r="2504" spans="1:8" x14ac:dyDescent="0.25">
      <c r="A2504">
        <v>2503</v>
      </c>
      <c r="B2504" t="s">
        <v>3010</v>
      </c>
      <c r="C2504" t="s">
        <v>262</v>
      </c>
      <c r="D2504" t="str">
        <f t="shared" si="83"/>
        <v/>
      </c>
      <c r="E2504" t="str">
        <f t="shared" si="84"/>
        <v>cassidy</v>
      </c>
      <c r="F2504" t="s">
        <v>5291</v>
      </c>
      <c r="G2504" t="str">
        <f>_xlfn.IFNA(VLOOKUP(F2504,songs!$B$1:$C$1539, 2, FALSE),"")</f>
        <v>Cassidy</v>
      </c>
      <c r="H2504" t="s">
        <v>262</v>
      </c>
    </row>
    <row r="2505" spans="1:8" x14ac:dyDescent="0.25">
      <c r="A2505">
        <v>2504</v>
      </c>
      <c r="B2505" t="s">
        <v>3011</v>
      </c>
      <c r="C2505" t="s">
        <v>164</v>
      </c>
      <c r="D2505" t="str">
        <f t="shared" ref="D2505:D2568" si="85">IF(RIGHT(TRIM(C2505),2)="-&gt;","&gt;",IF(RIGHT(TRIM(C2505),1)="&gt;","&gt;",""))</f>
        <v/>
      </c>
      <c r="E2505" t="str">
        <f t="shared" si="84"/>
        <v>tennessee jed</v>
      </c>
      <c r="F2505" t="s">
        <v>7234</v>
      </c>
      <c r="G2505" t="str">
        <f>_xlfn.IFNA(VLOOKUP(F2505,songs!$B$1:$C$1539, 2, FALSE),"")</f>
        <v>Tennessee Jed</v>
      </c>
      <c r="H2505" t="s">
        <v>164</v>
      </c>
    </row>
    <row r="2506" spans="1:8" x14ac:dyDescent="0.25">
      <c r="A2506">
        <v>2505</v>
      </c>
      <c r="B2506" t="s">
        <v>3012</v>
      </c>
      <c r="C2506" t="s">
        <v>3013</v>
      </c>
      <c r="D2506" t="str">
        <f t="shared" si="85"/>
        <v/>
      </c>
      <c r="E2506" t="str">
        <f t="shared" si="84"/>
        <v>stander on the mountain</v>
      </c>
      <c r="F2506" t="s">
        <v>7104</v>
      </c>
      <c r="G2506" t="str">
        <f>_xlfn.IFNA(VLOOKUP(F2506,songs!$B$1:$C$1539, 2, FALSE),"")</f>
        <v>Stander On The Mountain</v>
      </c>
      <c r="H2506" t="s">
        <v>7105</v>
      </c>
    </row>
    <row r="2507" spans="1:8" x14ac:dyDescent="0.25">
      <c r="A2507">
        <v>2506</v>
      </c>
      <c r="B2507" t="s">
        <v>3014</v>
      </c>
      <c r="C2507" t="s">
        <v>3015</v>
      </c>
      <c r="D2507" t="str">
        <f t="shared" si="85"/>
        <v>&gt;</v>
      </c>
      <c r="E2507" t="str">
        <f t="shared" si="84"/>
        <v>victim or the crime</v>
      </c>
      <c r="F2507" t="s">
        <v>7594</v>
      </c>
      <c r="G2507" t="str">
        <f>_xlfn.IFNA(VLOOKUP(F2507,songs!$B$1:$C$1539, 2, FALSE),"")</f>
        <v>Victim Or The Crime</v>
      </c>
      <c r="H2507" t="s">
        <v>524</v>
      </c>
    </row>
    <row r="2508" spans="1:8" x14ac:dyDescent="0.25">
      <c r="A2508">
        <v>2507</v>
      </c>
      <c r="B2508" t="s">
        <v>3016</v>
      </c>
      <c r="C2508" t="s">
        <v>899</v>
      </c>
      <c r="D2508" t="str">
        <f t="shared" si="85"/>
        <v>&gt;</v>
      </c>
      <c r="E2508" t="str">
        <f t="shared" si="84"/>
        <v>eyes of the world</v>
      </c>
      <c r="F2508" t="s">
        <v>5633</v>
      </c>
      <c r="G2508" t="str">
        <f>_xlfn.IFNA(VLOOKUP(F2508,songs!$B$1:$C$1539, 2, FALSE),"")</f>
        <v>Eyes Of The World</v>
      </c>
      <c r="H2508" t="s">
        <v>471</v>
      </c>
    </row>
    <row r="2509" spans="1:8" x14ac:dyDescent="0.25">
      <c r="A2509">
        <v>2508</v>
      </c>
      <c r="B2509" t="s">
        <v>3017</v>
      </c>
      <c r="C2509" t="s">
        <v>792</v>
      </c>
      <c r="D2509" t="str">
        <f t="shared" si="85"/>
        <v>&gt;</v>
      </c>
      <c r="E2509" t="str">
        <f t="shared" si="84"/>
        <v>estimated prophet</v>
      </c>
      <c r="F2509" t="s">
        <v>5612</v>
      </c>
      <c r="G2509" t="str">
        <f>_xlfn.IFNA(VLOOKUP(F2509,songs!$B$1:$C$1539, 2, FALSE),"")</f>
        <v>Estimated Prophet</v>
      </c>
      <c r="H2509" t="s">
        <v>69</v>
      </c>
    </row>
    <row r="2510" spans="1:8" x14ac:dyDescent="0.25">
      <c r="A2510">
        <v>2509</v>
      </c>
      <c r="B2510" t="s">
        <v>3018</v>
      </c>
      <c r="C2510" t="s">
        <v>766</v>
      </c>
      <c r="D2510" t="str">
        <f t="shared" si="85"/>
        <v>&gt;</v>
      </c>
      <c r="E2510" t="str">
        <f t="shared" si="84"/>
        <v>uncle john's band</v>
      </c>
      <c r="F2510" t="s">
        <v>7466</v>
      </c>
      <c r="G2510" t="str">
        <f>_xlfn.IFNA(VLOOKUP(F2510,songs!$B$1:$C$1539, 2, FALSE),"")</f>
        <v>Uncle John's Band</v>
      </c>
      <c r="H2510" t="s">
        <v>133</v>
      </c>
    </row>
    <row r="2511" spans="1:8" x14ac:dyDescent="0.25">
      <c r="A2511">
        <v>2510</v>
      </c>
      <c r="B2511" t="s">
        <v>3019</v>
      </c>
      <c r="C2511" t="s">
        <v>275</v>
      </c>
      <c r="D2511" t="str">
        <f t="shared" si="85"/>
        <v>&gt;</v>
      </c>
      <c r="E2511" t="str">
        <f t="shared" si="84"/>
        <v>drums</v>
      </c>
      <c r="F2511" t="s">
        <v>5568</v>
      </c>
      <c r="G2511" t="str">
        <f>_xlfn.IFNA(VLOOKUP(F2511,songs!$B$1:$C$1539, 2, FALSE),"")</f>
        <v>Drums</v>
      </c>
      <c r="H2511" t="s">
        <v>100</v>
      </c>
    </row>
    <row r="2512" spans="1:8" x14ac:dyDescent="0.25">
      <c r="A2512">
        <v>2511</v>
      </c>
      <c r="B2512" t="s">
        <v>3020</v>
      </c>
      <c r="C2512" t="s">
        <v>689</v>
      </c>
      <c r="D2512" t="str">
        <f t="shared" si="85"/>
        <v>&gt;</v>
      </c>
      <c r="E2512" t="str">
        <f t="shared" si="84"/>
        <v>space</v>
      </c>
      <c r="F2512" t="s">
        <v>7091</v>
      </c>
      <c r="G2512" t="str">
        <f>_xlfn.IFNA(VLOOKUP(F2512,songs!$B$1:$C$1539, 2, FALSE),"")</f>
        <v>Space</v>
      </c>
      <c r="H2512" t="s">
        <v>277</v>
      </c>
    </row>
    <row r="2513" spans="1:8" x14ac:dyDescent="0.25">
      <c r="A2513">
        <v>2512</v>
      </c>
      <c r="B2513" t="s">
        <v>3021</v>
      </c>
      <c r="C2513" t="s">
        <v>747</v>
      </c>
      <c r="D2513" t="str">
        <f t="shared" si="85"/>
        <v>&gt;</v>
      </c>
      <c r="E2513" t="str">
        <f t="shared" si="84"/>
        <v>the other one</v>
      </c>
      <c r="F2513" t="s">
        <v>7325</v>
      </c>
      <c r="G2513" t="str">
        <f>_xlfn.IFNA(VLOOKUP(F2513,songs!$B$1:$C$1539, 2, FALSE),"")</f>
        <v>The Other One</v>
      </c>
      <c r="H2513" t="s">
        <v>139</v>
      </c>
    </row>
    <row r="2514" spans="1:8" x14ac:dyDescent="0.25">
      <c r="A2514">
        <v>2513</v>
      </c>
      <c r="B2514" t="s">
        <v>3022</v>
      </c>
      <c r="C2514" t="s">
        <v>775</v>
      </c>
      <c r="D2514" t="str">
        <f t="shared" si="85"/>
        <v>&gt;</v>
      </c>
      <c r="E2514" t="str">
        <f t="shared" si="84"/>
        <v>wharf rat</v>
      </c>
      <c r="F2514" t="s">
        <v>7664</v>
      </c>
      <c r="G2514" t="str">
        <f>_xlfn.IFNA(VLOOKUP(F2514,songs!$B$1:$C$1539, 2, FALSE),"")</f>
        <v>Wharf Rat</v>
      </c>
      <c r="H2514" t="s">
        <v>73</v>
      </c>
    </row>
    <row r="2515" spans="1:8" x14ac:dyDescent="0.25">
      <c r="A2515">
        <v>2514</v>
      </c>
      <c r="B2515" t="s">
        <v>3023</v>
      </c>
      <c r="C2515" t="s">
        <v>30</v>
      </c>
      <c r="D2515" t="str">
        <f t="shared" si="85"/>
        <v/>
      </c>
      <c r="E2515" t="str">
        <f t="shared" si="84"/>
        <v>sugar magnolia</v>
      </c>
      <c r="F2515" t="s">
        <v>7150</v>
      </c>
      <c r="G2515" t="str">
        <f>_xlfn.IFNA(VLOOKUP(F2515,songs!$B$1:$C$1539, 2, FALSE),"")</f>
        <v>Sugar Magnolia</v>
      </c>
      <c r="H2515" t="s">
        <v>30</v>
      </c>
    </row>
    <row r="2516" spans="1:8" x14ac:dyDescent="0.25">
      <c r="A2516">
        <v>2538</v>
      </c>
      <c r="B2516" t="s">
        <v>3052</v>
      </c>
      <c r="C2516" t="s">
        <v>2853</v>
      </c>
      <c r="D2516" t="str">
        <f t="shared" si="85"/>
        <v/>
      </c>
      <c r="E2516" t="str">
        <f t="shared" si="84"/>
        <v>comes a time ]</v>
      </c>
      <c r="F2516" t="s">
        <v>5360</v>
      </c>
      <c r="G2516" t="str">
        <f>_xlfn.IFNA(VLOOKUP(F2516,songs!$B$1:$C$1539, 2, FALSE),"")</f>
        <v>Comes A Time</v>
      </c>
      <c r="H2516" t="s">
        <v>7867</v>
      </c>
    </row>
    <row r="2517" spans="1:8" x14ac:dyDescent="0.25">
      <c r="A2517">
        <v>2516</v>
      </c>
      <c r="B2517" t="s">
        <v>3026</v>
      </c>
      <c r="C2517" t="s">
        <v>786</v>
      </c>
      <c r="D2517" t="str">
        <f t="shared" si="85"/>
        <v>&gt;</v>
      </c>
      <c r="E2517" t="str">
        <f t="shared" si="84"/>
        <v>let it grow</v>
      </c>
      <c r="F2517" t="s">
        <v>6308</v>
      </c>
      <c r="G2517" t="str">
        <f>_xlfn.IFNA(VLOOKUP(F2517,songs!$B$1:$C$1539, 2, FALSE),"")</f>
        <v>Let It Grow</v>
      </c>
      <c r="H2517" t="s">
        <v>389</v>
      </c>
    </row>
    <row r="2518" spans="1:8" x14ac:dyDescent="0.25">
      <c r="A2518">
        <v>2517</v>
      </c>
      <c r="B2518" t="s">
        <v>3027</v>
      </c>
      <c r="C2518" t="s">
        <v>3028</v>
      </c>
      <c r="D2518" t="str">
        <f t="shared" si="85"/>
        <v>&gt;</v>
      </c>
      <c r="E2518" t="str">
        <f t="shared" si="84"/>
        <v>jam</v>
      </c>
      <c r="F2518" t="s">
        <v>6165</v>
      </c>
      <c r="G2518" t="str">
        <f>_xlfn.IFNA(VLOOKUP(F2518,songs!$B$1:$C$1539, 2, FALSE),"")</f>
        <v>Jam</v>
      </c>
      <c r="H2518" t="s">
        <v>19</v>
      </c>
    </row>
    <row r="2519" spans="1:8" x14ac:dyDescent="0.25">
      <c r="A2519">
        <v>2518</v>
      </c>
      <c r="B2519" t="s">
        <v>3029</v>
      </c>
      <c r="C2519" t="s">
        <v>3030</v>
      </c>
      <c r="D2519" t="str">
        <f t="shared" si="85"/>
        <v/>
      </c>
      <c r="E2519" t="str">
        <f t="shared" si="84"/>
        <v>valley road</v>
      </c>
      <c r="F2519" t="s">
        <v>7585</v>
      </c>
      <c r="G2519" t="str">
        <f>_xlfn.IFNA(VLOOKUP(F2519,songs!$B$1:$C$1539, 2, FALSE),"")</f>
        <v>Valley Road</v>
      </c>
      <c r="H2519" t="s">
        <v>3030</v>
      </c>
    </row>
    <row r="2520" spans="1:8" x14ac:dyDescent="0.25">
      <c r="A2520">
        <v>2519</v>
      </c>
      <c r="B2520" t="s">
        <v>3031</v>
      </c>
      <c r="C2520" t="s">
        <v>3032</v>
      </c>
      <c r="D2520" t="str">
        <f t="shared" si="85"/>
        <v>&gt;</v>
      </c>
      <c r="E2520" t="str">
        <f t="shared" si="84"/>
        <v>picasso moon</v>
      </c>
      <c r="F2520" t="s">
        <v>6756</v>
      </c>
      <c r="G2520" t="str">
        <f>_xlfn.IFNA(VLOOKUP(F2520,songs!$B$1:$C$1539, 2, FALSE),"")</f>
        <v>Picasso Moon</v>
      </c>
      <c r="H2520" t="s">
        <v>2409</v>
      </c>
    </row>
    <row r="2521" spans="1:8" x14ac:dyDescent="0.25">
      <c r="A2521">
        <v>2520</v>
      </c>
      <c r="B2521" t="s">
        <v>3033</v>
      </c>
      <c r="C2521" t="s">
        <v>3034</v>
      </c>
      <c r="D2521" t="str">
        <f t="shared" si="85"/>
        <v>&gt;</v>
      </c>
      <c r="E2521" t="str">
        <f t="shared" si="84"/>
        <v>foolish heart</v>
      </c>
      <c r="F2521" t="s">
        <v>5700</v>
      </c>
      <c r="G2521" t="str">
        <f>_xlfn.IFNA(VLOOKUP(F2521,songs!$B$1:$C$1539, 2, FALSE),"")</f>
        <v>Foolish Heart</v>
      </c>
      <c r="H2521" t="s">
        <v>2414</v>
      </c>
    </row>
    <row r="2522" spans="1:8" x14ac:dyDescent="0.25">
      <c r="A2522">
        <v>2521</v>
      </c>
      <c r="B2522" t="s">
        <v>3035</v>
      </c>
      <c r="C2522" t="s">
        <v>2617</v>
      </c>
      <c r="D2522" t="str">
        <f t="shared" si="85"/>
        <v>&gt;</v>
      </c>
      <c r="E2522" t="str">
        <f t="shared" si="84"/>
        <v>looks like rain</v>
      </c>
      <c r="F2522" t="s">
        <v>6398</v>
      </c>
      <c r="G2522" t="str">
        <f>_xlfn.IFNA(VLOOKUP(F2522,songs!$B$1:$C$1539, 2, FALSE),"")</f>
        <v>Looks Like Rain</v>
      </c>
      <c r="H2522" t="s">
        <v>126</v>
      </c>
    </row>
    <row r="2523" spans="1:8" x14ac:dyDescent="0.25">
      <c r="A2523">
        <v>2522</v>
      </c>
      <c r="B2523" t="s">
        <v>3036</v>
      </c>
      <c r="C2523" t="s">
        <v>75</v>
      </c>
      <c r="D2523" t="str">
        <f t="shared" si="85"/>
        <v/>
      </c>
      <c r="E2523" t="str">
        <f t="shared" si="84"/>
        <v>terrapin station</v>
      </c>
      <c r="F2523" t="s">
        <v>7237</v>
      </c>
      <c r="G2523" t="str">
        <f>_xlfn.IFNA(VLOOKUP(F2523,songs!$B$1:$C$1539, 2, FALSE),"")</f>
        <v>Terrapin Station</v>
      </c>
      <c r="H2523" t="s">
        <v>75</v>
      </c>
    </row>
    <row r="2524" spans="1:8" x14ac:dyDescent="0.25">
      <c r="A2524">
        <v>2523</v>
      </c>
      <c r="B2524" t="s">
        <v>3037</v>
      </c>
      <c r="C2524" t="s">
        <v>3</v>
      </c>
      <c r="D2524" t="str">
        <f t="shared" si="85"/>
        <v/>
      </c>
      <c r="E2524" t="str">
        <f t="shared" si="84"/>
        <v>big river</v>
      </c>
      <c r="F2524" t="s">
        <v>5175</v>
      </c>
      <c r="G2524" t="str">
        <f>_xlfn.IFNA(VLOOKUP(F2524,songs!$B$1:$C$1539, 2, FALSE),"")</f>
        <v>Big River</v>
      </c>
      <c r="H2524" t="s">
        <v>3</v>
      </c>
    </row>
    <row r="2525" spans="1:8" x14ac:dyDescent="0.25">
      <c r="A2525">
        <v>2543</v>
      </c>
      <c r="B2525" t="s">
        <v>3058</v>
      </c>
      <c r="C2525" t="s">
        <v>3059</v>
      </c>
      <c r="D2525" t="str">
        <f t="shared" si="85"/>
        <v/>
      </c>
      <c r="E2525" t="str">
        <f t="shared" si="84"/>
        <v>sittin' on top of the world</v>
      </c>
      <c r="F2525" t="s">
        <v>7024</v>
      </c>
      <c r="G2525" t="str">
        <f>_xlfn.IFNA(VLOOKUP(F2525,songs!$B$1:$C$1539, 2, FALSE),"")</f>
        <v>Sitting On Top Of The World</v>
      </c>
      <c r="H2525" t="s">
        <v>7867</v>
      </c>
    </row>
    <row r="2526" spans="1:8" x14ac:dyDescent="0.25">
      <c r="A2526">
        <v>2525</v>
      </c>
      <c r="B2526" t="s">
        <v>3039</v>
      </c>
      <c r="C2526" t="s">
        <v>156</v>
      </c>
      <c r="D2526" t="str">
        <f t="shared" si="85"/>
        <v/>
      </c>
      <c r="E2526" t="str">
        <f t="shared" si="84"/>
        <v>they love each other</v>
      </c>
      <c r="F2526" t="s">
        <v>7358</v>
      </c>
      <c r="G2526" t="str">
        <f>_xlfn.IFNA(VLOOKUP(F2526,songs!$B$1:$C$1539, 2, FALSE),"")</f>
        <v>They Love Each Other</v>
      </c>
      <c r="H2526" t="s">
        <v>156</v>
      </c>
    </row>
    <row r="2527" spans="1:8" x14ac:dyDescent="0.25">
      <c r="A2527">
        <v>2526</v>
      </c>
      <c r="B2527" t="s">
        <v>3040</v>
      </c>
      <c r="C2527" t="s">
        <v>1463</v>
      </c>
      <c r="D2527" t="str">
        <f t="shared" si="85"/>
        <v/>
      </c>
      <c r="E2527" t="str">
        <f t="shared" si="84"/>
        <v>it must have been the roses</v>
      </c>
      <c r="F2527" t="s">
        <v>6128</v>
      </c>
      <c r="G2527" t="str">
        <f>_xlfn.IFNA(VLOOKUP(F2527,songs!$B$1:$C$1539, 2, FALSE),"")</f>
        <v>It Must Have Been The Roses</v>
      </c>
      <c r="H2527" t="s">
        <v>1057</v>
      </c>
    </row>
    <row r="2528" spans="1:8" x14ac:dyDescent="0.25">
      <c r="A2528">
        <v>2550</v>
      </c>
      <c r="B2528" t="s">
        <v>3069</v>
      </c>
      <c r="C2528" t="s">
        <v>3070</v>
      </c>
      <c r="D2528" t="str">
        <f t="shared" si="85"/>
        <v/>
      </c>
      <c r="E2528" t="str">
        <f t="shared" si="84"/>
        <v>good mornin' little schoolgirl</v>
      </c>
      <c r="F2528" t="s">
        <v>5811</v>
      </c>
      <c r="G2528" t="str">
        <f>_xlfn.IFNA(VLOOKUP(F2528,songs!$B$1:$C$1539, 2, FALSE),"")</f>
        <v>Good Morning Little Schoolgirl</v>
      </c>
      <c r="H2528" t="s">
        <v>7867</v>
      </c>
    </row>
    <row r="2529" spans="1:8" x14ac:dyDescent="0.25">
      <c r="A2529">
        <v>2528</v>
      </c>
      <c r="B2529" t="s">
        <v>3042</v>
      </c>
      <c r="C2529" t="s">
        <v>262</v>
      </c>
      <c r="D2529" t="str">
        <f t="shared" si="85"/>
        <v/>
      </c>
      <c r="E2529" t="str">
        <f t="shared" si="84"/>
        <v>cassidy</v>
      </c>
      <c r="F2529" t="s">
        <v>5291</v>
      </c>
      <c r="G2529" t="str">
        <f>_xlfn.IFNA(VLOOKUP(F2529,songs!$B$1:$C$1539, 2, FALSE),"")</f>
        <v>Cassidy</v>
      </c>
      <c r="H2529" t="s">
        <v>262</v>
      </c>
    </row>
    <row r="2530" spans="1:8" x14ac:dyDescent="0.25">
      <c r="A2530">
        <v>2529</v>
      </c>
      <c r="B2530" t="s">
        <v>3043</v>
      </c>
      <c r="C2530" t="s">
        <v>264</v>
      </c>
      <c r="D2530" t="str">
        <f t="shared" si="85"/>
        <v/>
      </c>
      <c r="E2530" t="str">
        <f t="shared" si="84"/>
        <v>deal</v>
      </c>
      <c r="F2530" t="s">
        <v>5461</v>
      </c>
      <c r="G2530" t="str">
        <f>_xlfn.IFNA(VLOOKUP(F2530,songs!$B$1:$C$1539, 2, FALSE),"")</f>
        <v>Deal</v>
      </c>
      <c r="H2530" t="s">
        <v>264</v>
      </c>
    </row>
    <row r="2531" spans="1:8" x14ac:dyDescent="0.25">
      <c r="A2531">
        <v>2530</v>
      </c>
      <c r="B2531" t="s">
        <v>3044</v>
      </c>
      <c r="C2531" t="s">
        <v>126</v>
      </c>
      <c r="D2531" t="str">
        <f t="shared" si="85"/>
        <v/>
      </c>
      <c r="E2531" t="str">
        <f t="shared" si="84"/>
        <v>looks like rain</v>
      </c>
      <c r="F2531" t="s">
        <v>6398</v>
      </c>
      <c r="G2531" t="str">
        <f>_xlfn.IFNA(VLOOKUP(F2531,songs!$B$1:$C$1539, 2, FALSE),"")</f>
        <v>Looks Like Rain</v>
      </c>
      <c r="H2531" t="s">
        <v>126</v>
      </c>
    </row>
    <row r="2532" spans="1:8" x14ac:dyDescent="0.25">
      <c r="A2532">
        <v>2554</v>
      </c>
      <c r="B2532" t="s">
        <v>3076</v>
      </c>
      <c r="C2532" t="s">
        <v>3077</v>
      </c>
      <c r="D2532" t="str">
        <f t="shared" si="85"/>
        <v/>
      </c>
      <c r="E2532" t="str">
        <f t="shared" si="84"/>
        <v>new, new minglewood blues</v>
      </c>
      <c r="F2532" t="s">
        <v>7869</v>
      </c>
      <c r="G2532" t="str">
        <f>_xlfn.IFNA(VLOOKUP(F2532,songs!$B$1:$C$1539, 2, FALSE),"")</f>
        <v>Minglewood Blues</v>
      </c>
      <c r="H2532" t="s">
        <v>7867</v>
      </c>
    </row>
    <row r="2533" spans="1:8" x14ac:dyDescent="0.25">
      <c r="A2533">
        <v>2555</v>
      </c>
      <c r="B2533" t="s">
        <v>3078</v>
      </c>
      <c r="C2533" t="s">
        <v>3079</v>
      </c>
      <c r="D2533" t="str">
        <f t="shared" si="85"/>
        <v/>
      </c>
      <c r="E2533" t="str">
        <f t="shared" si="84"/>
        <v>the golden road to unlimted devotion</v>
      </c>
      <c r="F2533" t="s">
        <v>5800</v>
      </c>
      <c r="G2533" t="str">
        <f>_xlfn.IFNA(VLOOKUP(F2533,songs!$B$1:$C$1539, 2, FALSE),"")</f>
        <v>Golden Road To Unlimited Devotion</v>
      </c>
      <c r="H2533" t="s">
        <v>7867</v>
      </c>
    </row>
    <row r="2534" spans="1:8" x14ac:dyDescent="0.25">
      <c r="A2534">
        <v>2533</v>
      </c>
      <c r="B2534" t="s">
        <v>3047</v>
      </c>
      <c r="C2534" t="s">
        <v>69</v>
      </c>
      <c r="D2534" t="str">
        <f t="shared" si="85"/>
        <v/>
      </c>
      <c r="E2534" t="str">
        <f t="shared" si="84"/>
        <v>estimated prophet</v>
      </c>
      <c r="F2534" t="s">
        <v>5612</v>
      </c>
      <c r="G2534" t="str">
        <f>_xlfn.IFNA(VLOOKUP(F2534,songs!$B$1:$C$1539, 2, FALSE),"")</f>
        <v>Estimated Prophet</v>
      </c>
      <c r="H2534" t="s">
        <v>69</v>
      </c>
    </row>
    <row r="2535" spans="1:8" x14ac:dyDescent="0.25">
      <c r="A2535">
        <v>2556</v>
      </c>
      <c r="B2535" t="s">
        <v>3080</v>
      </c>
      <c r="C2535" t="s">
        <v>3081</v>
      </c>
      <c r="D2535" t="str">
        <f t="shared" si="85"/>
        <v/>
      </c>
      <c r="E2535" t="str">
        <f t="shared" si="84"/>
        <v>beat it on downtthe line</v>
      </c>
      <c r="F2535" t="s">
        <v>431</v>
      </c>
      <c r="G2535" t="str">
        <f>_xlfn.IFNA(VLOOKUP(F2535,songs!$B$1:$C$1539, 2, FALSE),"")</f>
        <v>Beat It On Down The Line</v>
      </c>
      <c r="H2535" t="s">
        <v>7867</v>
      </c>
    </row>
    <row r="2536" spans="1:8" x14ac:dyDescent="0.25">
      <c r="A2536">
        <v>2535</v>
      </c>
      <c r="B2536" t="s">
        <v>3049</v>
      </c>
      <c r="C2536" t="s">
        <v>172</v>
      </c>
      <c r="D2536" t="str">
        <f t="shared" si="85"/>
        <v/>
      </c>
      <c r="E2536" t="str">
        <f t="shared" si="84"/>
        <v>fire on the mountain</v>
      </c>
      <c r="F2536" t="s">
        <v>5675</v>
      </c>
      <c r="G2536" t="str">
        <f>_xlfn.IFNA(VLOOKUP(F2536,songs!$B$1:$C$1539, 2, FALSE),"")</f>
        <v>Fire On The Mountain</v>
      </c>
      <c r="H2536" t="s">
        <v>573</v>
      </c>
    </row>
    <row r="2537" spans="1:8" x14ac:dyDescent="0.25">
      <c r="A2537">
        <v>2557</v>
      </c>
      <c r="B2537" t="s">
        <v>3082</v>
      </c>
      <c r="C2537" t="s">
        <v>3083</v>
      </c>
      <c r="D2537" t="str">
        <f t="shared" si="85"/>
        <v/>
      </c>
      <c r="E2537" t="str">
        <f t="shared" si="84"/>
        <v>good mornin' little school girl</v>
      </c>
      <c r="F2537" t="s">
        <v>5811</v>
      </c>
      <c r="G2537" t="str">
        <f>_xlfn.IFNA(VLOOKUP(F2537,songs!$B$1:$C$1539, 2, FALSE),"")</f>
        <v>Good Morning Little Schoolgirl</v>
      </c>
      <c r="H2537" t="s">
        <v>7867</v>
      </c>
    </row>
    <row r="2538" spans="1:8" x14ac:dyDescent="0.25">
      <c r="A2538">
        <v>2559</v>
      </c>
      <c r="B2538" t="s">
        <v>3085</v>
      </c>
      <c r="C2538" t="s">
        <v>3086</v>
      </c>
      <c r="D2538" t="str">
        <f t="shared" si="85"/>
        <v/>
      </c>
      <c r="E2538" t="str">
        <f t="shared" si="84"/>
        <v>sittin' on top of the world</v>
      </c>
      <c r="F2538" t="s">
        <v>7024</v>
      </c>
      <c r="G2538" t="str">
        <f>_xlfn.IFNA(VLOOKUP(F2538,songs!$B$1:$C$1539, 2, FALSE),"")</f>
        <v>Sitting On Top Of The World</v>
      </c>
      <c r="H2538" t="s">
        <v>7867</v>
      </c>
    </row>
    <row r="2539" spans="1:8" x14ac:dyDescent="0.25">
      <c r="A2539">
        <v>2562</v>
      </c>
      <c r="B2539" t="s">
        <v>3090</v>
      </c>
      <c r="C2539" t="s">
        <v>3077</v>
      </c>
      <c r="D2539" t="str">
        <f t="shared" si="85"/>
        <v/>
      </c>
      <c r="E2539" t="str">
        <f t="shared" si="84"/>
        <v>new, new minglewood blues</v>
      </c>
      <c r="F2539" t="s">
        <v>7869</v>
      </c>
      <c r="G2539" t="str">
        <f>_xlfn.IFNA(VLOOKUP(F2539,songs!$B$1:$C$1539, 2, FALSE),"")</f>
        <v>Minglewood Blues</v>
      </c>
      <c r="H2539" t="s">
        <v>7867</v>
      </c>
    </row>
    <row r="2540" spans="1:8" x14ac:dyDescent="0.25">
      <c r="A2540">
        <v>2539</v>
      </c>
      <c r="B2540" t="s">
        <v>3053</v>
      </c>
      <c r="C2540" t="s">
        <v>11</v>
      </c>
      <c r="D2540" t="str">
        <f t="shared" si="85"/>
        <v/>
      </c>
      <c r="E2540" t="str">
        <f t="shared" si="84"/>
        <v>playing in the band</v>
      </c>
      <c r="F2540" t="s">
        <v>6769</v>
      </c>
      <c r="G2540" t="str">
        <f>_xlfn.IFNA(VLOOKUP(F2540,songs!$B$1:$C$1539, 2, FALSE),"")</f>
        <v>Playing In The Band</v>
      </c>
      <c r="H2540" t="s">
        <v>419</v>
      </c>
    </row>
    <row r="2541" spans="1:8" x14ac:dyDescent="0.25">
      <c r="A2541">
        <v>2540</v>
      </c>
      <c r="B2541" t="s">
        <v>3054</v>
      </c>
      <c r="C2541" t="s">
        <v>3055</v>
      </c>
      <c r="D2541" t="str">
        <f t="shared" si="85"/>
        <v/>
      </c>
      <c r="E2541" t="str">
        <f t="shared" si="84"/>
        <v>standing on the corner</v>
      </c>
      <c r="F2541" t="s">
        <v>7108</v>
      </c>
      <c r="G2541" t="str">
        <f>_xlfn.IFNA(VLOOKUP(F2541,songs!$B$1:$C$1539, 2, FALSE),"")</f>
        <v>Standing On The Corner</v>
      </c>
      <c r="H2541" t="s">
        <v>3055</v>
      </c>
    </row>
    <row r="2542" spans="1:8" x14ac:dyDescent="0.25">
      <c r="A2542">
        <v>2541</v>
      </c>
      <c r="B2542" t="s">
        <v>3056</v>
      </c>
      <c r="C2542" t="s">
        <v>86</v>
      </c>
      <c r="D2542" t="str">
        <f t="shared" si="85"/>
        <v/>
      </c>
      <c r="E2542" t="str">
        <f t="shared" si="84"/>
        <v>i know you rider</v>
      </c>
      <c r="F2542" t="s">
        <v>6020</v>
      </c>
      <c r="G2542" t="str">
        <f>_xlfn.IFNA(VLOOKUP(F2542,songs!$B$1:$C$1539, 2, FALSE),"")</f>
        <v>I Know You Rider</v>
      </c>
      <c r="H2542" t="s">
        <v>86</v>
      </c>
    </row>
    <row r="2543" spans="1:8" x14ac:dyDescent="0.25">
      <c r="A2543">
        <v>2542</v>
      </c>
      <c r="B2543" t="s">
        <v>3057</v>
      </c>
      <c r="C2543" t="s">
        <v>1017</v>
      </c>
      <c r="D2543" t="str">
        <f t="shared" si="85"/>
        <v/>
      </c>
      <c r="E2543" t="str">
        <f t="shared" si="84"/>
        <v>next time you see me</v>
      </c>
      <c r="F2543" t="s">
        <v>6629</v>
      </c>
      <c r="G2543" t="str">
        <f>_xlfn.IFNA(VLOOKUP(F2543,songs!$B$1:$C$1539, 2, FALSE),"")</f>
        <v>Next Time You See Me</v>
      </c>
      <c r="H2543" t="s">
        <v>1017</v>
      </c>
    </row>
    <row r="2544" spans="1:8" x14ac:dyDescent="0.25">
      <c r="A2544">
        <v>2566</v>
      </c>
      <c r="B2544" t="s">
        <v>3094</v>
      </c>
      <c r="C2544" t="s">
        <v>3095</v>
      </c>
      <c r="D2544" t="str">
        <f t="shared" si="85"/>
        <v/>
      </c>
      <c r="E2544" t="str">
        <f t="shared" si="84"/>
        <v>it hurts me too live</v>
      </c>
      <c r="F2544" t="s">
        <v>5979</v>
      </c>
      <c r="G2544" t="str">
        <f>_xlfn.IFNA(VLOOKUP(F2544,songs!$B$1:$C$1539, 2, FALSE),"")</f>
        <v>Hurts Me Too</v>
      </c>
      <c r="H2544" t="s">
        <v>7867</v>
      </c>
    </row>
    <row r="2545" spans="1:8" x14ac:dyDescent="0.25">
      <c r="A2545">
        <v>2544</v>
      </c>
      <c r="B2545" t="s">
        <v>3060</v>
      </c>
      <c r="C2545" t="s">
        <v>3061</v>
      </c>
      <c r="D2545" t="str">
        <f t="shared" si="85"/>
        <v/>
      </c>
      <c r="E2545" t="str">
        <f t="shared" si="84"/>
        <v>you don't have to ask</v>
      </c>
      <c r="F2545" t="s">
        <v>7778</v>
      </c>
      <c r="G2545" t="str">
        <f>_xlfn.IFNA(VLOOKUP(F2545,songs!$B$1:$C$1539, 2, FALSE),"")</f>
        <v>You Don't Have To Ask</v>
      </c>
      <c r="H2545" t="s">
        <v>3061</v>
      </c>
    </row>
    <row r="2546" spans="1:8" x14ac:dyDescent="0.25">
      <c r="A2546">
        <v>2545</v>
      </c>
      <c r="B2546" t="s">
        <v>3062</v>
      </c>
      <c r="C2546" t="s">
        <v>1196</v>
      </c>
      <c r="D2546" t="str">
        <f t="shared" si="85"/>
        <v/>
      </c>
      <c r="E2546" t="str">
        <f t="shared" si="84"/>
        <v>big boss man</v>
      </c>
      <c r="F2546" t="s">
        <v>5163</v>
      </c>
      <c r="G2546" t="str">
        <f>_xlfn.IFNA(VLOOKUP(F2546,songs!$B$1:$C$1539, 2, FALSE),"")</f>
        <v>Big Boss Man</v>
      </c>
      <c r="H2546" t="s">
        <v>1196</v>
      </c>
    </row>
    <row r="2547" spans="1:8" x14ac:dyDescent="0.25">
      <c r="A2547">
        <v>2546</v>
      </c>
      <c r="B2547" t="s">
        <v>3063</v>
      </c>
      <c r="C2547" t="s">
        <v>3064</v>
      </c>
      <c r="D2547" t="str">
        <f t="shared" si="85"/>
        <v/>
      </c>
      <c r="E2547" t="str">
        <f t="shared" si="84"/>
        <v>stealin'</v>
      </c>
      <c r="F2547" t="s">
        <v>7122</v>
      </c>
      <c r="G2547" t="str">
        <f>_xlfn.IFNA(VLOOKUP(F2547,songs!$B$1:$C$1539, 2, FALSE),"")</f>
        <v>Stealin'</v>
      </c>
      <c r="H2547" t="s">
        <v>3064</v>
      </c>
    </row>
    <row r="2548" spans="1:8" x14ac:dyDescent="0.25">
      <c r="A2548">
        <v>2547</v>
      </c>
      <c r="B2548" t="s">
        <v>3065</v>
      </c>
      <c r="C2548" t="s">
        <v>3066</v>
      </c>
      <c r="D2548" t="str">
        <f t="shared" si="85"/>
        <v/>
      </c>
      <c r="E2548" t="str">
        <f t="shared" si="84"/>
        <v>cardboard cowboy</v>
      </c>
      <c r="F2548" t="s">
        <v>5285</v>
      </c>
      <c r="G2548" t="str">
        <f>_xlfn.IFNA(VLOOKUP(F2548,songs!$B$1:$C$1539, 2, FALSE),"")</f>
        <v>Cardboard Cowboy</v>
      </c>
      <c r="H2548" t="s">
        <v>3066</v>
      </c>
    </row>
    <row r="2549" spans="1:8" x14ac:dyDescent="0.25">
      <c r="A2549">
        <v>2548</v>
      </c>
      <c r="B2549" t="s">
        <v>3067</v>
      </c>
      <c r="C2549" t="s">
        <v>1617</v>
      </c>
      <c r="D2549" t="str">
        <f t="shared" si="85"/>
        <v/>
      </c>
      <c r="E2549" t="str">
        <f t="shared" si="84"/>
        <v>it's all over now, baby blue</v>
      </c>
      <c r="F2549" t="s">
        <v>6136</v>
      </c>
      <c r="G2549" t="str">
        <f>_xlfn.IFNA(VLOOKUP(F2549,songs!$B$1:$C$1539, 2, FALSE),"")</f>
        <v>It's All Over Now, Baby Blue</v>
      </c>
      <c r="H2549" t="s">
        <v>1617</v>
      </c>
    </row>
    <row r="2550" spans="1:8" x14ac:dyDescent="0.25">
      <c r="A2550">
        <v>2549</v>
      </c>
      <c r="B2550" t="s">
        <v>3068</v>
      </c>
      <c r="C2550" t="s">
        <v>431</v>
      </c>
      <c r="D2550" t="str">
        <f t="shared" si="85"/>
        <v/>
      </c>
      <c r="E2550" t="str">
        <f t="shared" si="84"/>
        <v>beat it on down the line</v>
      </c>
      <c r="F2550" t="s">
        <v>5149</v>
      </c>
      <c r="G2550" t="str">
        <f>_xlfn.IFNA(VLOOKUP(F2550,songs!$B$1:$C$1539, 2, FALSE),"")</f>
        <v>Beat It On Down The Line</v>
      </c>
      <c r="H2550" t="s">
        <v>431</v>
      </c>
    </row>
    <row r="2551" spans="1:8" x14ac:dyDescent="0.25">
      <c r="A2551">
        <v>2568</v>
      </c>
      <c r="B2551" t="s">
        <v>3097</v>
      </c>
      <c r="C2551" t="s">
        <v>3098</v>
      </c>
      <c r="D2551" t="str">
        <f t="shared" si="85"/>
        <v/>
      </c>
      <c r="E2551" t="str">
        <f t="shared" si="84"/>
        <v>turn on your love light live</v>
      </c>
      <c r="F2551" t="s">
        <v>7447</v>
      </c>
      <c r="G2551" t="str">
        <f>_xlfn.IFNA(VLOOKUP(F2551,songs!$B$1:$C$1539, 2, FALSE),"")</f>
        <v>Turn On Your Lovelight</v>
      </c>
      <c r="H2551" t="s">
        <v>7867</v>
      </c>
    </row>
    <row r="2552" spans="1:8" x14ac:dyDescent="0.25">
      <c r="A2552">
        <v>2551</v>
      </c>
      <c r="B2552" t="s">
        <v>3071</v>
      </c>
      <c r="C2552" t="s">
        <v>429</v>
      </c>
      <c r="D2552" t="str">
        <f t="shared" si="85"/>
        <v/>
      </c>
      <c r="E2552" t="str">
        <f t="shared" si="84"/>
        <v>cold rain and snow</v>
      </c>
      <c r="F2552" t="s">
        <v>5347</v>
      </c>
      <c r="G2552" t="str">
        <f>_xlfn.IFNA(VLOOKUP(F2552,songs!$B$1:$C$1539, 2, FALSE),"")</f>
        <v>Cold Rain And Snow</v>
      </c>
      <c r="H2552" t="s">
        <v>429</v>
      </c>
    </row>
    <row r="2553" spans="1:8" x14ac:dyDescent="0.25">
      <c r="A2553">
        <v>2552</v>
      </c>
      <c r="B2553" t="s">
        <v>3072</v>
      </c>
      <c r="C2553" t="s">
        <v>3073</v>
      </c>
      <c r="D2553" t="str">
        <f t="shared" si="85"/>
        <v/>
      </c>
      <c r="E2553" t="str">
        <f t="shared" si="84"/>
        <v>one kind favor</v>
      </c>
      <c r="F2553" t="s">
        <v>6699</v>
      </c>
      <c r="G2553" t="str">
        <f>_xlfn.IFNA(VLOOKUP(F2553,songs!$B$1:$C$1539, 2, FALSE),"")</f>
        <v>One Kind Favor</v>
      </c>
      <c r="H2553" t="s">
        <v>3073</v>
      </c>
    </row>
    <row r="2554" spans="1:8" x14ac:dyDescent="0.25">
      <c r="A2554">
        <v>2553</v>
      </c>
      <c r="B2554" t="s">
        <v>3074</v>
      </c>
      <c r="C2554" t="s">
        <v>3075</v>
      </c>
      <c r="D2554" t="str">
        <f t="shared" si="85"/>
        <v/>
      </c>
      <c r="E2554" t="str">
        <f t="shared" si="84"/>
        <v>hey little one</v>
      </c>
      <c r="F2554" t="s">
        <v>5911</v>
      </c>
      <c r="G2554" t="str">
        <f>_xlfn.IFNA(VLOOKUP(F2554,songs!$B$1:$C$1539, 2, FALSE),"")</f>
        <v>Hey Little One</v>
      </c>
      <c r="H2554" t="s">
        <v>3075</v>
      </c>
    </row>
    <row r="2555" spans="1:8" x14ac:dyDescent="0.25">
      <c r="A2555">
        <v>2570</v>
      </c>
      <c r="B2555" t="s">
        <v>3100</v>
      </c>
      <c r="C2555" t="s">
        <v>3101</v>
      </c>
      <c r="D2555" t="str">
        <f t="shared" si="85"/>
        <v/>
      </c>
      <c r="E2555" t="str">
        <f t="shared" si="84"/>
        <v>that's it for the other one...</v>
      </c>
      <c r="F2555" t="s">
        <v>7325</v>
      </c>
      <c r="G2555" t="str">
        <f>_xlfn.IFNA(VLOOKUP(F2555,songs!$B$1:$C$1539, 2, FALSE),"")</f>
        <v>The Other One</v>
      </c>
      <c r="H2555" t="s">
        <v>7867</v>
      </c>
    </row>
    <row r="2556" spans="1:8" x14ac:dyDescent="0.25">
      <c r="A2556">
        <v>2571</v>
      </c>
      <c r="B2556" t="s">
        <v>3102</v>
      </c>
      <c r="C2556" t="s">
        <v>2047</v>
      </c>
      <c r="D2556" t="str">
        <f t="shared" si="85"/>
        <v/>
      </c>
      <c r="E2556" t="str">
        <f t="shared" si="84"/>
        <v>that's it for the other one</v>
      </c>
      <c r="F2556" t="s">
        <v>7325</v>
      </c>
      <c r="G2556" t="str">
        <f>_xlfn.IFNA(VLOOKUP(F2556,songs!$B$1:$C$1539, 2, FALSE),"")</f>
        <v>The Other One</v>
      </c>
      <c r="H2556" t="s">
        <v>7867</v>
      </c>
    </row>
    <row r="2557" spans="1:8" x14ac:dyDescent="0.25">
      <c r="A2557">
        <v>2574</v>
      </c>
      <c r="B2557" t="s">
        <v>3106</v>
      </c>
      <c r="C2557" t="s">
        <v>3107</v>
      </c>
      <c r="D2557" t="str">
        <f t="shared" si="85"/>
        <v/>
      </c>
      <c r="E2557" t="str">
        <f t="shared" si="84"/>
        <v>alligator 1968</v>
      </c>
      <c r="F2557" t="s">
        <v>5072</v>
      </c>
      <c r="G2557" t="str">
        <f>_xlfn.IFNA(VLOOKUP(F2557,songs!$B$1:$C$1539, 2, FALSE),"")</f>
        <v>Alligator</v>
      </c>
      <c r="H2557" t="s">
        <v>7867</v>
      </c>
    </row>
    <row r="2558" spans="1:8" x14ac:dyDescent="0.25">
      <c r="A2558">
        <v>2575</v>
      </c>
      <c r="B2558" t="s">
        <v>3108</v>
      </c>
      <c r="C2558" t="s">
        <v>3109</v>
      </c>
      <c r="D2558" t="str">
        <f t="shared" si="85"/>
        <v/>
      </c>
      <c r="E2558" t="str">
        <f t="shared" si="84"/>
        <v>caution do not stop on tracks</v>
      </c>
      <c r="F2558" t="s">
        <v>5300</v>
      </c>
      <c r="G2558" t="str">
        <f>_xlfn.IFNA(VLOOKUP(F2558,songs!$B$1:$C$1539, 2, FALSE),"")</f>
        <v>Caution (Do Not Stop On Tracks)</v>
      </c>
      <c r="H2558" t="s">
        <v>7867</v>
      </c>
    </row>
    <row r="2559" spans="1:8" x14ac:dyDescent="0.25">
      <c r="A2559">
        <v>2558</v>
      </c>
      <c r="B2559" t="s">
        <v>3084</v>
      </c>
      <c r="C2559" t="s">
        <v>113</v>
      </c>
      <c r="D2559" t="str">
        <f t="shared" si="85"/>
        <v/>
      </c>
      <c r="E2559" t="str">
        <f t="shared" si="84"/>
        <v>cold rain and snow</v>
      </c>
      <c r="F2559" t="s">
        <v>5347</v>
      </c>
      <c r="G2559" t="str">
        <f>_xlfn.IFNA(VLOOKUP(F2559,songs!$B$1:$C$1539, 2, FALSE),"")</f>
        <v>Cold Rain And Snow</v>
      </c>
      <c r="H2559" t="s">
        <v>429</v>
      </c>
    </row>
    <row r="2560" spans="1:8" x14ac:dyDescent="0.25">
      <c r="A2560">
        <v>2576</v>
      </c>
      <c r="B2560" t="s">
        <v>3110</v>
      </c>
      <c r="C2560" t="s">
        <v>3101</v>
      </c>
      <c r="D2560" t="str">
        <f t="shared" si="85"/>
        <v/>
      </c>
      <c r="E2560" t="str">
        <f t="shared" si="84"/>
        <v>that's it for the other one...</v>
      </c>
      <c r="F2560" t="s">
        <v>7325</v>
      </c>
      <c r="G2560" t="str">
        <f>_xlfn.IFNA(VLOOKUP(F2560,songs!$B$1:$C$1539, 2, FALSE),"")</f>
        <v>The Other One</v>
      </c>
      <c r="H2560" t="s">
        <v>7867</v>
      </c>
    </row>
    <row r="2561" spans="1:8" x14ac:dyDescent="0.25">
      <c r="A2561">
        <v>2560</v>
      </c>
      <c r="B2561" t="s">
        <v>3087</v>
      </c>
      <c r="C2561" t="s">
        <v>3088</v>
      </c>
      <c r="D2561" t="str">
        <f t="shared" si="85"/>
        <v/>
      </c>
      <c r="E2561" t="str">
        <f t="shared" si="84"/>
        <v>cream puff war</v>
      </c>
      <c r="F2561" t="s">
        <v>5395</v>
      </c>
      <c r="G2561" t="str">
        <f>_xlfn.IFNA(VLOOKUP(F2561,songs!$B$1:$C$1539, 2, FALSE),"")</f>
        <v>Cream Puff War</v>
      </c>
      <c r="H2561" t="s">
        <v>3088</v>
      </c>
    </row>
    <row r="2562" spans="1:8" x14ac:dyDescent="0.25">
      <c r="A2562">
        <v>2561</v>
      </c>
      <c r="B2562" t="s">
        <v>3089</v>
      </c>
      <c r="C2562" t="s">
        <v>212</v>
      </c>
      <c r="D2562" t="str">
        <f t="shared" si="85"/>
        <v/>
      </c>
      <c r="E2562" t="str">
        <f t="shared" si="84"/>
        <v>morning dew</v>
      </c>
      <c r="F2562" t="s">
        <v>6555</v>
      </c>
      <c r="G2562" t="str">
        <f>_xlfn.IFNA(VLOOKUP(F2562,songs!$B$1:$C$1539, 2, FALSE),"")</f>
        <v>Morning Dew</v>
      </c>
      <c r="H2562" t="s">
        <v>212</v>
      </c>
    </row>
    <row r="2563" spans="1:8" x14ac:dyDescent="0.25">
      <c r="A2563">
        <v>2580</v>
      </c>
      <c r="B2563" t="s">
        <v>3114</v>
      </c>
      <c r="C2563" t="s">
        <v>3115</v>
      </c>
      <c r="D2563" t="str">
        <f t="shared" si="85"/>
        <v/>
      </c>
      <c r="E2563" t="str">
        <f t="shared" si="84"/>
        <v>caution do not stop on the tracks</v>
      </c>
      <c r="F2563" t="s">
        <v>5300</v>
      </c>
      <c r="G2563" t="str">
        <f>_xlfn.IFNA(VLOOKUP(F2563,songs!$B$1:$C$1539, 2, FALSE),"")</f>
        <v>Caution (Do Not Stop On Tracks)</v>
      </c>
      <c r="H2563" t="s">
        <v>7867</v>
      </c>
    </row>
    <row r="2564" spans="1:8" x14ac:dyDescent="0.25">
      <c r="A2564">
        <v>2563</v>
      </c>
      <c r="B2564" t="s">
        <v>3091</v>
      </c>
      <c r="C2564" t="s">
        <v>250</v>
      </c>
      <c r="D2564" t="str">
        <f t="shared" si="85"/>
        <v/>
      </c>
      <c r="E2564" t="str">
        <f t="shared" ref="E2564:E2627" si="86">LOWER(TRIM(SUBSTITUTE(IF(RIGHT(TRIM(C2564),2)="-&gt;",LEFT(TRIM(C2564),LEN(TRIM(C2564))-2),IF(RIGHT(TRIM(C2564),1)="&gt;",LEFT(TRIM(C2564),LEN(TRIM(C2564))-1),C2564)),"//","")))</f>
        <v>viola lee blues</v>
      </c>
      <c r="F2564" t="s">
        <v>7595</v>
      </c>
      <c r="G2564" t="str">
        <f>_xlfn.IFNA(VLOOKUP(F2564,songs!$B$1:$C$1539, 2, FALSE),"")</f>
        <v>Viola Lee Blues</v>
      </c>
      <c r="H2564" t="s">
        <v>250</v>
      </c>
    </row>
    <row r="2565" spans="1:8" x14ac:dyDescent="0.25">
      <c r="A2565">
        <v>2564</v>
      </c>
      <c r="B2565" t="s">
        <v>3092</v>
      </c>
      <c r="C2565" t="s">
        <v>212</v>
      </c>
      <c r="D2565" t="str">
        <f t="shared" si="85"/>
        <v/>
      </c>
      <c r="E2565" t="str">
        <f t="shared" si="86"/>
        <v>morning dew</v>
      </c>
      <c r="F2565" t="s">
        <v>6555</v>
      </c>
      <c r="G2565" t="str">
        <f>_xlfn.IFNA(VLOOKUP(F2565,songs!$B$1:$C$1539, 2, FALSE),"")</f>
        <v>Morning Dew</v>
      </c>
      <c r="H2565" t="s">
        <v>212</v>
      </c>
    </row>
    <row r="2566" spans="1:8" x14ac:dyDescent="0.25">
      <c r="A2566">
        <v>2565</v>
      </c>
      <c r="B2566" t="s">
        <v>3093</v>
      </c>
      <c r="C2566" t="s">
        <v>717</v>
      </c>
      <c r="D2566" t="str">
        <f t="shared" si="85"/>
        <v/>
      </c>
      <c r="E2566" t="str">
        <f t="shared" si="86"/>
        <v>new potato caboose</v>
      </c>
      <c r="F2566" t="s">
        <v>6621</v>
      </c>
      <c r="G2566" t="str">
        <f>_xlfn.IFNA(VLOOKUP(F2566,songs!$B$1:$C$1539, 2, FALSE),"")</f>
        <v>New Potato Caboose</v>
      </c>
      <c r="H2566" t="s">
        <v>717</v>
      </c>
    </row>
    <row r="2567" spans="1:8" x14ac:dyDescent="0.25">
      <c r="A2567">
        <v>2581</v>
      </c>
      <c r="B2567" t="s">
        <v>3116</v>
      </c>
      <c r="C2567" t="s">
        <v>32</v>
      </c>
      <c r="D2567" t="str">
        <f t="shared" si="85"/>
        <v/>
      </c>
      <c r="E2567" t="str">
        <f t="shared" si="86"/>
        <v>st. stephen</v>
      </c>
      <c r="F2567" t="s">
        <v>6910</v>
      </c>
      <c r="G2567" t="str">
        <f>_xlfn.IFNA(VLOOKUP(F2567,songs!$B$1:$C$1539, 2, FALSE),"")</f>
        <v>Saint Stephen</v>
      </c>
      <c r="H2567" t="s">
        <v>7867</v>
      </c>
    </row>
    <row r="2568" spans="1:8" x14ac:dyDescent="0.25">
      <c r="A2568">
        <v>2567</v>
      </c>
      <c r="B2568" t="s">
        <v>3096</v>
      </c>
      <c r="C2568" t="s">
        <v>429</v>
      </c>
      <c r="D2568" t="str">
        <f t="shared" si="85"/>
        <v/>
      </c>
      <c r="E2568" t="str">
        <f t="shared" si="86"/>
        <v>cold rain and snow</v>
      </c>
      <c r="F2568" t="s">
        <v>5347</v>
      </c>
      <c r="G2568" t="str">
        <f>_xlfn.IFNA(VLOOKUP(F2568,songs!$B$1:$C$1539, 2, FALSE),"")</f>
        <v>Cold Rain And Snow</v>
      </c>
      <c r="H2568" t="s">
        <v>429</v>
      </c>
    </row>
    <row r="2569" spans="1:8" x14ac:dyDescent="0.25">
      <c r="A2569">
        <v>2589</v>
      </c>
      <c r="B2569" t="s">
        <v>3127</v>
      </c>
      <c r="C2569" t="s">
        <v>3128</v>
      </c>
      <c r="D2569" t="str">
        <f t="shared" ref="D2569:D2632" si="87">IF(RIGHT(TRIM(C2569),2)="-&gt;","&gt;",IF(RIGHT(TRIM(C2569),1)="&gt;","&gt;",""))</f>
        <v/>
      </c>
      <c r="E2569" t="str">
        <f t="shared" si="86"/>
        <v>new potato caboose (live at avalon ballroom, san francisco, ca, 1,24,69)</v>
      </c>
      <c r="F2569" t="s">
        <v>6621</v>
      </c>
      <c r="G2569" t="str">
        <f>_xlfn.IFNA(VLOOKUP(F2569,songs!$B$1:$C$1539, 2, FALSE),"")</f>
        <v>New Potato Caboose</v>
      </c>
      <c r="H2569" t="s">
        <v>7867</v>
      </c>
    </row>
    <row r="2570" spans="1:8" x14ac:dyDescent="0.25">
      <c r="A2570">
        <v>2569</v>
      </c>
      <c r="B2570" t="s">
        <v>3099</v>
      </c>
      <c r="C2570" t="s">
        <v>431</v>
      </c>
      <c r="D2570" t="str">
        <f t="shared" si="87"/>
        <v/>
      </c>
      <c r="E2570" t="str">
        <f t="shared" si="86"/>
        <v>beat it on down the line</v>
      </c>
      <c r="F2570" t="s">
        <v>5149</v>
      </c>
      <c r="G2570" t="str">
        <f>_xlfn.IFNA(VLOOKUP(F2570,songs!$B$1:$C$1539, 2, FALSE),"")</f>
        <v>Beat It On Down The Line</v>
      </c>
      <c r="H2570" t="s">
        <v>431</v>
      </c>
    </row>
    <row r="2571" spans="1:8" x14ac:dyDescent="0.25">
      <c r="A2571">
        <v>2590</v>
      </c>
      <c r="B2571" t="s">
        <v>3129</v>
      </c>
      <c r="C2571" t="s">
        <v>3130</v>
      </c>
      <c r="D2571" t="str">
        <f t="shared" si="87"/>
        <v/>
      </c>
      <c r="E2571" t="str">
        <f t="shared" si="86"/>
        <v>caution (do not stop on tracks) (live at avalon ballroom, san francisco, ca, 1,25,69)</v>
      </c>
      <c r="F2571" t="s">
        <v>5300</v>
      </c>
      <c r="G2571" t="str">
        <f>_xlfn.IFNA(VLOOKUP(F2571,songs!$B$1:$C$1539, 2, FALSE),"")</f>
        <v>Caution (Do Not Stop On Tracks)</v>
      </c>
      <c r="H2571" t="s">
        <v>7867</v>
      </c>
    </row>
    <row r="2572" spans="1:8" x14ac:dyDescent="0.25">
      <c r="A2572">
        <v>2591</v>
      </c>
      <c r="B2572" t="s">
        <v>3131</v>
      </c>
      <c r="C2572" t="s">
        <v>3132</v>
      </c>
      <c r="D2572" t="str">
        <f t="shared" si="87"/>
        <v/>
      </c>
      <c r="E2572" t="str">
        <f t="shared" si="86"/>
        <v>and we bid you goodnight (live at avalon ballroom, san francisco, ca, 1,25,69)</v>
      </c>
      <c r="F2572" t="s">
        <v>5082</v>
      </c>
      <c r="G2572" t="str">
        <f>_xlfn.IFNA(VLOOKUP(F2572,songs!$B$1:$C$1539, 2, FALSE),"")</f>
        <v>And We Bid You Good Night</v>
      </c>
      <c r="H2572" t="s">
        <v>7867</v>
      </c>
    </row>
    <row r="2573" spans="1:8" x14ac:dyDescent="0.25">
      <c r="A2573">
        <v>2572</v>
      </c>
      <c r="B2573" t="s">
        <v>3103</v>
      </c>
      <c r="C2573" t="s">
        <v>717</v>
      </c>
      <c r="D2573" t="str">
        <f t="shared" si="87"/>
        <v/>
      </c>
      <c r="E2573" t="str">
        <f t="shared" si="86"/>
        <v>new potato caboose</v>
      </c>
      <c r="F2573" t="s">
        <v>6621</v>
      </c>
      <c r="G2573" t="str">
        <f>_xlfn.IFNA(VLOOKUP(F2573,songs!$B$1:$C$1539, 2, FALSE),"")</f>
        <v>New Potato Caboose</v>
      </c>
      <c r="H2573" t="s">
        <v>717</v>
      </c>
    </row>
    <row r="2574" spans="1:8" x14ac:dyDescent="0.25">
      <c r="A2574">
        <v>2573</v>
      </c>
      <c r="B2574" t="s">
        <v>3104</v>
      </c>
      <c r="C2574" t="s">
        <v>3105</v>
      </c>
      <c r="D2574" t="str">
        <f t="shared" si="87"/>
        <v/>
      </c>
      <c r="E2574" t="str">
        <f t="shared" si="86"/>
        <v>born cross-eyed</v>
      </c>
      <c r="F2574" t="s">
        <v>5228</v>
      </c>
      <c r="G2574" t="str">
        <f>_xlfn.IFNA(VLOOKUP(F2574,songs!$B$1:$C$1539, 2, FALSE),"")</f>
        <v>Born Cross-Eyed</v>
      </c>
      <c r="H2574" t="s">
        <v>3105</v>
      </c>
    </row>
    <row r="2575" spans="1:8" x14ac:dyDescent="0.25">
      <c r="A2575">
        <v>2592</v>
      </c>
      <c r="B2575" t="s">
        <v>3133</v>
      </c>
      <c r="C2575" t="s">
        <v>3134</v>
      </c>
      <c r="D2575" t="str">
        <f t="shared" si="87"/>
        <v/>
      </c>
      <c r="E2575" t="str">
        <f t="shared" si="86"/>
        <v>doin' that rag (live at avalon ballroom, san francisco, ca, 1,25,69)</v>
      </c>
      <c r="F2575" t="s">
        <v>5508</v>
      </c>
      <c r="G2575" t="str">
        <f>_xlfn.IFNA(VLOOKUP(F2575,songs!$B$1:$C$1539, 2, FALSE),"")</f>
        <v>Doin' That Rag</v>
      </c>
      <c r="H2575" t="s">
        <v>7867</v>
      </c>
    </row>
    <row r="2576" spans="1:8" x14ac:dyDescent="0.25">
      <c r="A2576">
        <v>2593</v>
      </c>
      <c r="B2576" t="s">
        <v>3135</v>
      </c>
      <c r="C2576" t="s">
        <v>3136</v>
      </c>
      <c r="D2576" t="str">
        <f t="shared" si="87"/>
        <v/>
      </c>
      <c r="E2576" t="str">
        <f t="shared" si="86"/>
        <v>alligator (live at avalon ballroom, san francisco, ca, 1,25,69)</v>
      </c>
      <c r="F2576" t="s">
        <v>5072</v>
      </c>
      <c r="G2576" t="str">
        <f>_xlfn.IFNA(VLOOKUP(F2576,songs!$B$1:$C$1539, 2, FALSE),"")</f>
        <v>Alligator</v>
      </c>
      <c r="H2576" t="s">
        <v>7867</v>
      </c>
    </row>
    <row r="2577" spans="1:8" x14ac:dyDescent="0.25">
      <c r="A2577">
        <v>2594</v>
      </c>
      <c r="B2577" t="s">
        <v>3137</v>
      </c>
      <c r="C2577" t="s">
        <v>3138</v>
      </c>
      <c r="D2577" t="str">
        <f t="shared" si="87"/>
        <v/>
      </c>
      <c r="E2577" t="str">
        <f t="shared" si="86"/>
        <v>death don't have no mercy (live at avalon ballroom, san francisco, ca, 1,26,69)</v>
      </c>
      <c r="F2577" t="s">
        <v>5468</v>
      </c>
      <c r="G2577" t="str">
        <f>_xlfn.IFNA(VLOOKUP(F2577,songs!$B$1:$C$1539, 2, FALSE),"")</f>
        <v>Death Don't Have No Mercy</v>
      </c>
      <c r="H2577" t="s">
        <v>7867</v>
      </c>
    </row>
    <row r="2578" spans="1:8" x14ac:dyDescent="0.25">
      <c r="A2578">
        <v>2577</v>
      </c>
      <c r="B2578" t="s">
        <v>3111</v>
      </c>
      <c r="C2578" t="s">
        <v>717</v>
      </c>
      <c r="D2578" t="str">
        <f t="shared" si="87"/>
        <v/>
      </c>
      <c r="E2578" t="str">
        <f t="shared" si="86"/>
        <v>new potato caboose</v>
      </c>
      <c r="F2578" t="s">
        <v>6621</v>
      </c>
      <c r="G2578" t="str">
        <f>_xlfn.IFNA(VLOOKUP(F2578,songs!$B$1:$C$1539, 2, FALSE),"")</f>
        <v>New Potato Caboose</v>
      </c>
      <c r="H2578" t="s">
        <v>717</v>
      </c>
    </row>
    <row r="2579" spans="1:8" x14ac:dyDescent="0.25">
      <c r="A2579">
        <v>2578</v>
      </c>
      <c r="B2579" t="s">
        <v>3112</v>
      </c>
      <c r="C2579" t="s">
        <v>3105</v>
      </c>
      <c r="D2579" t="str">
        <f t="shared" si="87"/>
        <v/>
      </c>
      <c r="E2579" t="str">
        <f t="shared" si="86"/>
        <v>born cross-eyed</v>
      </c>
      <c r="F2579" t="s">
        <v>5228</v>
      </c>
      <c r="G2579" t="str">
        <f>_xlfn.IFNA(VLOOKUP(F2579,songs!$B$1:$C$1539, 2, FALSE),"")</f>
        <v>Born Cross-Eyed</v>
      </c>
      <c r="H2579" t="s">
        <v>3105</v>
      </c>
    </row>
    <row r="2580" spans="1:8" x14ac:dyDescent="0.25">
      <c r="A2580">
        <v>2579</v>
      </c>
      <c r="B2580" t="s">
        <v>3113</v>
      </c>
      <c r="C2580" t="s">
        <v>98</v>
      </c>
      <c r="D2580" t="str">
        <f t="shared" si="87"/>
        <v/>
      </c>
      <c r="E2580" t="str">
        <f t="shared" si="86"/>
        <v>alligator</v>
      </c>
      <c r="F2580" t="s">
        <v>5072</v>
      </c>
      <c r="G2580" t="str">
        <f>_xlfn.IFNA(VLOOKUP(F2580,songs!$B$1:$C$1539, 2, FALSE),"")</f>
        <v>Alligator</v>
      </c>
      <c r="H2580" t="s">
        <v>98</v>
      </c>
    </row>
    <row r="2581" spans="1:8" x14ac:dyDescent="0.25">
      <c r="A2581">
        <v>2595</v>
      </c>
      <c r="B2581" t="s">
        <v>3139</v>
      </c>
      <c r="C2581" t="s">
        <v>3140</v>
      </c>
      <c r="D2581" t="str">
        <f t="shared" si="87"/>
        <v/>
      </c>
      <c r="E2581" t="str">
        <f t="shared" si="86"/>
        <v>feedback (live at avalon ballroom, san francisco, ca, 1,25,69)</v>
      </c>
      <c r="F2581" t="s">
        <v>5657</v>
      </c>
      <c r="G2581" t="str">
        <f>_xlfn.IFNA(VLOOKUP(F2581,songs!$B$1:$C$1539, 2, FALSE),"")</f>
        <v>Feedback</v>
      </c>
      <c r="H2581" t="s">
        <v>7867</v>
      </c>
    </row>
    <row r="2582" spans="1:8" x14ac:dyDescent="0.25">
      <c r="A2582">
        <v>2596</v>
      </c>
      <c r="B2582" t="s">
        <v>3141</v>
      </c>
      <c r="C2582" t="s">
        <v>3142</v>
      </c>
      <c r="D2582" t="str">
        <f t="shared" si="87"/>
        <v/>
      </c>
      <c r="E2582" t="str">
        <f t="shared" si="86"/>
        <v>clementine (live at avalon ballroom, san francisco, ca, 1,26,69)</v>
      </c>
      <c r="F2582" t="s">
        <v>5332</v>
      </c>
      <c r="G2582" t="str">
        <f>_xlfn.IFNA(VLOOKUP(F2582,songs!$B$1:$C$1539, 2, FALSE),"")</f>
        <v>Clementine</v>
      </c>
      <c r="H2582" t="s">
        <v>7867</v>
      </c>
    </row>
    <row r="2583" spans="1:8" x14ac:dyDescent="0.25">
      <c r="A2583">
        <v>2582</v>
      </c>
      <c r="B2583" t="s">
        <v>3117</v>
      </c>
      <c r="C2583" t="s">
        <v>556</v>
      </c>
      <c r="D2583" t="str">
        <f t="shared" si="87"/>
        <v/>
      </c>
      <c r="E2583" t="str">
        <f t="shared" si="86"/>
        <v>dupree's diamond blues</v>
      </c>
      <c r="F2583" t="s">
        <v>5573</v>
      </c>
      <c r="G2583" t="str">
        <f>_xlfn.IFNA(VLOOKUP(F2583,songs!$B$1:$C$1539, 2, FALSE),"")</f>
        <v>Dupree's Diamond Blues</v>
      </c>
      <c r="H2583" t="s">
        <v>556</v>
      </c>
    </row>
    <row r="2584" spans="1:8" x14ac:dyDescent="0.25">
      <c r="A2584">
        <v>2583</v>
      </c>
      <c r="B2584" t="s">
        <v>3118</v>
      </c>
      <c r="C2584" t="s">
        <v>3119</v>
      </c>
      <c r="D2584" t="str">
        <f t="shared" si="87"/>
        <v/>
      </c>
      <c r="E2584" t="str">
        <f t="shared" si="86"/>
        <v>rosemary</v>
      </c>
      <c r="F2584" t="s">
        <v>6890</v>
      </c>
      <c r="G2584" t="str">
        <f>_xlfn.IFNA(VLOOKUP(F2584,songs!$B$1:$C$1539, 2, FALSE),"")</f>
        <v>Rosemary</v>
      </c>
      <c r="H2584" t="s">
        <v>3119</v>
      </c>
    </row>
    <row r="2585" spans="1:8" x14ac:dyDescent="0.25">
      <c r="A2585">
        <v>2584</v>
      </c>
      <c r="B2585" t="s">
        <v>3120</v>
      </c>
      <c r="C2585" t="s">
        <v>828</v>
      </c>
      <c r="D2585" t="str">
        <f t="shared" si="87"/>
        <v/>
      </c>
      <c r="E2585" t="str">
        <f t="shared" si="86"/>
        <v>doin' that rag</v>
      </c>
      <c r="F2585" t="s">
        <v>5508</v>
      </c>
      <c r="G2585" t="str">
        <f>_xlfn.IFNA(VLOOKUP(F2585,songs!$B$1:$C$1539, 2, FALSE),"")</f>
        <v>Doin' That Rag</v>
      </c>
      <c r="H2585" t="s">
        <v>828</v>
      </c>
    </row>
    <row r="2586" spans="1:8" x14ac:dyDescent="0.25">
      <c r="A2586">
        <v>2585</v>
      </c>
      <c r="B2586" t="s">
        <v>3121</v>
      </c>
      <c r="C2586" t="s">
        <v>3122</v>
      </c>
      <c r="D2586" t="str">
        <f t="shared" si="87"/>
        <v/>
      </c>
      <c r="E2586" t="str">
        <f t="shared" si="86"/>
        <v>mountains of the moon</v>
      </c>
      <c r="F2586" t="s">
        <v>6568</v>
      </c>
      <c r="G2586" t="str">
        <f>_xlfn.IFNA(VLOOKUP(F2586,songs!$B$1:$C$1539, 2, FALSE),"")</f>
        <v>Mountains Of The Moon</v>
      </c>
      <c r="H2586" t="s">
        <v>3983</v>
      </c>
    </row>
    <row r="2587" spans="1:8" x14ac:dyDescent="0.25">
      <c r="A2587">
        <v>2586</v>
      </c>
      <c r="B2587" t="s">
        <v>3123</v>
      </c>
      <c r="C2587" t="s">
        <v>84</v>
      </c>
      <c r="D2587" t="str">
        <f t="shared" si="87"/>
        <v/>
      </c>
      <c r="E2587" t="str">
        <f t="shared" si="86"/>
        <v>china cat sunflower</v>
      </c>
      <c r="F2587" t="s">
        <v>5319</v>
      </c>
      <c r="G2587" t="str">
        <f>_xlfn.IFNA(VLOOKUP(F2587,songs!$B$1:$C$1539, 2, FALSE),"")</f>
        <v>China Cat Sunflower</v>
      </c>
      <c r="H2587" t="s">
        <v>84</v>
      </c>
    </row>
    <row r="2588" spans="1:8" x14ac:dyDescent="0.25">
      <c r="A2588">
        <v>2587</v>
      </c>
      <c r="B2588" t="s">
        <v>3124</v>
      </c>
      <c r="C2588" t="s">
        <v>3125</v>
      </c>
      <c r="D2588" t="str">
        <f t="shared" si="87"/>
        <v/>
      </c>
      <c r="E2588" t="str">
        <f t="shared" si="86"/>
        <v>what's become of the baby</v>
      </c>
      <c r="F2588" t="s">
        <v>7681</v>
      </c>
      <c r="G2588" t="str">
        <f>_xlfn.IFNA(VLOOKUP(F2588,songs!$B$1:$C$1539, 2, FALSE),"")</f>
        <v>What's Become Of The Baby</v>
      </c>
      <c r="H2588" t="s">
        <v>3986</v>
      </c>
    </row>
    <row r="2589" spans="1:8" x14ac:dyDescent="0.25">
      <c r="A2589">
        <v>2588</v>
      </c>
      <c r="B2589" t="s">
        <v>3126</v>
      </c>
      <c r="C2589" t="s">
        <v>239</v>
      </c>
      <c r="D2589" t="str">
        <f t="shared" si="87"/>
        <v/>
      </c>
      <c r="E2589" t="str">
        <f t="shared" si="86"/>
        <v>cosmic charlie</v>
      </c>
      <c r="F2589" t="s">
        <v>5373</v>
      </c>
      <c r="G2589" t="str">
        <f>_xlfn.IFNA(VLOOKUP(F2589,songs!$B$1:$C$1539, 2, FALSE),"")</f>
        <v>Cosmic Charlie</v>
      </c>
      <c r="H2589" t="s">
        <v>239</v>
      </c>
    </row>
    <row r="2590" spans="1:8" x14ac:dyDescent="0.25">
      <c r="A2590">
        <v>2597</v>
      </c>
      <c r="B2590" t="s">
        <v>3143</v>
      </c>
      <c r="C2590" t="s">
        <v>3144</v>
      </c>
      <c r="D2590" t="str">
        <f t="shared" si="87"/>
        <v/>
      </c>
      <c r="E2590" t="str">
        <f t="shared" si="86"/>
        <v>st. stephen (1971 mix)</v>
      </c>
      <c r="F2590" t="s">
        <v>6910</v>
      </c>
      <c r="G2590" t="str">
        <f>_xlfn.IFNA(VLOOKUP(F2590,songs!$B$1:$C$1539, 2, FALSE),"")</f>
        <v>Saint Stephen</v>
      </c>
      <c r="H2590" t="s">
        <v>7867</v>
      </c>
    </row>
    <row r="2591" spans="1:8" x14ac:dyDescent="0.25">
      <c r="A2591">
        <v>2598</v>
      </c>
      <c r="B2591" t="s">
        <v>3145</v>
      </c>
      <c r="C2591" t="s">
        <v>3146</v>
      </c>
      <c r="D2591" t="str">
        <f t="shared" si="87"/>
        <v/>
      </c>
      <c r="E2591" t="str">
        <f t="shared" si="86"/>
        <v>dupree's diamond blues (1971 mix)</v>
      </c>
      <c r="F2591" t="s">
        <v>5573</v>
      </c>
      <c r="G2591" t="str">
        <f>_xlfn.IFNA(VLOOKUP(F2591,songs!$B$1:$C$1539, 2, FALSE),"")</f>
        <v>Dupree's Diamond Blues</v>
      </c>
      <c r="H2591" t="s">
        <v>7867</v>
      </c>
    </row>
    <row r="2592" spans="1:8" x14ac:dyDescent="0.25">
      <c r="A2592">
        <v>2600</v>
      </c>
      <c r="B2592" t="s">
        <v>3149</v>
      </c>
      <c r="C2592" t="s">
        <v>3150</v>
      </c>
      <c r="D2592" t="str">
        <f t="shared" si="87"/>
        <v/>
      </c>
      <c r="E2592" t="str">
        <f t="shared" si="86"/>
        <v>doin' that rag (1971 mix)</v>
      </c>
      <c r="F2592" t="s">
        <v>5508</v>
      </c>
      <c r="G2592" t="str">
        <f>_xlfn.IFNA(VLOOKUP(F2592,songs!$B$1:$C$1539, 2, FALSE),"")</f>
        <v>Doin' That Rag</v>
      </c>
      <c r="H2592" t="s">
        <v>7867</v>
      </c>
    </row>
    <row r="2593" spans="1:8" x14ac:dyDescent="0.25">
      <c r="A2593">
        <v>2601</v>
      </c>
      <c r="B2593" t="s">
        <v>3151</v>
      </c>
      <c r="C2593" t="s">
        <v>3152</v>
      </c>
      <c r="D2593" t="str">
        <f t="shared" si="87"/>
        <v/>
      </c>
      <c r="E2593" t="str">
        <f t="shared" si="86"/>
        <v>mountains of the moon (1971 mix)</v>
      </c>
      <c r="F2593" t="s">
        <v>6568</v>
      </c>
      <c r="G2593" t="str">
        <f>_xlfn.IFNA(VLOOKUP(F2593,songs!$B$1:$C$1539, 2, FALSE),"")</f>
        <v>Mountains Of The Moon</v>
      </c>
      <c r="H2593" t="s">
        <v>7867</v>
      </c>
    </row>
    <row r="2594" spans="1:8" x14ac:dyDescent="0.25">
      <c r="A2594">
        <v>2602</v>
      </c>
      <c r="B2594" t="s">
        <v>3153</v>
      </c>
      <c r="C2594" t="s">
        <v>3154</v>
      </c>
      <c r="D2594" t="str">
        <f t="shared" si="87"/>
        <v/>
      </c>
      <c r="E2594" t="str">
        <f t="shared" si="86"/>
        <v>china cat sunflower (1971 mix)</v>
      </c>
      <c r="F2594" t="s">
        <v>5319</v>
      </c>
      <c r="G2594" t="str">
        <f>_xlfn.IFNA(VLOOKUP(F2594,songs!$B$1:$C$1539, 2, FALSE),"")</f>
        <v>China Cat Sunflower</v>
      </c>
      <c r="H2594" t="s">
        <v>7867</v>
      </c>
    </row>
    <row r="2595" spans="1:8" x14ac:dyDescent="0.25">
      <c r="A2595">
        <v>2603</v>
      </c>
      <c r="B2595" t="s">
        <v>3155</v>
      </c>
      <c r="C2595" t="s">
        <v>3156</v>
      </c>
      <c r="D2595" t="str">
        <f t="shared" si="87"/>
        <v/>
      </c>
      <c r="E2595" t="str">
        <f t="shared" si="86"/>
        <v>what's become of the baby (1971 mix)</v>
      </c>
      <c r="F2595" t="s">
        <v>7681</v>
      </c>
      <c r="G2595" t="str">
        <f>_xlfn.IFNA(VLOOKUP(F2595,songs!$B$1:$C$1539, 2, FALSE),"")</f>
        <v>What's Become Of The Baby</v>
      </c>
      <c r="H2595" t="s">
        <v>7867</v>
      </c>
    </row>
    <row r="2596" spans="1:8" x14ac:dyDescent="0.25">
      <c r="A2596">
        <v>2604</v>
      </c>
      <c r="B2596" t="s">
        <v>3157</v>
      </c>
      <c r="C2596" t="s">
        <v>3158</v>
      </c>
      <c r="D2596" t="str">
        <f t="shared" si="87"/>
        <v/>
      </c>
      <c r="E2596" t="str">
        <f t="shared" si="86"/>
        <v>cosmic charlie (1971 mix)</v>
      </c>
      <c r="F2596" t="s">
        <v>5373</v>
      </c>
      <c r="G2596" t="str">
        <f>_xlfn.IFNA(VLOOKUP(F2596,songs!$B$1:$C$1539, 2, FALSE),"")</f>
        <v>Cosmic Charlie</v>
      </c>
      <c r="H2596" t="s">
        <v>7867</v>
      </c>
    </row>
    <row r="2597" spans="1:8" x14ac:dyDescent="0.25">
      <c r="A2597">
        <v>2615</v>
      </c>
      <c r="B2597" t="s">
        <v>3172</v>
      </c>
      <c r="C2597" t="s">
        <v>3173</v>
      </c>
      <c r="D2597" t="str">
        <f t="shared" si="87"/>
        <v/>
      </c>
      <c r="E2597" t="str">
        <f t="shared" si="86"/>
        <v>friend of the devil (demo)</v>
      </c>
      <c r="F2597" t="s">
        <v>5721</v>
      </c>
      <c r="G2597" t="str">
        <f>_xlfn.IFNA(VLOOKUP(F2597,songs!$B$1:$C$1539, 2, FALSE),"")</f>
        <v>Friend Of The Devil</v>
      </c>
      <c r="H2597" t="s">
        <v>7867</v>
      </c>
    </row>
    <row r="2598" spans="1:8" x14ac:dyDescent="0.25">
      <c r="A2598">
        <v>2616</v>
      </c>
      <c r="B2598" t="s">
        <v>3174</v>
      </c>
      <c r="C2598" t="s">
        <v>3173</v>
      </c>
      <c r="D2598" t="str">
        <f t="shared" si="87"/>
        <v/>
      </c>
      <c r="E2598" t="str">
        <f t="shared" si="86"/>
        <v>friend of the devil (demo)</v>
      </c>
      <c r="F2598" t="s">
        <v>5721</v>
      </c>
      <c r="G2598" t="str">
        <f>_xlfn.IFNA(VLOOKUP(F2598,songs!$B$1:$C$1539, 2, FALSE),"")</f>
        <v>Friend Of The Devil</v>
      </c>
      <c r="H2598" t="s">
        <v>7867</v>
      </c>
    </row>
    <row r="2599" spans="1:8" x14ac:dyDescent="0.25">
      <c r="A2599">
        <v>2617</v>
      </c>
      <c r="B2599" t="s">
        <v>3175</v>
      </c>
      <c r="C2599" t="s">
        <v>3176</v>
      </c>
      <c r="D2599" t="str">
        <f t="shared" si="87"/>
        <v/>
      </c>
      <c r="E2599" t="str">
        <f t="shared" si="86"/>
        <v>sugar magnolia (demo)</v>
      </c>
      <c r="F2599" t="s">
        <v>7150</v>
      </c>
      <c r="G2599" t="str">
        <f>_xlfn.IFNA(VLOOKUP(F2599,songs!$B$1:$C$1539, 2, FALSE),"")</f>
        <v>Sugar Magnolia</v>
      </c>
      <c r="H2599" t="s">
        <v>7867</v>
      </c>
    </row>
    <row r="2600" spans="1:8" x14ac:dyDescent="0.25">
      <c r="A2600">
        <v>2618</v>
      </c>
      <c r="B2600" t="s">
        <v>3177</v>
      </c>
      <c r="C2600" t="s">
        <v>3178</v>
      </c>
      <c r="D2600" t="str">
        <f t="shared" si="87"/>
        <v/>
      </c>
      <c r="E2600" t="str">
        <f t="shared" si="86"/>
        <v>operator (demo)</v>
      </c>
      <c r="F2600" t="s">
        <v>6713</v>
      </c>
      <c r="G2600" t="str">
        <f>_xlfn.IFNA(VLOOKUP(F2600,songs!$B$1:$C$1539, 2, FALSE),"")</f>
        <v>Operator</v>
      </c>
      <c r="H2600" t="s">
        <v>7867</v>
      </c>
    </row>
    <row r="2601" spans="1:8" x14ac:dyDescent="0.25">
      <c r="A2601">
        <v>2619</v>
      </c>
      <c r="B2601" t="s">
        <v>3179</v>
      </c>
      <c r="C2601" t="s">
        <v>3180</v>
      </c>
      <c r="D2601" t="str">
        <f t="shared" si="87"/>
        <v/>
      </c>
      <c r="E2601" t="str">
        <f t="shared" si="86"/>
        <v>candyman (demo)</v>
      </c>
      <c r="F2601" t="s">
        <v>5278</v>
      </c>
      <c r="G2601" t="str">
        <f>_xlfn.IFNA(VLOOKUP(F2601,songs!$B$1:$C$1539, 2, FALSE),"")</f>
        <v>Candyman</v>
      </c>
      <c r="H2601" t="s">
        <v>7867</v>
      </c>
    </row>
    <row r="2602" spans="1:8" x14ac:dyDescent="0.25">
      <c r="A2602">
        <v>2620</v>
      </c>
      <c r="B2602" t="s">
        <v>3181</v>
      </c>
      <c r="C2602" t="s">
        <v>3176</v>
      </c>
      <c r="D2602" t="str">
        <f t="shared" si="87"/>
        <v/>
      </c>
      <c r="E2602" t="str">
        <f t="shared" si="86"/>
        <v>sugar magnolia (demo)</v>
      </c>
      <c r="F2602" t="s">
        <v>7150</v>
      </c>
      <c r="G2602" t="str">
        <f>_xlfn.IFNA(VLOOKUP(F2602,songs!$B$1:$C$1539, 2, FALSE),"")</f>
        <v>Sugar Magnolia</v>
      </c>
      <c r="H2602" t="s">
        <v>7867</v>
      </c>
    </row>
    <row r="2603" spans="1:8" x14ac:dyDescent="0.25">
      <c r="A2603">
        <v>2621</v>
      </c>
      <c r="B2603" t="s">
        <v>3182</v>
      </c>
      <c r="C2603" t="s">
        <v>3183</v>
      </c>
      <c r="D2603" t="str">
        <f t="shared" si="87"/>
        <v/>
      </c>
      <c r="E2603" t="str">
        <f t="shared" si="86"/>
        <v>to lay me down (demo)</v>
      </c>
      <c r="F2603" t="s">
        <v>7397</v>
      </c>
      <c r="G2603" t="str">
        <f>_xlfn.IFNA(VLOOKUP(F2603,songs!$B$1:$C$1539, 2, FALSE),"")</f>
        <v>To Lay Me Down</v>
      </c>
      <c r="H2603" t="s">
        <v>7867</v>
      </c>
    </row>
    <row r="2604" spans="1:8" x14ac:dyDescent="0.25">
      <c r="A2604">
        <v>2622</v>
      </c>
      <c r="B2604" t="s">
        <v>3184</v>
      </c>
      <c r="C2604" t="s">
        <v>3180</v>
      </c>
      <c r="D2604" t="str">
        <f t="shared" si="87"/>
        <v/>
      </c>
      <c r="E2604" t="str">
        <f t="shared" si="86"/>
        <v>candyman (demo)</v>
      </c>
      <c r="F2604" t="s">
        <v>5278</v>
      </c>
      <c r="G2604" t="str">
        <f>_xlfn.IFNA(VLOOKUP(F2604,songs!$B$1:$C$1539, 2, FALSE),"")</f>
        <v>Candyman</v>
      </c>
      <c r="H2604" t="s">
        <v>7867</v>
      </c>
    </row>
    <row r="2605" spans="1:8" x14ac:dyDescent="0.25">
      <c r="A2605">
        <v>2623</v>
      </c>
      <c r="B2605" t="s">
        <v>3185</v>
      </c>
      <c r="C2605" t="s">
        <v>3186</v>
      </c>
      <c r="D2605" t="str">
        <f t="shared" si="87"/>
        <v/>
      </c>
      <c r="E2605" t="str">
        <f t="shared" si="86"/>
        <v>truckin' (demo)</v>
      </c>
      <c r="F2605" t="s">
        <v>7436</v>
      </c>
      <c r="G2605" t="str">
        <f>_xlfn.IFNA(VLOOKUP(F2605,songs!$B$1:$C$1539, 2, FALSE),"")</f>
        <v>Truckin'</v>
      </c>
      <c r="H2605" t="s">
        <v>7867</v>
      </c>
    </row>
    <row r="2606" spans="1:8" x14ac:dyDescent="0.25">
      <c r="A2606">
        <v>2605</v>
      </c>
      <c r="B2606" t="s">
        <v>3159</v>
      </c>
      <c r="C2606" t="s">
        <v>915</v>
      </c>
      <c r="D2606" t="str">
        <f t="shared" si="87"/>
        <v/>
      </c>
      <c r="E2606" t="str">
        <f t="shared" si="86"/>
        <v>box of rain</v>
      </c>
      <c r="F2606" t="s">
        <v>5237</v>
      </c>
      <c r="G2606" t="str">
        <f>_xlfn.IFNA(VLOOKUP(F2606,songs!$B$1:$C$1539, 2, FALSE),"")</f>
        <v>Box Of Rain</v>
      </c>
      <c r="H2606" t="s">
        <v>915</v>
      </c>
    </row>
    <row r="2607" spans="1:8" x14ac:dyDescent="0.25">
      <c r="A2607">
        <v>2606</v>
      </c>
      <c r="B2607" t="s">
        <v>3160</v>
      </c>
      <c r="C2607" t="s">
        <v>464</v>
      </c>
      <c r="D2607" t="str">
        <f t="shared" si="87"/>
        <v/>
      </c>
      <c r="E2607" t="str">
        <f t="shared" si="86"/>
        <v>friend of the devil</v>
      </c>
      <c r="F2607" t="s">
        <v>5721</v>
      </c>
      <c r="G2607" t="str">
        <f>_xlfn.IFNA(VLOOKUP(F2607,songs!$B$1:$C$1539, 2, FALSE),"")</f>
        <v>Friend Of The Devil</v>
      </c>
      <c r="H2607" t="s">
        <v>464</v>
      </c>
    </row>
    <row r="2608" spans="1:8" x14ac:dyDescent="0.25">
      <c r="A2608">
        <v>2607</v>
      </c>
      <c r="B2608" t="s">
        <v>3161</v>
      </c>
      <c r="C2608" t="s">
        <v>30</v>
      </c>
      <c r="D2608" t="str">
        <f t="shared" si="87"/>
        <v/>
      </c>
      <c r="E2608" t="str">
        <f t="shared" si="86"/>
        <v>sugar magnolia</v>
      </c>
      <c r="F2608" t="s">
        <v>7150</v>
      </c>
      <c r="G2608" t="str">
        <f>_xlfn.IFNA(VLOOKUP(F2608,songs!$B$1:$C$1539, 2, FALSE),"")</f>
        <v>Sugar Magnolia</v>
      </c>
      <c r="H2608" t="s">
        <v>30</v>
      </c>
    </row>
    <row r="2609" spans="1:8" x14ac:dyDescent="0.25">
      <c r="A2609">
        <v>2608</v>
      </c>
      <c r="B2609" t="s">
        <v>3162</v>
      </c>
      <c r="C2609" t="s">
        <v>3163</v>
      </c>
      <c r="D2609" t="str">
        <f t="shared" si="87"/>
        <v/>
      </c>
      <c r="E2609" t="str">
        <f t="shared" si="86"/>
        <v>operator</v>
      </c>
      <c r="F2609" t="s">
        <v>6713</v>
      </c>
      <c r="G2609" t="str">
        <f>_xlfn.IFNA(VLOOKUP(F2609,songs!$B$1:$C$1539, 2, FALSE),"")</f>
        <v>Operator</v>
      </c>
      <c r="H2609" t="s">
        <v>3163</v>
      </c>
    </row>
    <row r="2610" spans="1:8" x14ac:dyDescent="0.25">
      <c r="A2610">
        <v>2609</v>
      </c>
      <c r="B2610" t="s">
        <v>3164</v>
      </c>
      <c r="C2610" t="s">
        <v>641</v>
      </c>
      <c r="D2610" t="str">
        <f t="shared" si="87"/>
        <v/>
      </c>
      <c r="E2610" t="str">
        <f t="shared" si="86"/>
        <v>candyman</v>
      </c>
      <c r="F2610" t="s">
        <v>5278</v>
      </c>
      <c r="G2610" t="str">
        <f>_xlfn.IFNA(VLOOKUP(F2610,songs!$B$1:$C$1539, 2, FALSE),"")</f>
        <v>Candyman</v>
      </c>
      <c r="H2610" t="s">
        <v>641</v>
      </c>
    </row>
    <row r="2611" spans="1:8" x14ac:dyDescent="0.25">
      <c r="A2611">
        <v>2610</v>
      </c>
      <c r="B2611" t="s">
        <v>3165</v>
      </c>
      <c r="C2611" t="s">
        <v>3166</v>
      </c>
      <c r="D2611" t="str">
        <f t="shared" si="87"/>
        <v/>
      </c>
      <c r="E2611" t="str">
        <f t="shared" si="86"/>
        <v>ripple</v>
      </c>
      <c r="F2611" t="s">
        <v>6864</v>
      </c>
      <c r="G2611" t="str">
        <f>_xlfn.IFNA(VLOOKUP(F2611,songs!$B$1:$C$1539, 2, FALSE),"")</f>
        <v>Ripple</v>
      </c>
      <c r="H2611" t="s">
        <v>3166</v>
      </c>
    </row>
    <row r="2612" spans="1:8" x14ac:dyDescent="0.25">
      <c r="A2612">
        <v>2611</v>
      </c>
      <c r="B2612" t="s">
        <v>3167</v>
      </c>
      <c r="C2612" t="s">
        <v>145</v>
      </c>
      <c r="D2612" t="str">
        <f t="shared" si="87"/>
        <v/>
      </c>
      <c r="E2612" t="str">
        <f t="shared" si="86"/>
        <v>brokedown palace</v>
      </c>
      <c r="F2612" t="s">
        <v>5250</v>
      </c>
      <c r="G2612" t="str">
        <f>_xlfn.IFNA(VLOOKUP(F2612,songs!$B$1:$C$1539, 2, FALSE),"")</f>
        <v>Brokedown Palace</v>
      </c>
      <c r="H2612" t="s">
        <v>145</v>
      </c>
    </row>
    <row r="2613" spans="1:8" x14ac:dyDescent="0.25">
      <c r="A2613">
        <v>2612</v>
      </c>
      <c r="B2613" t="s">
        <v>3168</v>
      </c>
      <c r="C2613" t="s">
        <v>3169</v>
      </c>
      <c r="D2613" t="str">
        <f t="shared" si="87"/>
        <v/>
      </c>
      <c r="E2613" t="str">
        <f t="shared" si="86"/>
        <v>till the morning comes</v>
      </c>
      <c r="F2613" t="s">
        <v>7392</v>
      </c>
      <c r="G2613" t="str">
        <f>_xlfn.IFNA(VLOOKUP(F2613,songs!$B$1:$C$1539, 2, FALSE),"")</f>
        <v>Till The Morning Comes</v>
      </c>
      <c r="H2613" t="s">
        <v>3169</v>
      </c>
    </row>
    <row r="2614" spans="1:8" x14ac:dyDescent="0.25">
      <c r="A2614">
        <v>2613</v>
      </c>
      <c r="B2614" t="s">
        <v>3170</v>
      </c>
      <c r="C2614" t="s">
        <v>2859</v>
      </c>
      <c r="D2614" t="str">
        <f t="shared" si="87"/>
        <v/>
      </c>
      <c r="E2614" t="str">
        <f t="shared" si="86"/>
        <v>attics of my life</v>
      </c>
      <c r="F2614" t="s">
        <v>5108</v>
      </c>
      <c r="G2614" t="str">
        <f>_xlfn.IFNA(VLOOKUP(F2614,songs!$B$1:$C$1539, 2, FALSE),"")</f>
        <v>Attics Of My Life</v>
      </c>
      <c r="H2614" t="s">
        <v>2859</v>
      </c>
    </row>
    <row r="2615" spans="1:8" x14ac:dyDescent="0.25">
      <c r="A2615">
        <v>2614</v>
      </c>
      <c r="B2615" t="s">
        <v>3171</v>
      </c>
      <c r="C2615" t="s">
        <v>15</v>
      </c>
      <c r="D2615" t="str">
        <f t="shared" si="87"/>
        <v/>
      </c>
      <c r="E2615" t="str">
        <f t="shared" si="86"/>
        <v>truckin'</v>
      </c>
      <c r="F2615" t="s">
        <v>7436</v>
      </c>
      <c r="G2615" t="str">
        <f>_xlfn.IFNA(VLOOKUP(F2615,songs!$B$1:$C$1539, 2, FALSE),"")</f>
        <v>Truckin'</v>
      </c>
      <c r="H2615" t="s">
        <v>15</v>
      </c>
    </row>
    <row r="2616" spans="1:8" x14ac:dyDescent="0.25">
      <c r="A2616">
        <v>2624</v>
      </c>
      <c r="B2616" t="s">
        <v>3187</v>
      </c>
      <c r="C2616" t="s">
        <v>3183</v>
      </c>
      <c r="D2616" t="str">
        <f t="shared" si="87"/>
        <v/>
      </c>
      <c r="E2616" t="str">
        <f t="shared" si="86"/>
        <v>to lay me down (demo)</v>
      </c>
      <c r="F2616" t="s">
        <v>7397</v>
      </c>
      <c r="G2616" t="str">
        <f>_xlfn.IFNA(VLOOKUP(F2616,songs!$B$1:$C$1539, 2, FALSE),"")</f>
        <v>To Lay Me Down</v>
      </c>
      <c r="H2616" t="s">
        <v>7867</v>
      </c>
    </row>
    <row r="2617" spans="1:8" x14ac:dyDescent="0.25">
      <c r="A2617">
        <v>2625</v>
      </c>
      <c r="B2617" t="s">
        <v>3188</v>
      </c>
      <c r="C2617" t="s">
        <v>3189</v>
      </c>
      <c r="D2617" t="str">
        <f t="shared" si="87"/>
        <v/>
      </c>
      <c r="E2617" t="str">
        <f t="shared" si="86"/>
        <v>hand me down (ripple) (demo)</v>
      </c>
      <c r="F2617" t="s">
        <v>6864</v>
      </c>
      <c r="G2617" t="str">
        <f>_xlfn.IFNA(VLOOKUP(F2617,songs!$B$1:$C$1539, 2, FALSE),"")</f>
        <v>Ripple</v>
      </c>
      <c r="H2617" t="s">
        <v>7867</v>
      </c>
    </row>
    <row r="2618" spans="1:8" x14ac:dyDescent="0.25">
      <c r="A2618">
        <v>2626</v>
      </c>
      <c r="B2618" t="s">
        <v>3190</v>
      </c>
      <c r="C2618" t="s">
        <v>3191</v>
      </c>
      <c r="D2618" t="str">
        <f t="shared" si="87"/>
        <v/>
      </c>
      <c r="E2618" t="str">
        <f t="shared" si="86"/>
        <v>truckin (demo)</v>
      </c>
      <c r="F2618" t="s">
        <v>7436</v>
      </c>
      <c r="G2618" t="str">
        <f>_xlfn.IFNA(VLOOKUP(F2618,songs!$B$1:$C$1539, 2, FALSE),"")</f>
        <v>Truckin'</v>
      </c>
      <c r="H2618" t="s">
        <v>7867</v>
      </c>
    </row>
    <row r="2619" spans="1:8" x14ac:dyDescent="0.25">
      <c r="A2619">
        <v>43</v>
      </c>
      <c r="B2619" t="s">
        <v>78</v>
      </c>
      <c r="C2619" t="s">
        <v>79</v>
      </c>
      <c r="D2619" t="str">
        <f t="shared" si="87"/>
        <v/>
      </c>
      <c r="E2619" t="str">
        <f t="shared" si="86"/>
        <v>intro by zacherle</v>
      </c>
      <c r="F2619" t="s">
        <v>7818</v>
      </c>
      <c r="G2619" t="str">
        <f>_xlfn.IFNA(VLOOKUP(F2619,songs!$B$1:$C$1539, 2, FALSE),"")</f>
        <v/>
      </c>
      <c r="H2619" t="s">
        <v>7867</v>
      </c>
    </row>
    <row r="2620" spans="1:8" x14ac:dyDescent="0.25">
      <c r="A2620">
        <v>302</v>
      </c>
      <c r="B2620" t="s">
        <v>452</v>
      </c>
      <c r="C2620" t="s">
        <v>453</v>
      </c>
      <c r="D2620" t="str">
        <f t="shared" si="87"/>
        <v/>
      </c>
      <c r="E2620" t="str">
        <f t="shared" si="86"/>
        <v>introduction</v>
      </c>
      <c r="F2620" t="s">
        <v>7826</v>
      </c>
      <c r="G2620" t="str">
        <f>_xlfn.IFNA(VLOOKUP(F2620,songs!$B$1:$C$1539, 2, FALSE),"")</f>
        <v/>
      </c>
      <c r="H2620" t="s">
        <v>7867</v>
      </c>
    </row>
    <row r="2621" spans="1:8" x14ac:dyDescent="0.25">
      <c r="A2621">
        <v>2627</v>
      </c>
      <c r="B2621" t="s">
        <v>3192</v>
      </c>
      <c r="C2621" t="s">
        <v>3193</v>
      </c>
      <c r="D2621" t="str">
        <f t="shared" si="87"/>
        <v/>
      </c>
      <c r="E2621" t="str">
        <f t="shared" si="86"/>
        <v>brokedown palace (demo)</v>
      </c>
      <c r="F2621" t="s">
        <v>5250</v>
      </c>
      <c r="G2621" t="str">
        <f>_xlfn.IFNA(VLOOKUP(F2621,songs!$B$1:$C$1539, 2, FALSE),"")</f>
        <v>Brokedown Palace</v>
      </c>
      <c r="H2621" t="s">
        <v>7867</v>
      </c>
    </row>
    <row r="2622" spans="1:8" x14ac:dyDescent="0.25">
      <c r="A2622">
        <v>2628</v>
      </c>
      <c r="B2622" t="s">
        <v>3194</v>
      </c>
      <c r="C2622" t="s">
        <v>3195</v>
      </c>
      <c r="D2622" t="str">
        <f t="shared" si="87"/>
        <v/>
      </c>
      <c r="E2622" t="str">
        <f t="shared" si="86"/>
        <v>hand me down ripple (demo)</v>
      </c>
      <c r="F2622" t="s">
        <v>6864</v>
      </c>
      <c r="G2622" t="str">
        <f>_xlfn.IFNA(VLOOKUP(F2622,songs!$B$1:$C$1539, 2, FALSE),"")</f>
        <v>Ripple</v>
      </c>
      <c r="H2622" t="s">
        <v>7867</v>
      </c>
    </row>
    <row r="2623" spans="1:8" x14ac:dyDescent="0.25">
      <c r="A2623">
        <v>2629</v>
      </c>
      <c r="B2623" t="s">
        <v>3196</v>
      </c>
      <c r="C2623" t="s">
        <v>3197</v>
      </c>
      <c r="D2623" t="str">
        <f t="shared" si="87"/>
        <v/>
      </c>
      <c r="E2623" t="str">
        <f t="shared" si="86"/>
        <v>till the morning comes (demo)</v>
      </c>
      <c r="F2623" t="s">
        <v>7392</v>
      </c>
      <c r="G2623" t="str">
        <f>_xlfn.IFNA(VLOOKUP(F2623,songs!$B$1:$C$1539, 2, FALSE),"")</f>
        <v>Till The Morning Comes</v>
      </c>
      <c r="H2623" t="s">
        <v>7867</v>
      </c>
    </row>
    <row r="2624" spans="1:8" x14ac:dyDescent="0.25">
      <c r="A2624">
        <v>2630</v>
      </c>
      <c r="B2624" t="s">
        <v>3198</v>
      </c>
      <c r="C2624" t="s">
        <v>3193</v>
      </c>
      <c r="D2624" t="str">
        <f t="shared" si="87"/>
        <v/>
      </c>
      <c r="E2624" t="str">
        <f t="shared" si="86"/>
        <v>brokedown palace (demo)</v>
      </c>
      <c r="F2624" t="s">
        <v>5250</v>
      </c>
      <c r="G2624" t="str">
        <f>_xlfn.IFNA(VLOOKUP(F2624,songs!$B$1:$C$1539, 2, FALSE),"")</f>
        <v>Brokedown Palace</v>
      </c>
      <c r="H2624" t="s">
        <v>7867</v>
      </c>
    </row>
    <row r="2625" spans="1:8" x14ac:dyDescent="0.25">
      <c r="A2625">
        <v>2631</v>
      </c>
      <c r="B2625" t="s">
        <v>3199</v>
      </c>
      <c r="C2625" t="s">
        <v>3200</v>
      </c>
      <c r="D2625" t="str">
        <f t="shared" si="87"/>
        <v/>
      </c>
      <c r="E2625" t="str">
        <f t="shared" si="86"/>
        <v>attics of my life (demo)</v>
      </c>
      <c r="F2625" t="s">
        <v>5108</v>
      </c>
      <c r="G2625" t="str">
        <f>_xlfn.IFNA(VLOOKUP(F2625,songs!$B$1:$C$1539, 2, FALSE),"")</f>
        <v>Attics Of My Life</v>
      </c>
      <c r="H2625" t="s">
        <v>7867</v>
      </c>
    </row>
    <row r="2626" spans="1:8" x14ac:dyDescent="0.25">
      <c r="A2626">
        <v>2632</v>
      </c>
      <c r="B2626" t="s">
        <v>3201</v>
      </c>
      <c r="C2626" t="s">
        <v>3197</v>
      </c>
      <c r="D2626" t="str">
        <f t="shared" si="87"/>
        <v/>
      </c>
      <c r="E2626" t="str">
        <f t="shared" si="86"/>
        <v>till the morning comes (demo)</v>
      </c>
      <c r="F2626" t="s">
        <v>7392</v>
      </c>
      <c r="G2626" t="str">
        <f>_xlfn.IFNA(VLOOKUP(F2626,songs!$B$1:$C$1539, 2, FALSE),"")</f>
        <v>Till The Morning Comes</v>
      </c>
      <c r="H2626" t="s">
        <v>7867</v>
      </c>
    </row>
    <row r="2627" spans="1:8" x14ac:dyDescent="0.25">
      <c r="A2627">
        <v>2633</v>
      </c>
      <c r="B2627" t="s">
        <v>3202</v>
      </c>
      <c r="C2627" t="s">
        <v>3178</v>
      </c>
      <c r="D2627" t="str">
        <f t="shared" si="87"/>
        <v/>
      </c>
      <c r="E2627" t="str">
        <f t="shared" si="86"/>
        <v>operator (demo)</v>
      </c>
      <c r="F2627" t="s">
        <v>6713</v>
      </c>
      <c r="G2627" t="str">
        <f>_xlfn.IFNA(VLOOKUP(F2627,songs!$B$1:$C$1539, 2, FALSE),"")</f>
        <v>Operator</v>
      </c>
      <c r="H2627" t="s">
        <v>7867</v>
      </c>
    </row>
    <row r="2628" spans="1:8" x14ac:dyDescent="0.25">
      <c r="A2628">
        <v>2634</v>
      </c>
      <c r="B2628" t="s">
        <v>3203</v>
      </c>
      <c r="C2628" t="s">
        <v>3200</v>
      </c>
      <c r="D2628" t="str">
        <f t="shared" si="87"/>
        <v/>
      </c>
      <c r="E2628" t="str">
        <f t="shared" ref="E2628:E2691" si="88">LOWER(TRIM(SUBSTITUTE(IF(RIGHT(TRIM(C2628),2)="-&gt;",LEFT(TRIM(C2628),LEN(TRIM(C2628))-2),IF(RIGHT(TRIM(C2628),1)="&gt;",LEFT(TRIM(C2628),LEN(TRIM(C2628))-1),C2628)),"//","")))</f>
        <v>attics of my life (demo)</v>
      </c>
      <c r="F2628" t="s">
        <v>5108</v>
      </c>
      <c r="G2628" t="str">
        <f>_xlfn.IFNA(VLOOKUP(F2628,songs!$B$1:$C$1539, 2, FALSE),"")</f>
        <v>Attics Of My Life</v>
      </c>
      <c r="H2628" t="s">
        <v>7867</v>
      </c>
    </row>
    <row r="2629" spans="1:8" x14ac:dyDescent="0.25">
      <c r="A2629">
        <v>2635</v>
      </c>
      <c r="B2629" t="s">
        <v>3204</v>
      </c>
      <c r="C2629" t="s">
        <v>3205</v>
      </c>
      <c r="D2629" t="str">
        <f t="shared" si="87"/>
        <v/>
      </c>
      <c r="E2629" t="str">
        <f t="shared" si="88"/>
        <v>box of rain (acoustic mix)</v>
      </c>
      <c r="F2629" t="s">
        <v>5237</v>
      </c>
      <c r="G2629" t="str">
        <f>_xlfn.IFNA(VLOOKUP(F2629,songs!$B$1:$C$1539, 2, FALSE),"")</f>
        <v>Box Of Rain</v>
      </c>
      <c r="H2629" t="s">
        <v>7867</v>
      </c>
    </row>
    <row r="2630" spans="1:8" x14ac:dyDescent="0.25">
      <c r="A2630">
        <v>2636</v>
      </c>
      <c r="B2630" t="s">
        <v>3206</v>
      </c>
      <c r="C2630" t="s">
        <v>3205</v>
      </c>
      <c r="D2630" t="str">
        <f t="shared" si="87"/>
        <v/>
      </c>
      <c r="E2630" t="str">
        <f t="shared" si="88"/>
        <v>box of rain (acoustic mix)</v>
      </c>
      <c r="F2630" t="s">
        <v>5237</v>
      </c>
      <c r="G2630" t="str">
        <f>_xlfn.IFNA(VLOOKUP(F2630,songs!$B$1:$C$1539, 2, FALSE),"")</f>
        <v>Box Of Rain</v>
      </c>
      <c r="H2630" t="s">
        <v>7867</v>
      </c>
    </row>
    <row r="2631" spans="1:8" x14ac:dyDescent="0.25">
      <c r="A2631">
        <v>2637</v>
      </c>
      <c r="B2631" t="s">
        <v>3207</v>
      </c>
      <c r="C2631" t="s">
        <v>3208</v>
      </c>
      <c r="D2631" t="str">
        <f t="shared" si="87"/>
        <v/>
      </c>
      <c r="E2631" t="str">
        <f t="shared" si="88"/>
        <v>candyman (alternate take)</v>
      </c>
      <c r="F2631" t="s">
        <v>5278</v>
      </c>
      <c r="G2631" t="str">
        <f>_xlfn.IFNA(VLOOKUP(F2631,songs!$B$1:$C$1539, 2, FALSE),"")</f>
        <v>Candyman</v>
      </c>
      <c r="H2631" t="s">
        <v>7867</v>
      </c>
    </row>
    <row r="2632" spans="1:8" x14ac:dyDescent="0.25">
      <c r="A2632">
        <v>2638</v>
      </c>
      <c r="B2632" t="s">
        <v>3209</v>
      </c>
      <c r="C2632" t="s">
        <v>3208</v>
      </c>
      <c r="D2632" t="str">
        <f t="shared" si="87"/>
        <v/>
      </c>
      <c r="E2632" t="str">
        <f t="shared" si="88"/>
        <v>candyman (alternate take)</v>
      </c>
      <c r="F2632" t="s">
        <v>5278</v>
      </c>
      <c r="G2632" t="str">
        <f>_xlfn.IFNA(VLOOKUP(F2632,songs!$B$1:$C$1539, 2, FALSE),"")</f>
        <v>Candyman</v>
      </c>
      <c r="H2632" t="s">
        <v>7867</v>
      </c>
    </row>
    <row r="2633" spans="1:8" x14ac:dyDescent="0.25">
      <c r="A2633">
        <v>2639</v>
      </c>
      <c r="B2633" t="s">
        <v>3210</v>
      </c>
      <c r="C2633" t="s">
        <v>3211</v>
      </c>
      <c r="D2633" t="str">
        <f t="shared" ref="D2633:D2696" si="89">IF(RIGHT(TRIM(C2633),2)="-&gt;","&gt;",IF(RIGHT(TRIM(C2633),1)="&gt;","&gt;",""))</f>
        <v/>
      </c>
      <c r="E2633" t="str">
        <f t="shared" si="88"/>
        <v>truckin' (alternate mix)</v>
      </c>
      <c r="F2633" t="s">
        <v>7436</v>
      </c>
      <c r="G2633" t="str">
        <f>_xlfn.IFNA(VLOOKUP(F2633,songs!$B$1:$C$1539, 2, FALSE),"")</f>
        <v>Truckin'</v>
      </c>
      <c r="H2633" t="s">
        <v>7867</v>
      </c>
    </row>
    <row r="2634" spans="1:8" x14ac:dyDescent="0.25">
      <c r="A2634">
        <v>1223</v>
      </c>
      <c r="B2634" t="s">
        <v>1577</v>
      </c>
      <c r="C2634" t="s">
        <v>1578</v>
      </c>
      <c r="D2634" t="str">
        <f t="shared" si="89"/>
        <v/>
      </c>
      <c r="E2634" t="str">
        <f t="shared" si="88"/>
        <v>james gang introduction</v>
      </c>
      <c r="F2634" t="s">
        <v>7834</v>
      </c>
      <c r="G2634" t="str">
        <f>_xlfn.IFNA(VLOOKUP(F2634,songs!$B$1:$C$1539, 2, FALSE),"")</f>
        <v/>
      </c>
      <c r="H2634" t="s">
        <v>7867</v>
      </c>
    </row>
    <row r="2635" spans="1:8" x14ac:dyDescent="0.25">
      <c r="A2635">
        <v>2640</v>
      </c>
      <c r="B2635" t="s">
        <v>3212</v>
      </c>
      <c r="C2635" t="s">
        <v>3213</v>
      </c>
      <c r="D2635" t="str">
        <f t="shared" si="89"/>
        <v/>
      </c>
      <c r="E2635" t="str">
        <f t="shared" si="88"/>
        <v>truckin (alternate mix)</v>
      </c>
      <c r="F2635" t="s">
        <v>7436</v>
      </c>
      <c r="G2635" t="str">
        <f>_xlfn.IFNA(VLOOKUP(F2635,songs!$B$1:$C$1539, 2, FALSE),"")</f>
        <v>Truckin'</v>
      </c>
      <c r="H2635" t="s">
        <v>7867</v>
      </c>
    </row>
    <row r="2636" spans="1:8" x14ac:dyDescent="0.25">
      <c r="A2636">
        <v>2641</v>
      </c>
      <c r="B2636" t="s">
        <v>3214</v>
      </c>
      <c r="C2636" t="s">
        <v>3215</v>
      </c>
      <c r="D2636" t="str">
        <f t="shared" si="89"/>
        <v/>
      </c>
      <c r="E2636" t="str">
        <f t="shared" si="88"/>
        <v>operator (take 1) (slated)</v>
      </c>
      <c r="F2636" t="s">
        <v>6713</v>
      </c>
      <c r="G2636" t="str">
        <f>_xlfn.IFNA(VLOOKUP(F2636,songs!$B$1:$C$1539, 2, FALSE),"")</f>
        <v>Operator</v>
      </c>
      <c r="H2636" t="s">
        <v>7867</v>
      </c>
    </row>
    <row r="2637" spans="1:8" x14ac:dyDescent="0.25">
      <c r="A2637">
        <v>2642</v>
      </c>
      <c r="B2637" t="s">
        <v>3216</v>
      </c>
      <c r="C2637" t="s">
        <v>3217</v>
      </c>
      <c r="D2637" t="str">
        <f t="shared" si="89"/>
        <v/>
      </c>
      <c r="E2637" t="str">
        <f t="shared" si="88"/>
        <v>operator (take 1) [slated]</v>
      </c>
      <c r="F2637" t="s">
        <v>6713</v>
      </c>
      <c r="G2637" t="str">
        <f>_xlfn.IFNA(VLOOKUP(F2637,songs!$B$1:$C$1539, 2, FALSE),"")</f>
        <v>Operator</v>
      </c>
      <c r="H2637" t="s">
        <v>7867</v>
      </c>
    </row>
    <row r="2638" spans="1:8" x14ac:dyDescent="0.25">
      <c r="A2638">
        <v>2643</v>
      </c>
      <c r="B2638" t="s">
        <v>3218</v>
      </c>
      <c r="C2638" t="s">
        <v>3219</v>
      </c>
      <c r="D2638" t="str">
        <f t="shared" si="89"/>
        <v/>
      </c>
      <c r="E2638" t="str">
        <f t="shared" si="88"/>
        <v>operator (take 2 breakdown) (slated)</v>
      </c>
      <c r="F2638" t="s">
        <v>6713</v>
      </c>
      <c r="G2638" t="str">
        <f>_xlfn.IFNA(VLOOKUP(F2638,songs!$B$1:$C$1539, 2, FALSE),"")</f>
        <v>Operator</v>
      </c>
      <c r="H2638" t="s">
        <v>7867</v>
      </c>
    </row>
    <row r="2639" spans="1:8" x14ac:dyDescent="0.25">
      <c r="A2639">
        <v>2644</v>
      </c>
      <c r="B2639" t="s">
        <v>3220</v>
      </c>
      <c r="C2639" t="s">
        <v>3221</v>
      </c>
      <c r="D2639" t="str">
        <f t="shared" si="89"/>
        <v/>
      </c>
      <c r="E2639" t="str">
        <f t="shared" si="88"/>
        <v>operator (take 2) [breakdown slated]</v>
      </c>
      <c r="F2639" t="s">
        <v>6713</v>
      </c>
      <c r="G2639" t="str">
        <f>_xlfn.IFNA(VLOOKUP(F2639,songs!$B$1:$C$1539, 2, FALSE),"")</f>
        <v>Operator</v>
      </c>
      <c r="H2639" t="s">
        <v>7867</v>
      </c>
    </row>
    <row r="2640" spans="1:8" x14ac:dyDescent="0.25">
      <c r="A2640">
        <v>2645</v>
      </c>
      <c r="B2640" t="s">
        <v>3222</v>
      </c>
      <c r="C2640" t="s">
        <v>3223</v>
      </c>
      <c r="D2640" t="str">
        <f t="shared" si="89"/>
        <v/>
      </c>
      <c r="E2640" t="str">
        <f t="shared" si="88"/>
        <v>operator (take 3) (slated)</v>
      </c>
      <c r="F2640" t="s">
        <v>6713</v>
      </c>
      <c r="G2640" t="str">
        <f>_xlfn.IFNA(VLOOKUP(F2640,songs!$B$1:$C$1539, 2, FALSE),"")</f>
        <v>Operator</v>
      </c>
      <c r="H2640" t="s">
        <v>7867</v>
      </c>
    </row>
    <row r="2641" spans="1:8" x14ac:dyDescent="0.25">
      <c r="A2641">
        <v>2646</v>
      </c>
      <c r="B2641" t="s">
        <v>3224</v>
      </c>
      <c r="C2641" t="s">
        <v>3225</v>
      </c>
      <c r="D2641" t="str">
        <f t="shared" si="89"/>
        <v/>
      </c>
      <c r="E2641" t="str">
        <f t="shared" si="88"/>
        <v>operator (take 3) [slated]</v>
      </c>
      <c r="F2641" t="s">
        <v>6713</v>
      </c>
      <c r="G2641" t="str">
        <f>_xlfn.IFNA(VLOOKUP(F2641,songs!$B$1:$C$1539, 2, FALSE),"")</f>
        <v>Operator</v>
      </c>
      <c r="H2641" t="s">
        <v>7867</v>
      </c>
    </row>
    <row r="2642" spans="1:8" x14ac:dyDescent="0.25">
      <c r="A2642">
        <v>2647</v>
      </c>
      <c r="B2642" t="s">
        <v>3226</v>
      </c>
      <c r="C2642" t="s">
        <v>3227</v>
      </c>
      <c r="D2642" t="str">
        <f t="shared" si="89"/>
        <v/>
      </c>
      <c r="E2642" t="str">
        <f t="shared" si="88"/>
        <v>operator (take 4 breakdown) (slated)</v>
      </c>
      <c r="F2642" t="s">
        <v>6713</v>
      </c>
      <c r="G2642" t="str">
        <f>_xlfn.IFNA(VLOOKUP(F2642,songs!$B$1:$C$1539, 2, FALSE),"")</f>
        <v>Operator</v>
      </c>
      <c r="H2642" t="s">
        <v>7867</v>
      </c>
    </row>
    <row r="2643" spans="1:8" x14ac:dyDescent="0.25">
      <c r="A2643">
        <v>2648</v>
      </c>
      <c r="B2643" t="s">
        <v>3228</v>
      </c>
      <c r="C2643" t="s">
        <v>3229</v>
      </c>
      <c r="D2643" t="str">
        <f t="shared" si="89"/>
        <v/>
      </c>
      <c r="E2643" t="str">
        <f t="shared" si="88"/>
        <v>operator (take 4) [breakdown slated]</v>
      </c>
      <c r="F2643" t="s">
        <v>6713</v>
      </c>
      <c r="G2643" t="str">
        <f>_xlfn.IFNA(VLOOKUP(F2643,songs!$B$1:$C$1539, 2, FALSE),"")</f>
        <v>Operator</v>
      </c>
      <c r="H2643" t="s">
        <v>7867</v>
      </c>
    </row>
    <row r="2644" spans="1:8" x14ac:dyDescent="0.25">
      <c r="A2644">
        <v>2649</v>
      </c>
      <c r="B2644" t="s">
        <v>3230</v>
      </c>
      <c r="C2644" t="s">
        <v>3231</v>
      </c>
      <c r="D2644" t="str">
        <f t="shared" si="89"/>
        <v/>
      </c>
      <c r="E2644" t="str">
        <f t="shared" si="88"/>
        <v>operator (take 5, misnamed as take 6) (slated)</v>
      </c>
      <c r="F2644" t="s">
        <v>6713</v>
      </c>
      <c r="G2644" t="str">
        <f>_xlfn.IFNA(VLOOKUP(F2644,songs!$B$1:$C$1539, 2, FALSE),"")</f>
        <v>Operator</v>
      </c>
      <c r="H2644" t="s">
        <v>7867</v>
      </c>
    </row>
    <row r="2645" spans="1:8" x14ac:dyDescent="0.25">
      <c r="A2645">
        <v>2650</v>
      </c>
      <c r="B2645" t="s">
        <v>3232</v>
      </c>
      <c r="C2645" t="s">
        <v>3233</v>
      </c>
      <c r="D2645" t="str">
        <f t="shared" si="89"/>
        <v/>
      </c>
      <c r="E2645" t="str">
        <f t="shared" si="88"/>
        <v>operator (take 5 misnamed as take 6) [slated]</v>
      </c>
      <c r="F2645" t="s">
        <v>6713</v>
      </c>
      <c r="G2645" t="str">
        <f>_xlfn.IFNA(VLOOKUP(F2645,songs!$B$1:$C$1539, 2, FALSE),"")</f>
        <v>Operator</v>
      </c>
      <c r="H2645" t="s">
        <v>7867</v>
      </c>
    </row>
    <row r="2646" spans="1:8" x14ac:dyDescent="0.25">
      <c r="A2646">
        <v>2651</v>
      </c>
      <c r="B2646" t="s">
        <v>3234</v>
      </c>
      <c r="C2646" t="s">
        <v>3235</v>
      </c>
      <c r="D2646" t="str">
        <f t="shared" si="89"/>
        <v/>
      </c>
      <c r="E2646" t="str">
        <f t="shared" si="88"/>
        <v>operator (take 6 breakdown) (slated)</v>
      </c>
      <c r="F2646" t="s">
        <v>6713</v>
      </c>
      <c r="G2646" t="str">
        <f>_xlfn.IFNA(VLOOKUP(F2646,songs!$B$1:$C$1539, 2, FALSE),"")</f>
        <v>Operator</v>
      </c>
      <c r="H2646" t="s">
        <v>7867</v>
      </c>
    </row>
    <row r="2647" spans="1:8" x14ac:dyDescent="0.25">
      <c r="A2647">
        <v>2652</v>
      </c>
      <c r="B2647" t="s">
        <v>3236</v>
      </c>
      <c r="C2647" t="s">
        <v>3237</v>
      </c>
      <c r="D2647" t="str">
        <f t="shared" si="89"/>
        <v/>
      </c>
      <c r="E2647" t="str">
        <f t="shared" si="88"/>
        <v>operator (take 6) [breakdown slated]</v>
      </c>
      <c r="F2647" t="s">
        <v>6713</v>
      </c>
      <c r="G2647" t="str">
        <f>_xlfn.IFNA(VLOOKUP(F2647,songs!$B$1:$C$1539, 2, FALSE),"")</f>
        <v>Operator</v>
      </c>
      <c r="H2647" t="s">
        <v>7867</v>
      </c>
    </row>
    <row r="2648" spans="1:8" x14ac:dyDescent="0.25">
      <c r="A2648">
        <v>2653</v>
      </c>
      <c r="B2648" t="s">
        <v>3238</v>
      </c>
      <c r="C2648" t="s">
        <v>3239</v>
      </c>
      <c r="D2648" t="str">
        <f t="shared" si="89"/>
        <v/>
      </c>
      <c r="E2648" t="str">
        <f t="shared" si="88"/>
        <v>operator (take 7 breakdown) (slated)</v>
      </c>
      <c r="F2648" t="s">
        <v>6713</v>
      </c>
      <c r="G2648" t="str">
        <f>_xlfn.IFNA(VLOOKUP(F2648,songs!$B$1:$C$1539, 2, FALSE),"")</f>
        <v>Operator</v>
      </c>
      <c r="H2648" t="s">
        <v>7867</v>
      </c>
    </row>
    <row r="2649" spans="1:8" x14ac:dyDescent="0.25">
      <c r="A2649">
        <v>2654</v>
      </c>
      <c r="B2649" t="s">
        <v>3240</v>
      </c>
      <c r="C2649" t="s">
        <v>3241</v>
      </c>
      <c r="D2649" t="str">
        <f t="shared" si="89"/>
        <v/>
      </c>
      <c r="E2649" t="str">
        <f t="shared" si="88"/>
        <v>operator (take 7) [breakdown slated]</v>
      </c>
      <c r="F2649" t="s">
        <v>6713</v>
      </c>
      <c r="G2649" t="str">
        <f>_xlfn.IFNA(VLOOKUP(F2649,songs!$B$1:$C$1539, 2, FALSE),"")</f>
        <v>Operator</v>
      </c>
      <c r="H2649" t="s">
        <v>7867</v>
      </c>
    </row>
    <row r="2650" spans="1:8" x14ac:dyDescent="0.25">
      <c r="A2650">
        <v>2655</v>
      </c>
      <c r="B2650" t="s">
        <v>3242</v>
      </c>
      <c r="C2650" t="s">
        <v>3243</v>
      </c>
      <c r="D2650" t="str">
        <f t="shared" si="89"/>
        <v/>
      </c>
      <c r="E2650" t="str">
        <f t="shared" si="88"/>
        <v>operator (take 8) (slated)</v>
      </c>
      <c r="F2650" t="s">
        <v>6713</v>
      </c>
      <c r="G2650" t="str">
        <f>_xlfn.IFNA(VLOOKUP(F2650,songs!$B$1:$C$1539, 2, FALSE),"")</f>
        <v>Operator</v>
      </c>
      <c r="H2650" t="s">
        <v>7867</v>
      </c>
    </row>
    <row r="2651" spans="1:8" x14ac:dyDescent="0.25">
      <c r="A2651">
        <v>2656</v>
      </c>
      <c r="B2651" t="s">
        <v>3244</v>
      </c>
      <c r="C2651" t="s">
        <v>3245</v>
      </c>
      <c r="D2651" t="str">
        <f t="shared" si="89"/>
        <v/>
      </c>
      <c r="E2651" t="str">
        <f t="shared" si="88"/>
        <v>operator (take 8) [slated]</v>
      </c>
      <c r="F2651" t="s">
        <v>6713</v>
      </c>
      <c r="G2651" t="str">
        <f>_xlfn.IFNA(VLOOKUP(F2651,songs!$B$1:$C$1539, 2, FALSE),"")</f>
        <v>Operator</v>
      </c>
      <c r="H2651" t="s">
        <v>7867</v>
      </c>
    </row>
    <row r="2652" spans="1:8" x14ac:dyDescent="0.25">
      <c r="A2652">
        <v>2657</v>
      </c>
      <c r="B2652" t="s">
        <v>3246</v>
      </c>
      <c r="C2652" t="s">
        <v>3247</v>
      </c>
      <c r="D2652" t="str">
        <f t="shared" si="89"/>
        <v/>
      </c>
      <c r="E2652" t="str">
        <f t="shared" si="88"/>
        <v>friend of the devil (take 1 breakdown) (slated)</v>
      </c>
      <c r="F2652" t="s">
        <v>5721</v>
      </c>
      <c r="G2652" t="str">
        <f>_xlfn.IFNA(VLOOKUP(F2652,songs!$B$1:$C$1539, 2, FALSE),"")</f>
        <v>Friend Of The Devil</v>
      </c>
      <c r="H2652" t="s">
        <v>7867</v>
      </c>
    </row>
    <row r="2653" spans="1:8" x14ac:dyDescent="0.25">
      <c r="A2653">
        <v>2658</v>
      </c>
      <c r="B2653" t="s">
        <v>3248</v>
      </c>
      <c r="C2653" t="s">
        <v>3249</v>
      </c>
      <c r="D2653" t="str">
        <f t="shared" si="89"/>
        <v/>
      </c>
      <c r="E2653" t="str">
        <f t="shared" si="88"/>
        <v>friend of the devil (take 1) [breakdown slated]</v>
      </c>
      <c r="F2653" t="s">
        <v>5721</v>
      </c>
      <c r="G2653" t="str">
        <f>_xlfn.IFNA(VLOOKUP(F2653,songs!$B$1:$C$1539, 2, FALSE),"")</f>
        <v>Friend Of The Devil</v>
      </c>
      <c r="H2653" t="s">
        <v>7867</v>
      </c>
    </row>
    <row r="2654" spans="1:8" x14ac:dyDescent="0.25">
      <c r="A2654">
        <v>2659</v>
      </c>
      <c r="B2654" t="s">
        <v>3250</v>
      </c>
      <c r="C2654" t="s">
        <v>3251</v>
      </c>
      <c r="D2654" t="str">
        <f t="shared" si="89"/>
        <v/>
      </c>
      <c r="E2654" t="str">
        <f t="shared" si="88"/>
        <v>friend of the devil (take 2 breakdown) (slated)</v>
      </c>
      <c r="F2654" t="s">
        <v>5721</v>
      </c>
      <c r="G2654" t="str">
        <f>_xlfn.IFNA(VLOOKUP(F2654,songs!$B$1:$C$1539, 2, FALSE),"")</f>
        <v>Friend Of The Devil</v>
      </c>
      <c r="H2654" t="s">
        <v>7867</v>
      </c>
    </row>
    <row r="2655" spans="1:8" x14ac:dyDescent="0.25">
      <c r="A2655">
        <v>2660</v>
      </c>
      <c r="B2655" t="s">
        <v>3252</v>
      </c>
      <c r="C2655" t="s">
        <v>3253</v>
      </c>
      <c r="D2655" t="str">
        <f t="shared" si="89"/>
        <v/>
      </c>
      <c r="E2655" t="str">
        <f t="shared" si="88"/>
        <v>friend of the devil (take 2) [breakdown slated]</v>
      </c>
      <c r="F2655" t="s">
        <v>5721</v>
      </c>
      <c r="G2655" t="str">
        <f>_xlfn.IFNA(VLOOKUP(F2655,songs!$B$1:$C$1539, 2, FALSE),"")</f>
        <v>Friend Of The Devil</v>
      </c>
      <c r="H2655" t="s">
        <v>7867</v>
      </c>
    </row>
    <row r="2656" spans="1:8" x14ac:dyDescent="0.25">
      <c r="A2656">
        <v>2661</v>
      </c>
      <c r="B2656" t="s">
        <v>3254</v>
      </c>
      <c r="C2656" t="s">
        <v>3255</v>
      </c>
      <c r="D2656" t="str">
        <f t="shared" si="89"/>
        <v/>
      </c>
      <c r="E2656" t="str">
        <f t="shared" si="88"/>
        <v>friend of the devil (take 3 breakdown) (slated)</v>
      </c>
      <c r="F2656" t="s">
        <v>5721</v>
      </c>
      <c r="G2656" t="str">
        <f>_xlfn.IFNA(VLOOKUP(F2656,songs!$B$1:$C$1539, 2, FALSE),"")</f>
        <v>Friend Of The Devil</v>
      </c>
      <c r="H2656" t="s">
        <v>7867</v>
      </c>
    </row>
    <row r="2657" spans="1:8" x14ac:dyDescent="0.25">
      <c r="A2657">
        <v>2662</v>
      </c>
      <c r="B2657" t="s">
        <v>3256</v>
      </c>
      <c r="C2657" t="s">
        <v>3257</v>
      </c>
      <c r="D2657" t="str">
        <f t="shared" si="89"/>
        <v/>
      </c>
      <c r="E2657" t="str">
        <f t="shared" si="88"/>
        <v>friend of the devil (take 3) [breakdown slated]</v>
      </c>
      <c r="F2657" t="s">
        <v>5721</v>
      </c>
      <c r="G2657" t="str">
        <f>_xlfn.IFNA(VLOOKUP(F2657,songs!$B$1:$C$1539, 2, FALSE),"")</f>
        <v>Friend Of The Devil</v>
      </c>
      <c r="H2657" t="s">
        <v>7867</v>
      </c>
    </row>
    <row r="2658" spans="1:8" x14ac:dyDescent="0.25">
      <c r="A2658">
        <v>2663</v>
      </c>
      <c r="B2658" t="s">
        <v>3258</v>
      </c>
      <c r="C2658" t="s">
        <v>3259</v>
      </c>
      <c r="D2658" t="str">
        <f t="shared" si="89"/>
        <v/>
      </c>
      <c r="E2658" t="str">
        <f t="shared" si="88"/>
        <v>friend of the devil (take 4 breakdown) (slated)</v>
      </c>
      <c r="F2658" t="s">
        <v>5721</v>
      </c>
      <c r="G2658" t="str">
        <f>_xlfn.IFNA(VLOOKUP(F2658,songs!$B$1:$C$1539, 2, FALSE),"")</f>
        <v>Friend Of The Devil</v>
      </c>
      <c r="H2658" t="s">
        <v>7867</v>
      </c>
    </row>
    <row r="2659" spans="1:8" x14ac:dyDescent="0.25">
      <c r="A2659">
        <v>2664</v>
      </c>
      <c r="B2659" t="s">
        <v>3260</v>
      </c>
      <c r="C2659" t="s">
        <v>3261</v>
      </c>
      <c r="D2659" t="str">
        <f t="shared" si="89"/>
        <v/>
      </c>
      <c r="E2659" t="str">
        <f t="shared" si="88"/>
        <v>friend of the devil (take 4) [breakdown slated]</v>
      </c>
      <c r="F2659" t="s">
        <v>5721</v>
      </c>
      <c r="G2659" t="str">
        <f>_xlfn.IFNA(VLOOKUP(F2659,songs!$B$1:$C$1539, 2, FALSE),"")</f>
        <v>Friend Of The Devil</v>
      </c>
      <c r="H2659" t="s">
        <v>7867</v>
      </c>
    </row>
    <row r="2660" spans="1:8" x14ac:dyDescent="0.25">
      <c r="A2660">
        <v>2665</v>
      </c>
      <c r="B2660" t="s">
        <v>3262</v>
      </c>
      <c r="C2660" t="s">
        <v>3263</v>
      </c>
      <c r="D2660" t="str">
        <f t="shared" si="89"/>
        <v/>
      </c>
      <c r="E2660" t="str">
        <f t="shared" si="88"/>
        <v>friend of the devil (take 5) (slated)</v>
      </c>
      <c r="F2660" t="s">
        <v>5721</v>
      </c>
      <c r="G2660" t="str">
        <f>_xlfn.IFNA(VLOOKUP(F2660,songs!$B$1:$C$1539, 2, FALSE),"")</f>
        <v>Friend Of The Devil</v>
      </c>
      <c r="H2660" t="s">
        <v>7867</v>
      </c>
    </row>
    <row r="2661" spans="1:8" x14ac:dyDescent="0.25">
      <c r="A2661">
        <v>2666</v>
      </c>
      <c r="B2661" t="s">
        <v>3264</v>
      </c>
      <c r="C2661" t="s">
        <v>3265</v>
      </c>
      <c r="D2661" t="str">
        <f t="shared" si="89"/>
        <v/>
      </c>
      <c r="E2661" t="str">
        <f t="shared" si="88"/>
        <v>friend of the devil (take 5) [slated]</v>
      </c>
      <c r="F2661" t="s">
        <v>5721</v>
      </c>
      <c r="G2661" t="str">
        <f>_xlfn.IFNA(VLOOKUP(F2661,songs!$B$1:$C$1539, 2, FALSE),"")</f>
        <v>Friend Of The Devil</v>
      </c>
      <c r="H2661" t="s">
        <v>7867</v>
      </c>
    </row>
    <row r="2662" spans="1:8" x14ac:dyDescent="0.25">
      <c r="A2662">
        <v>2667</v>
      </c>
      <c r="B2662" t="s">
        <v>3266</v>
      </c>
      <c r="C2662" t="s">
        <v>3267</v>
      </c>
      <c r="D2662" t="str">
        <f t="shared" si="89"/>
        <v/>
      </c>
      <c r="E2662" t="str">
        <f t="shared" si="88"/>
        <v>friend of the devil (take 6) (slated)</v>
      </c>
      <c r="F2662" t="s">
        <v>5721</v>
      </c>
      <c r="G2662" t="str">
        <f>_xlfn.IFNA(VLOOKUP(F2662,songs!$B$1:$C$1539, 2, FALSE),"")</f>
        <v>Friend Of The Devil</v>
      </c>
      <c r="H2662" t="s">
        <v>7867</v>
      </c>
    </row>
    <row r="2663" spans="1:8" x14ac:dyDescent="0.25">
      <c r="A2663">
        <v>2668</v>
      </c>
      <c r="B2663" t="s">
        <v>3268</v>
      </c>
      <c r="C2663" t="s">
        <v>3269</v>
      </c>
      <c r="D2663" t="str">
        <f t="shared" si="89"/>
        <v/>
      </c>
      <c r="E2663" t="str">
        <f t="shared" si="88"/>
        <v>friend of the devil (take 6) [slated]</v>
      </c>
      <c r="F2663" t="s">
        <v>5721</v>
      </c>
      <c r="G2663" t="str">
        <f>_xlfn.IFNA(VLOOKUP(F2663,songs!$B$1:$C$1539, 2, FALSE),"")</f>
        <v>Friend Of The Devil</v>
      </c>
      <c r="H2663" t="s">
        <v>7867</v>
      </c>
    </row>
    <row r="2664" spans="1:8" x14ac:dyDescent="0.25">
      <c r="A2664">
        <v>2669</v>
      </c>
      <c r="B2664" t="s">
        <v>3270</v>
      </c>
      <c r="C2664" t="s">
        <v>3271</v>
      </c>
      <c r="D2664" t="str">
        <f t="shared" si="89"/>
        <v/>
      </c>
      <c r="E2664" t="str">
        <f t="shared" si="88"/>
        <v>friend of the devil (take 7) (slated)</v>
      </c>
      <c r="F2664" t="s">
        <v>5721</v>
      </c>
      <c r="G2664" t="str">
        <f>_xlfn.IFNA(VLOOKUP(F2664,songs!$B$1:$C$1539, 2, FALSE),"")</f>
        <v>Friend Of The Devil</v>
      </c>
      <c r="H2664" t="s">
        <v>7867</v>
      </c>
    </row>
    <row r="2665" spans="1:8" x14ac:dyDescent="0.25">
      <c r="A2665">
        <v>2670</v>
      </c>
      <c r="B2665" t="s">
        <v>3272</v>
      </c>
      <c r="C2665" t="s">
        <v>3273</v>
      </c>
      <c r="D2665" t="str">
        <f t="shared" si="89"/>
        <v/>
      </c>
      <c r="E2665" t="str">
        <f t="shared" si="88"/>
        <v>friend of the devil (take 7) [slated]</v>
      </c>
      <c r="F2665" t="s">
        <v>5721</v>
      </c>
      <c r="G2665" t="str">
        <f>_xlfn.IFNA(VLOOKUP(F2665,songs!$B$1:$C$1539, 2, FALSE),"")</f>
        <v>Friend Of The Devil</v>
      </c>
      <c r="H2665" t="s">
        <v>7867</v>
      </c>
    </row>
    <row r="2666" spans="1:8" x14ac:dyDescent="0.25">
      <c r="A2666">
        <v>2671</v>
      </c>
      <c r="B2666" t="s">
        <v>3274</v>
      </c>
      <c r="C2666" t="s">
        <v>3275</v>
      </c>
      <c r="D2666" t="str">
        <f t="shared" si="89"/>
        <v/>
      </c>
      <c r="E2666" t="str">
        <f t="shared" si="88"/>
        <v>friend of the devil (arranging take 1) (not slated)</v>
      </c>
      <c r="F2666" t="s">
        <v>5721</v>
      </c>
      <c r="G2666" t="str">
        <f>_xlfn.IFNA(VLOOKUP(F2666,songs!$B$1:$C$1539, 2, FALSE),"")</f>
        <v>Friend Of The Devil</v>
      </c>
      <c r="H2666" t="s">
        <v>7867</v>
      </c>
    </row>
    <row r="2667" spans="1:8" x14ac:dyDescent="0.25">
      <c r="A2667">
        <v>2672</v>
      </c>
      <c r="B2667" t="s">
        <v>3276</v>
      </c>
      <c r="C2667" t="s">
        <v>3277</v>
      </c>
      <c r="D2667" t="str">
        <f t="shared" si="89"/>
        <v/>
      </c>
      <c r="E2667" t="str">
        <f t="shared" si="88"/>
        <v>friend of the devil (arranging take 1) [not slated]</v>
      </c>
      <c r="F2667" t="s">
        <v>5721</v>
      </c>
      <c r="G2667" t="str">
        <f>_xlfn.IFNA(VLOOKUP(F2667,songs!$B$1:$C$1539, 2, FALSE),"")</f>
        <v>Friend Of The Devil</v>
      </c>
      <c r="H2667" t="s">
        <v>7867</v>
      </c>
    </row>
    <row r="2668" spans="1:8" x14ac:dyDescent="0.25">
      <c r="A2668">
        <v>2673</v>
      </c>
      <c r="B2668" t="s">
        <v>3278</v>
      </c>
      <c r="C2668" t="s">
        <v>3279</v>
      </c>
      <c r="D2668" t="str">
        <f t="shared" si="89"/>
        <v/>
      </c>
      <c r="E2668" t="str">
        <f t="shared" si="88"/>
        <v>friend of the devil (arranging take 2) (not slated)</v>
      </c>
      <c r="F2668" t="s">
        <v>5721</v>
      </c>
      <c r="G2668" t="str">
        <f>_xlfn.IFNA(VLOOKUP(F2668,songs!$B$1:$C$1539, 2, FALSE),"")</f>
        <v>Friend Of The Devil</v>
      </c>
      <c r="H2668" t="s">
        <v>7867</v>
      </c>
    </row>
    <row r="2669" spans="1:8" x14ac:dyDescent="0.25">
      <c r="A2669">
        <v>2674</v>
      </c>
      <c r="B2669" t="s">
        <v>3280</v>
      </c>
      <c r="C2669" t="s">
        <v>3281</v>
      </c>
      <c r="D2669" t="str">
        <f t="shared" si="89"/>
        <v/>
      </c>
      <c r="E2669" t="str">
        <f t="shared" si="88"/>
        <v>friend of the devil (arranging take 2) [not slated]</v>
      </c>
      <c r="F2669" t="s">
        <v>5721</v>
      </c>
      <c r="G2669" t="str">
        <f>_xlfn.IFNA(VLOOKUP(F2669,songs!$B$1:$C$1539, 2, FALSE),"")</f>
        <v>Friend Of The Devil</v>
      </c>
      <c r="H2669" t="s">
        <v>7867</v>
      </c>
    </row>
    <row r="2670" spans="1:8" x14ac:dyDescent="0.25">
      <c r="A2670">
        <v>2675</v>
      </c>
      <c r="B2670" t="s">
        <v>3282</v>
      </c>
      <c r="C2670" t="s">
        <v>3283</v>
      </c>
      <c r="D2670" t="str">
        <f t="shared" si="89"/>
        <v/>
      </c>
      <c r="E2670" t="str">
        <f t="shared" si="88"/>
        <v>friend of the devil (arranging take 3) (not slated)</v>
      </c>
      <c r="F2670" t="s">
        <v>5721</v>
      </c>
      <c r="G2670" t="str">
        <f>_xlfn.IFNA(VLOOKUP(F2670,songs!$B$1:$C$1539, 2, FALSE),"")</f>
        <v>Friend Of The Devil</v>
      </c>
      <c r="H2670" t="s">
        <v>7867</v>
      </c>
    </row>
    <row r="2671" spans="1:8" x14ac:dyDescent="0.25">
      <c r="A2671">
        <v>2676</v>
      </c>
      <c r="B2671" t="s">
        <v>3284</v>
      </c>
      <c r="C2671" t="s">
        <v>3285</v>
      </c>
      <c r="D2671" t="str">
        <f t="shared" si="89"/>
        <v/>
      </c>
      <c r="E2671" t="str">
        <f t="shared" si="88"/>
        <v>friend of the devil (arranging take 3) [not slated]</v>
      </c>
      <c r="F2671" t="s">
        <v>5721</v>
      </c>
      <c r="G2671" t="str">
        <f>_xlfn.IFNA(VLOOKUP(F2671,songs!$B$1:$C$1539, 2, FALSE),"")</f>
        <v>Friend Of The Devil</v>
      </c>
      <c r="H2671" t="s">
        <v>7867</v>
      </c>
    </row>
    <row r="2672" spans="1:8" x14ac:dyDescent="0.25">
      <c r="A2672">
        <v>2677</v>
      </c>
      <c r="B2672" t="s">
        <v>3286</v>
      </c>
      <c r="C2672" t="s">
        <v>3287</v>
      </c>
      <c r="D2672" t="str">
        <f t="shared" si="89"/>
        <v/>
      </c>
      <c r="E2672" t="str">
        <f t="shared" si="88"/>
        <v>friend of the devil (take 9 breakdown) (slated)</v>
      </c>
      <c r="F2672" t="s">
        <v>5721</v>
      </c>
      <c r="G2672" t="str">
        <f>_xlfn.IFNA(VLOOKUP(F2672,songs!$B$1:$C$1539, 2, FALSE),"")</f>
        <v>Friend Of The Devil</v>
      </c>
      <c r="H2672" t="s">
        <v>7867</v>
      </c>
    </row>
    <row r="2673" spans="1:8" x14ac:dyDescent="0.25">
      <c r="A2673">
        <v>2678</v>
      </c>
      <c r="B2673" t="s">
        <v>3288</v>
      </c>
      <c r="C2673" t="s">
        <v>3289</v>
      </c>
      <c r="D2673" t="str">
        <f t="shared" si="89"/>
        <v/>
      </c>
      <c r="E2673" t="str">
        <f t="shared" si="88"/>
        <v>friend of the devil (take 9) [breakdown slated]</v>
      </c>
      <c r="F2673" t="s">
        <v>5721</v>
      </c>
      <c r="G2673" t="str">
        <f>_xlfn.IFNA(VLOOKUP(F2673,songs!$B$1:$C$1539, 2, FALSE),"")</f>
        <v>Friend Of The Devil</v>
      </c>
      <c r="H2673" t="s">
        <v>7867</v>
      </c>
    </row>
    <row r="2674" spans="1:8" x14ac:dyDescent="0.25">
      <c r="A2674">
        <v>2679</v>
      </c>
      <c r="B2674" t="s">
        <v>3290</v>
      </c>
      <c r="C2674" t="s">
        <v>3291</v>
      </c>
      <c r="D2674" t="str">
        <f t="shared" si="89"/>
        <v/>
      </c>
      <c r="E2674" t="str">
        <f t="shared" si="88"/>
        <v>friend of the devil (take 10 breakdown) (slated)</v>
      </c>
      <c r="F2674" t="s">
        <v>5721</v>
      </c>
      <c r="G2674" t="str">
        <f>_xlfn.IFNA(VLOOKUP(F2674,songs!$B$1:$C$1539, 2, FALSE),"")</f>
        <v>Friend Of The Devil</v>
      </c>
      <c r="H2674" t="s">
        <v>7867</v>
      </c>
    </row>
    <row r="2675" spans="1:8" x14ac:dyDescent="0.25">
      <c r="A2675">
        <v>2680</v>
      </c>
      <c r="B2675" t="s">
        <v>3292</v>
      </c>
      <c r="C2675" t="s">
        <v>3293</v>
      </c>
      <c r="D2675" t="str">
        <f t="shared" si="89"/>
        <v/>
      </c>
      <c r="E2675" t="str">
        <f t="shared" si="88"/>
        <v>friend of the devil (take 10) [breakdown slated]</v>
      </c>
      <c r="F2675" t="s">
        <v>5721</v>
      </c>
      <c r="G2675" t="str">
        <f>_xlfn.IFNA(VLOOKUP(F2675,songs!$B$1:$C$1539, 2, FALSE),"")</f>
        <v>Friend Of The Devil</v>
      </c>
      <c r="H2675" t="s">
        <v>7867</v>
      </c>
    </row>
    <row r="2676" spans="1:8" x14ac:dyDescent="0.25">
      <c r="A2676">
        <v>170</v>
      </c>
      <c r="B2676" t="s">
        <v>280</v>
      </c>
      <c r="C2676" t="s">
        <v>281</v>
      </c>
      <c r="D2676" t="str">
        <f t="shared" si="89"/>
        <v/>
      </c>
      <c r="E2676" t="str">
        <f t="shared" si="88"/>
        <v>lunatic preserve</v>
      </c>
      <c r="F2676" t="s">
        <v>7821</v>
      </c>
      <c r="G2676" t="str">
        <f>_xlfn.IFNA(VLOOKUP(F2676,songs!$B$1:$C$1539, 2, FALSE),"")</f>
        <v/>
      </c>
      <c r="H2676" t="s">
        <v>7867</v>
      </c>
    </row>
    <row r="2677" spans="1:8" x14ac:dyDescent="0.25">
      <c r="A2677">
        <v>2681</v>
      </c>
      <c r="B2677" t="s">
        <v>3294</v>
      </c>
      <c r="C2677" t="s">
        <v>3295</v>
      </c>
      <c r="D2677" t="str">
        <f t="shared" si="89"/>
        <v/>
      </c>
      <c r="E2677" t="str">
        <f t="shared" si="88"/>
        <v>friend of the devil (take 11) (slated)</v>
      </c>
      <c r="F2677" t="s">
        <v>5721</v>
      </c>
      <c r="G2677" t="str">
        <f>_xlfn.IFNA(VLOOKUP(F2677,songs!$B$1:$C$1539, 2, FALSE),"")</f>
        <v>Friend Of The Devil</v>
      </c>
      <c r="H2677" t="s">
        <v>7867</v>
      </c>
    </row>
    <row r="2678" spans="1:8" x14ac:dyDescent="0.25">
      <c r="A2678">
        <v>2682</v>
      </c>
      <c r="B2678" t="s">
        <v>3296</v>
      </c>
      <c r="C2678" t="s">
        <v>3297</v>
      </c>
      <c r="D2678" t="str">
        <f t="shared" si="89"/>
        <v/>
      </c>
      <c r="E2678" t="str">
        <f t="shared" si="88"/>
        <v>friend of the devil (take 11) [slated]</v>
      </c>
      <c r="F2678" t="s">
        <v>5721</v>
      </c>
      <c r="G2678" t="str">
        <f>_xlfn.IFNA(VLOOKUP(F2678,songs!$B$1:$C$1539, 2, FALSE),"")</f>
        <v>Friend Of The Devil</v>
      </c>
      <c r="H2678" t="s">
        <v>7867</v>
      </c>
    </row>
    <row r="2679" spans="1:8" x14ac:dyDescent="0.25">
      <c r="A2679">
        <v>2683</v>
      </c>
      <c r="B2679" t="s">
        <v>3298</v>
      </c>
      <c r="C2679" t="s">
        <v>3299</v>
      </c>
      <c r="D2679" t="str">
        <f t="shared" si="89"/>
        <v/>
      </c>
      <c r="E2679" t="str">
        <f t="shared" si="88"/>
        <v>friend of the devil (take 12 breakdown) (slated)</v>
      </c>
      <c r="F2679" t="s">
        <v>5721</v>
      </c>
      <c r="G2679" t="str">
        <f>_xlfn.IFNA(VLOOKUP(F2679,songs!$B$1:$C$1539, 2, FALSE),"")</f>
        <v>Friend Of The Devil</v>
      </c>
      <c r="H2679" t="s">
        <v>7867</v>
      </c>
    </row>
    <row r="2680" spans="1:8" x14ac:dyDescent="0.25">
      <c r="A2680">
        <v>2684</v>
      </c>
      <c r="B2680" t="s">
        <v>3300</v>
      </c>
      <c r="C2680" t="s">
        <v>3301</v>
      </c>
      <c r="D2680" t="str">
        <f t="shared" si="89"/>
        <v/>
      </c>
      <c r="E2680" t="str">
        <f t="shared" si="88"/>
        <v>friend of the devil (take 12) [breakdown slated]</v>
      </c>
      <c r="F2680" t="s">
        <v>5721</v>
      </c>
      <c r="G2680" t="str">
        <f>_xlfn.IFNA(VLOOKUP(F2680,songs!$B$1:$C$1539, 2, FALSE),"")</f>
        <v>Friend Of The Devil</v>
      </c>
      <c r="H2680" t="s">
        <v>7867</v>
      </c>
    </row>
    <row r="2681" spans="1:8" x14ac:dyDescent="0.25">
      <c r="A2681">
        <v>2685</v>
      </c>
      <c r="B2681" t="s">
        <v>3302</v>
      </c>
      <c r="C2681" t="s">
        <v>3303</v>
      </c>
      <c r="D2681" t="str">
        <f t="shared" si="89"/>
        <v/>
      </c>
      <c r="E2681" t="str">
        <f t="shared" si="88"/>
        <v>friend of the devil (take 13) (not slated)</v>
      </c>
      <c r="F2681" t="s">
        <v>5721</v>
      </c>
      <c r="G2681" t="str">
        <f>_xlfn.IFNA(VLOOKUP(F2681,songs!$B$1:$C$1539, 2, FALSE),"")</f>
        <v>Friend Of The Devil</v>
      </c>
      <c r="H2681" t="s">
        <v>7867</v>
      </c>
    </row>
    <row r="2682" spans="1:8" x14ac:dyDescent="0.25">
      <c r="A2682">
        <v>2686</v>
      </c>
      <c r="B2682" t="s">
        <v>3304</v>
      </c>
      <c r="C2682" t="s">
        <v>3305</v>
      </c>
      <c r="D2682" t="str">
        <f t="shared" si="89"/>
        <v/>
      </c>
      <c r="E2682" t="str">
        <f t="shared" si="88"/>
        <v>friend of the devil (take 13) [not slated]</v>
      </c>
      <c r="F2682" t="s">
        <v>5721</v>
      </c>
      <c r="G2682" t="str">
        <f>_xlfn.IFNA(VLOOKUP(F2682,songs!$B$1:$C$1539, 2, FALSE),"")</f>
        <v>Friend Of The Devil</v>
      </c>
      <c r="H2682" t="s">
        <v>7867</v>
      </c>
    </row>
    <row r="2683" spans="1:8" x14ac:dyDescent="0.25">
      <c r="A2683">
        <v>2687</v>
      </c>
      <c r="B2683" t="s">
        <v>3306</v>
      </c>
      <c r="C2683" t="s">
        <v>3307</v>
      </c>
      <c r="D2683" t="str">
        <f t="shared" si="89"/>
        <v/>
      </c>
      <c r="E2683" t="str">
        <f t="shared" si="88"/>
        <v>friend of the devil (take 14 breakdown) (slated)</v>
      </c>
      <c r="F2683" t="s">
        <v>5721</v>
      </c>
      <c r="G2683" t="str">
        <f>_xlfn.IFNA(VLOOKUP(F2683,songs!$B$1:$C$1539, 2, FALSE),"")</f>
        <v>Friend Of The Devil</v>
      </c>
      <c r="H2683" t="s">
        <v>7867</v>
      </c>
    </row>
    <row r="2684" spans="1:8" x14ac:dyDescent="0.25">
      <c r="A2684">
        <v>2688</v>
      </c>
      <c r="B2684" t="s">
        <v>3308</v>
      </c>
      <c r="C2684" t="s">
        <v>3309</v>
      </c>
      <c r="D2684" t="str">
        <f t="shared" si="89"/>
        <v/>
      </c>
      <c r="E2684" t="str">
        <f t="shared" si="88"/>
        <v>friend of the devil (take 14) [breakdown slated]</v>
      </c>
      <c r="F2684" t="s">
        <v>5721</v>
      </c>
      <c r="G2684" t="str">
        <f>_xlfn.IFNA(VLOOKUP(F2684,songs!$B$1:$C$1539, 2, FALSE),"")</f>
        <v>Friend Of The Devil</v>
      </c>
      <c r="H2684" t="s">
        <v>7867</v>
      </c>
    </row>
    <row r="2685" spans="1:8" x14ac:dyDescent="0.25">
      <c r="A2685">
        <v>2689</v>
      </c>
      <c r="B2685" t="s">
        <v>3310</v>
      </c>
      <c r="C2685" t="s">
        <v>3311</v>
      </c>
      <c r="D2685" t="str">
        <f t="shared" si="89"/>
        <v/>
      </c>
      <c r="E2685" t="str">
        <f t="shared" si="88"/>
        <v>friend of the devil (take 15) (slated)</v>
      </c>
      <c r="F2685" t="s">
        <v>5721</v>
      </c>
      <c r="G2685" t="str">
        <f>_xlfn.IFNA(VLOOKUP(F2685,songs!$B$1:$C$1539, 2, FALSE),"")</f>
        <v>Friend Of The Devil</v>
      </c>
      <c r="H2685" t="s">
        <v>7867</v>
      </c>
    </row>
    <row r="2686" spans="1:8" x14ac:dyDescent="0.25">
      <c r="A2686">
        <v>2690</v>
      </c>
      <c r="B2686" t="s">
        <v>3312</v>
      </c>
      <c r="C2686" t="s">
        <v>3313</v>
      </c>
      <c r="D2686" t="str">
        <f t="shared" si="89"/>
        <v/>
      </c>
      <c r="E2686" t="str">
        <f t="shared" si="88"/>
        <v>friend of the devil (take 15) [slated]</v>
      </c>
      <c r="F2686" t="s">
        <v>5721</v>
      </c>
      <c r="G2686" t="str">
        <f>_xlfn.IFNA(VLOOKUP(F2686,songs!$B$1:$C$1539, 2, FALSE),"")</f>
        <v>Friend Of The Devil</v>
      </c>
      <c r="H2686" t="s">
        <v>7867</v>
      </c>
    </row>
    <row r="2687" spans="1:8" x14ac:dyDescent="0.25">
      <c r="A2687">
        <v>2691</v>
      </c>
      <c r="B2687" t="s">
        <v>3314</v>
      </c>
      <c r="C2687" t="s">
        <v>3315</v>
      </c>
      <c r="D2687" t="str">
        <f t="shared" si="89"/>
        <v/>
      </c>
      <c r="E2687" t="str">
        <f t="shared" si="88"/>
        <v>friend of the devil (take 16) (slated)</v>
      </c>
      <c r="F2687" t="s">
        <v>5721</v>
      </c>
      <c r="G2687" t="str">
        <f>_xlfn.IFNA(VLOOKUP(F2687,songs!$B$1:$C$1539, 2, FALSE),"")</f>
        <v>Friend Of The Devil</v>
      </c>
      <c r="H2687" t="s">
        <v>7867</v>
      </c>
    </row>
    <row r="2688" spans="1:8" x14ac:dyDescent="0.25">
      <c r="A2688">
        <v>2692</v>
      </c>
      <c r="B2688" t="s">
        <v>3316</v>
      </c>
      <c r="C2688" t="s">
        <v>3317</v>
      </c>
      <c r="D2688" t="str">
        <f t="shared" si="89"/>
        <v/>
      </c>
      <c r="E2688" t="str">
        <f t="shared" si="88"/>
        <v>friend of the devil (take 16) [slated]</v>
      </c>
      <c r="F2688" t="s">
        <v>5721</v>
      </c>
      <c r="G2688" t="str">
        <f>_xlfn.IFNA(VLOOKUP(F2688,songs!$B$1:$C$1539, 2, FALSE),"")</f>
        <v>Friend Of The Devil</v>
      </c>
      <c r="H2688" t="s">
        <v>7867</v>
      </c>
    </row>
    <row r="2689" spans="1:8" x14ac:dyDescent="0.25">
      <c r="A2689">
        <v>2693</v>
      </c>
      <c r="B2689" t="s">
        <v>3318</v>
      </c>
      <c r="C2689" t="s">
        <v>3319</v>
      </c>
      <c r="D2689" t="str">
        <f t="shared" si="89"/>
        <v/>
      </c>
      <c r="E2689" t="str">
        <f t="shared" si="88"/>
        <v>friend of the devil (take 17) (slated)</v>
      </c>
      <c r="F2689" t="s">
        <v>5721</v>
      </c>
      <c r="G2689" t="str">
        <f>_xlfn.IFNA(VLOOKUP(F2689,songs!$B$1:$C$1539, 2, FALSE),"")</f>
        <v>Friend Of The Devil</v>
      </c>
      <c r="H2689" t="s">
        <v>7867</v>
      </c>
    </row>
    <row r="2690" spans="1:8" x14ac:dyDescent="0.25">
      <c r="A2690">
        <v>2694</v>
      </c>
      <c r="B2690" t="s">
        <v>3320</v>
      </c>
      <c r="C2690" t="s">
        <v>3321</v>
      </c>
      <c r="D2690" t="str">
        <f t="shared" si="89"/>
        <v/>
      </c>
      <c r="E2690" t="str">
        <f t="shared" si="88"/>
        <v>friend of the devil (take 17) [slated]</v>
      </c>
      <c r="F2690" t="s">
        <v>5721</v>
      </c>
      <c r="G2690" t="str">
        <f>_xlfn.IFNA(VLOOKUP(F2690,songs!$B$1:$C$1539, 2, FALSE),"")</f>
        <v>Friend Of The Devil</v>
      </c>
      <c r="H2690" t="s">
        <v>7867</v>
      </c>
    </row>
    <row r="2691" spans="1:8" x14ac:dyDescent="0.25">
      <c r="A2691">
        <v>2695</v>
      </c>
      <c r="B2691" t="s">
        <v>3322</v>
      </c>
      <c r="C2691" t="s">
        <v>3323</v>
      </c>
      <c r="D2691" t="str">
        <f t="shared" si="89"/>
        <v/>
      </c>
      <c r="E2691" t="str">
        <f t="shared" si="88"/>
        <v>friend of the devil (take 18) (slated)</v>
      </c>
      <c r="F2691" t="s">
        <v>5721</v>
      </c>
      <c r="G2691" t="str">
        <f>_xlfn.IFNA(VLOOKUP(F2691,songs!$B$1:$C$1539, 2, FALSE),"")</f>
        <v>Friend Of The Devil</v>
      </c>
      <c r="H2691" t="s">
        <v>7867</v>
      </c>
    </row>
    <row r="2692" spans="1:8" x14ac:dyDescent="0.25">
      <c r="A2692">
        <v>2696</v>
      </c>
      <c r="B2692" t="s">
        <v>3324</v>
      </c>
      <c r="C2692" t="s">
        <v>3325</v>
      </c>
      <c r="D2692" t="str">
        <f t="shared" si="89"/>
        <v/>
      </c>
      <c r="E2692" t="str">
        <f t="shared" ref="E2692:E2755" si="90">LOWER(TRIM(SUBSTITUTE(IF(RIGHT(TRIM(C2692),2)="-&gt;",LEFT(TRIM(C2692),LEN(TRIM(C2692))-2),IF(RIGHT(TRIM(C2692),1)="&gt;",LEFT(TRIM(C2692),LEN(TRIM(C2692))-1),C2692)),"//","")))</f>
        <v>friend of the devil (take 18) [slated]</v>
      </c>
      <c r="F2692" t="s">
        <v>5721</v>
      </c>
      <c r="G2692" t="str">
        <f>_xlfn.IFNA(VLOOKUP(F2692,songs!$B$1:$C$1539, 2, FALSE),"")</f>
        <v>Friend Of The Devil</v>
      </c>
      <c r="H2692" t="s">
        <v>7867</v>
      </c>
    </row>
    <row r="2693" spans="1:8" x14ac:dyDescent="0.25">
      <c r="A2693">
        <v>2697</v>
      </c>
      <c r="B2693" t="s">
        <v>3326</v>
      </c>
      <c r="C2693" t="s">
        <v>3327</v>
      </c>
      <c r="D2693" t="str">
        <f t="shared" si="89"/>
        <v/>
      </c>
      <c r="E2693" t="str">
        <f t="shared" si="90"/>
        <v>friend of the devil (take 19) (not slated)</v>
      </c>
      <c r="F2693" t="s">
        <v>5721</v>
      </c>
      <c r="G2693" t="str">
        <f>_xlfn.IFNA(VLOOKUP(F2693,songs!$B$1:$C$1539, 2, FALSE),"")</f>
        <v>Friend Of The Devil</v>
      </c>
      <c r="H2693" t="s">
        <v>7867</v>
      </c>
    </row>
    <row r="2694" spans="1:8" x14ac:dyDescent="0.25">
      <c r="A2694">
        <v>2698</v>
      </c>
      <c r="B2694" t="s">
        <v>3328</v>
      </c>
      <c r="C2694" t="s">
        <v>3329</v>
      </c>
      <c r="D2694" t="str">
        <f t="shared" si="89"/>
        <v/>
      </c>
      <c r="E2694" t="str">
        <f t="shared" si="90"/>
        <v>friend of the devil (take 19) [not slated]</v>
      </c>
      <c r="F2694" t="s">
        <v>5721</v>
      </c>
      <c r="G2694" t="str">
        <f>_xlfn.IFNA(VLOOKUP(F2694,songs!$B$1:$C$1539, 2, FALSE),"")</f>
        <v>Friend Of The Devil</v>
      </c>
      <c r="H2694" t="s">
        <v>7867</v>
      </c>
    </row>
    <row r="2695" spans="1:8" x14ac:dyDescent="0.25">
      <c r="A2695">
        <v>2699</v>
      </c>
      <c r="B2695" t="s">
        <v>3330</v>
      </c>
      <c r="C2695" t="s">
        <v>3331</v>
      </c>
      <c r="D2695" t="str">
        <f t="shared" si="89"/>
        <v/>
      </c>
      <c r="E2695" t="str">
        <f t="shared" si="90"/>
        <v>friend of the devil (take 20) (slated)</v>
      </c>
      <c r="F2695" t="s">
        <v>5721</v>
      </c>
      <c r="G2695" t="str">
        <f>_xlfn.IFNA(VLOOKUP(F2695,songs!$B$1:$C$1539, 2, FALSE),"")</f>
        <v>Friend Of The Devil</v>
      </c>
      <c r="H2695" t="s">
        <v>7867</v>
      </c>
    </row>
    <row r="2696" spans="1:8" x14ac:dyDescent="0.25">
      <c r="A2696">
        <v>2700</v>
      </c>
      <c r="B2696" t="s">
        <v>3332</v>
      </c>
      <c r="C2696" t="s">
        <v>3333</v>
      </c>
      <c r="D2696" t="str">
        <f t="shared" si="89"/>
        <v/>
      </c>
      <c r="E2696" t="str">
        <f t="shared" si="90"/>
        <v>friend of the devil (take 20) [slated]</v>
      </c>
      <c r="F2696" t="s">
        <v>5721</v>
      </c>
      <c r="G2696" t="str">
        <f>_xlfn.IFNA(VLOOKUP(F2696,songs!$B$1:$C$1539, 2, FALSE),"")</f>
        <v>Friend Of The Devil</v>
      </c>
      <c r="H2696" t="s">
        <v>7867</v>
      </c>
    </row>
    <row r="2697" spans="1:8" x14ac:dyDescent="0.25">
      <c r="A2697">
        <v>2701</v>
      </c>
      <c r="B2697" t="s">
        <v>3334</v>
      </c>
      <c r="C2697" t="s">
        <v>3335</v>
      </c>
      <c r="D2697" t="str">
        <f t="shared" ref="D2697:D2760" si="91">IF(RIGHT(TRIM(C2697),2)="-&gt;","&gt;",IF(RIGHT(TRIM(C2697),1)="&gt;","&gt;",""))</f>
        <v/>
      </c>
      <c r="E2697" t="str">
        <f t="shared" si="90"/>
        <v>attics of my life (take 1) (slated)</v>
      </c>
      <c r="F2697" t="s">
        <v>5108</v>
      </c>
      <c r="G2697" t="str">
        <f>_xlfn.IFNA(VLOOKUP(F2697,songs!$B$1:$C$1539, 2, FALSE),"")</f>
        <v>Attics Of My Life</v>
      </c>
      <c r="H2697" t="s">
        <v>7867</v>
      </c>
    </row>
    <row r="2698" spans="1:8" x14ac:dyDescent="0.25">
      <c r="A2698">
        <v>2702</v>
      </c>
      <c r="B2698" t="s">
        <v>3336</v>
      </c>
      <c r="C2698" t="s">
        <v>3337</v>
      </c>
      <c r="D2698" t="str">
        <f t="shared" si="91"/>
        <v/>
      </c>
      <c r="E2698" t="str">
        <f t="shared" si="90"/>
        <v>attics of my life (take 1) [slated]</v>
      </c>
      <c r="F2698" t="s">
        <v>5108</v>
      </c>
      <c r="G2698" t="str">
        <f>_xlfn.IFNA(VLOOKUP(F2698,songs!$B$1:$C$1539, 2, FALSE),"")</f>
        <v>Attics Of My Life</v>
      </c>
      <c r="H2698" t="s">
        <v>7867</v>
      </c>
    </row>
    <row r="2699" spans="1:8" x14ac:dyDescent="0.25">
      <c r="A2699">
        <v>2703</v>
      </c>
      <c r="B2699" t="s">
        <v>3338</v>
      </c>
      <c r="C2699" t="s">
        <v>3339</v>
      </c>
      <c r="D2699" t="str">
        <f t="shared" si="91"/>
        <v/>
      </c>
      <c r="E2699" t="str">
        <f t="shared" si="90"/>
        <v>attics of my life (take 2 breakdown) (slated)</v>
      </c>
      <c r="F2699" t="s">
        <v>5108</v>
      </c>
      <c r="G2699" t="str">
        <f>_xlfn.IFNA(VLOOKUP(F2699,songs!$B$1:$C$1539, 2, FALSE),"")</f>
        <v>Attics Of My Life</v>
      </c>
      <c r="H2699" t="s">
        <v>7867</v>
      </c>
    </row>
    <row r="2700" spans="1:8" x14ac:dyDescent="0.25">
      <c r="A2700">
        <v>2704</v>
      </c>
      <c r="B2700" t="s">
        <v>3340</v>
      </c>
      <c r="C2700" t="s">
        <v>3341</v>
      </c>
      <c r="D2700" t="str">
        <f t="shared" si="91"/>
        <v/>
      </c>
      <c r="E2700" t="str">
        <f t="shared" si="90"/>
        <v>attics of my life (take 2) [breakdown slated]</v>
      </c>
      <c r="F2700" t="s">
        <v>5108</v>
      </c>
      <c r="G2700" t="str">
        <f>_xlfn.IFNA(VLOOKUP(F2700,songs!$B$1:$C$1539, 2, FALSE),"")</f>
        <v>Attics Of My Life</v>
      </c>
      <c r="H2700" t="s">
        <v>7867</v>
      </c>
    </row>
    <row r="2701" spans="1:8" x14ac:dyDescent="0.25">
      <c r="A2701">
        <v>2705</v>
      </c>
      <c r="B2701" t="s">
        <v>3342</v>
      </c>
      <c r="C2701" t="s">
        <v>3343</v>
      </c>
      <c r="D2701" t="str">
        <f t="shared" si="91"/>
        <v/>
      </c>
      <c r="E2701" t="str">
        <f t="shared" si="90"/>
        <v>attics of my life (take 3 breakdown) (slated)</v>
      </c>
      <c r="F2701" t="s">
        <v>5108</v>
      </c>
      <c r="G2701" t="str">
        <f>_xlfn.IFNA(VLOOKUP(F2701,songs!$B$1:$C$1539, 2, FALSE),"")</f>
        <v>Attics Of My Life</v>
      </c>
      <c r="H2701" t="s">
        <v>7867</v>
      </c>
    </row>
    <row r="2702" spans="1:8" x14ac:dyDescent="0.25">
      <c r="A2702">
        <v>2706</v>
      </c>
      <c r="B2702" t="s">
        <v>3344</v>
      </c>
      <c r="C2702" t="s">
        <v>3345</v>
      </c>
      <c r="D2702" t="str">
        <f t="shared" si="91"/>
        <v/>
      </c>
      <c r="E2702" t="str">
        <f t="shared" si="90"/>
        <v>attics of my life (take 3) [breakdown slated]</v>
      </c>
      <c r="F2702" t="s">
        <v>5108</v>
      </c>
      <c r="G2702" t="str">
        <f>_xlfn.IFNA(VLOOKUP(F2702,songs!$B$1:$C$1539, 2, FALSE),"")</f>
        <v>Attics Of My Life</v>
      </c>
      <c r="H2702" t="s">
        <v>7867</v>
      </c>
    </row>
    <row r="2703" spans="1:8" x14ac:dyDescent="0.25">
      <c r="A2703">
        <v>2707</v>
      </c>
      <c r="B2703" t="s">
        <v>3346</v>
      </c>
      <c r="C2703" t="s">
        <v>3347</v>
      </c>
      <c r="D2703" t="str">
        <f t="shared" si="91"/>
        <v/>
      </c>
      <c r="E2703" t="str">
        <f t="shared" si="90"/>
        <v>attics of my life (take 4 breakdown) (slated)</v>
      </c>
      <c r="F2703" t="s">
        <v>5108</v>
      </c>
      <c r="G2703" t="str">
        <f>_xlfn.IFNA(VLOOKUP(F2703,songs!$B$1:$C$1539, 2, FALSE),"")</f>
        <v>Attics Of My Life</v>
      </c>
      <c r="H2703" t="s">
        <v>7867</v>
      </c>
    </row>
    <row r="2704" spans="1:8" x14ac:dyDescent="0.25">
      <c r="A2704">
        <v>2708</v>
      </c>
      <c r="B2704" t="s">
        <v>3348</v>
      </c>
      <c r="C2704" t="s">
        <v>3349</v>
      </c>
      <c r="D2704" t="str">
        <f t="shared" si="91"/>
        <v/>
      </c>
      <c r="E2704" t="str">
        <f t="shared" si="90"/>
        <v>attics of my life (take 4) [breakdown slated]</v>
      </c>
      <c r="F2704" t="s">
        <v>5108</v>
      </c>
      <c r="G2704" t="str">
        <f>_xlfn.IFNA(VLOOKUP(F2704,songs!$B$1:$C$1539, 2, FALSE),"")</f>
        <v>Attics Of My Life</v>
      </c>
      <c r="H2704" t="s">
        <v>7867</v>
      </c>
    </row>
    <row r="2705" spans="1:8" x14ac:dyDescent="0.25">
      <c r="A2705">
        <v>2709</v>
      </c>
      <c r="B2705" t="s">
        <v>3350</v>
      </c>
      <c r="C2705" t="s">
        <v>3351</v>
      </c>
      <c r="D2705" t="str">
        <f t="shared" si="91"/>
        <v/>
      </c>
      <c r="E2705" t="str">
        <f t="shared" si="90"/>
        <v>attics of my life (take 5) (slated)</v>
      </c>
      <c r="F2705" t="s">
        <v>5108</v>
      </c>
      <c r="G2705" t="str">
        <f>_xlfn.IFNA(VLOOKUP(F2705,songs!$B$1:$C$1539, 2, FALSE),"")</f>
        <v>Attics Of My Life</v>
      </c>
      <c r="H2705" t="s">
        <v>7867</v>
      </c>
    </row>
    <row r="2706" spans="1:8" x14ac:dyDescent="0.25">
      <c r="A2706">
        <v>2710</v>
      </c>
      <c r="B2706" t="s">
        <v>3352</v>
      </c>
      <c r="C2706" t="s">
        <v>3353</v>
      </c>
      <c r="D2706" t="str">
        <f t="shared" si="91"/>
        <v/>
      </c>
      <c r="E2706" t="str">
        <f t="shared" si="90"/>
        <v>attics of my life (take 5) [slated]</v>
      </c>
      <c r="F2706" t="s">
        <v>5108</v>
      </c>
      <c r="G2706" t="str">
        <f>_xlfn.IFNA(VLOOKUP(F2706,songs!$B$1:$C$1539, 2, FALSE),"")</f>
        <v>Attics Of My Life</v>
      </c>
      <c r="H2706" t="s">
        <v>7867</v>
      </c>
    </row>
    <row r="2707" spans="1:8" x14ac:dyDescent="0.25">
      <c r="A2707">
        <v>2711</v>
      </c>
      <c r="B2707" t="s">
        <v>3354</v>
      </c>
      <c r="C2707" t="s">
        <v>3355</v>
      </c>
      <c r="D2707" t="str">
        <f t="shared" si="91"/>
        <v/>
      </c>
      <c r="E2707" t="str">
        <f t="shared" si="90"/>
        <v>attics of my life (solo version) (demo)</v>
      </c>
      <c r="F2707" t="s">
        <v>5108</v>
      </c>
      <c r="G2707" t="str">
        <f>_xlfn.IFNA(VLOOKUP(F2707,songs!$B$1:$C$1539, 2, FALSE),"")</f>
        <v>Attics Of My Life</v>
      </c>
      <c r="H2707" t="s">
        <v>7867</v>
      </c>
    </row>
    <row r="2708" spans="1:8" x14ac:dyDescent="0.25">
      <c r="A2708">
        <v>2712</v>
      </c>
      <c r="B2708" t="s">
        <v>3356</v>
      </c>
      <c r="C2708" t="s">
        <v>3357</v>
      </c>
      <c r="D2708" t="str">
        <f t="shared" si="91"/>
        <v/>
      </c>
      <c r="E2708" t="str">
        <f t="shared" si="90"/>
        <v>attics of my life (solo version) [demo]</v>
      </c>
      <c r="F2708" t="s">
        <v>5108</v>
      </c>
      <c r="G2708" t="str">
        <f>_xlfn.IFNA(VLOOKUP(F2708,songs!$B$1:$C$1539, 2, FALSE),"")</f>
        <v>Attics Of My Life</v>
      </c>
      <c r="H2708" t="s">
        <v>7867</v>
      </c>
    </row>
    <row r="2709" spans="1:8" x14ac:dyDescent="0.25">
      <c r="A2709">
        <v>2713</v>
      </c>
      <c r="B2709" t="s">
        <v>3358</v>
      </c>
      <c r="C2709" t="s">
        <v>3359</v>
      </c>
      <c r="D2709" t="str">
        <f t="shared" si="91"/>
        <v/>
      </c>
      <c r="E2709" t="str">
        <f t="shared" si="90"/>
        <v>hand me down (ripple) [take 1 breakdown] (slated)</v>
      </c>
      <c r="F2709" t="s">
        <v>6864</v>
      </c>
      <c r="G2709" t="str">
        <f>_xlfn.IFNA(VLOOKUP(F2709,songs!$B$1:$C$1539, 2, FALSE),"")</f>
        <v>Ripple</v>
      </c>
      <c r="H2709" t="s">
        <v>7867</v>
      </c>
    </row>
    <row r="2710" spans="1:8" x14ac:dyDescent="0.25">
      <c r="A2710">
        <v>2714</v>
      </c>
      <c r="B2710" t="s">
        <v>3360</v>
      </c>
      <c r="C2710" t="s">
        <v>3361</v>
      </c>
      <c r="D2710" t="str">
        <f t="shared" si="91"/>
        <v/>
      </c>
      <c r="E2710" t="str">
        <f t="shared" si="90"/>
        <v>hand me down ripple (take 1) [breakdown slated]</v>
      </c>
      <c r="F2710" t="s">
        <v>6864</v>
      </c>
      <c r="G2710" t="str">
        <f>_xlfn.IFNA(VLOOKUP(F2710,songs!$B$1:$C$1539, 2, FALSE),"")</f>
        <v>Ripple</v>
      </c>
      <c r="H2710" t="s">
        <v>7867</v>
      </c>
    </row>
    <row r="2711" spans="1:8" x14ac:dyDescent="0.25">
      <c r="A2711">
        <v>2715</v>
      </c>
      <c r="B2711" t="s">
        <v>3362</v>
      </c>
      <c r="C2711" t="s">
        <v>3363</v>
      </c>
      <c r="D2711" t="str">
        <f t="shared" si="91"/>
        <v/>
      </c>
      <c r="E2711" t="str">
        <f t="shared" si="90"/>
        <v>hand me down (ripple) [take 2 with vocals] (slated)</v>
      </c>
      <c r="F2711" t="s">
        <v>6864</v>
      </c>
      <c r="G2711" t="str">
        <f>_xlfn.IFNA(VLOOKUP(F2711,songs!$B$1:$C$1539, 2, FALSE),"")</f>
        <v>Ripple</v>
      </c>
      <c r="H2711" t="s">
        <v>7867</v>
      </c>
    </row>
    <row r="2712" spans="1:8" x14ac:dyDescent="0.25">
      <c r="A2712">
        <v>2941</v>
      </c>
      <c r="B2712" t="s">
        <v>3706</v>
      </c>
      <c r="C2712" t="s">
        <v>3707</v>
      </c>
      <c r="D2712" t="str">
        <f t="shared" si="91"/>
        <v/>
      </c>
      <c r="E2712" t="str">
        <f t="shared" si="90"/>
        <v>mexican hat dance</v>
      </c>
      <c r="F2712" t="s">
        <v>7845</v>
      </c>
      <c r="G2712" t="str">
        <f>_xlfn.IFNA(VLOOKUP(F2712,songs!$B$1:$C$1539, 2, FALSE),"")</f>
        <v/>
      </c>
      <c r="H2712" t="s">
        <v>7867</v>
      </c>
    </row>
    <row r="2713" spans="1:8" x14ac:dyDescent="0.25">
      <c r="A2713">
        <v>2716</v>
      </c>
      <c r="B2713" t="s">
        <v>3364</v>
      </c>
      <c r="C2713" t="s">
        <v>3365</v>
      </c>
      <c r="D2713" t="str">
        <f t="shared" si="91"/>
        <v/>
      </c>
      <c r="E2713" t="str">
        <f t="shared" si="90"/>
        <v>hand me down ripple (take 2 with vocals) [slated]</v>
      </c>
      <c r="F2713" t="s">
        <v>6864</v>
      </c>
      <c r="G2713" t="str">
        <f>_xlfn.IFNA(VLOOKUP(F2713,songs!$B$1:$C$1539, 2, FALSE),"")</f>
        <v>Ripple</v>
      </c>
      <c r="H2713" t="s">
        <v>7867</v>
      </c>
    </row>
    <row r="2714" spans="1:8" x14ac:dyDescent="0.25">
      <c r="A2714">
        <v>2717</v>
      </c>
      <c r="B2714" t="s">
        <v>3366</v>
      </c>
      <c r="C2714" t="s">
        <v>3367</v>
      </c>
      <c r="D2714" t="str">
        <f t="shared" si="91"/>
        <v/>
      </c>
      <c r="E2714" t="str">
        <f t="shared" si="90"/>
        <v>hand me down (ripple) [take 3] (slated)</v>
      </c>
      <c r="F2714" t="s">
        <v>6864</v>
      </c>
      <c r="G2714" t="str">
        <f>_xlfn.IFNA(VLOOKUP(F2714,songs!$B$1:$C$1539, 2, FALSE),"")</f>
        <v>Ripple</v>
      </c>
      <c r="H2714" t="s">
        <v>7867</v>
      </c>
    </row>
    <row r="2715" spans="1:8" x14ac:dyDescent="0.25">
      <c r="A2715">
        <v>2718</v>
      </c>
      <c r="B2715" t="s">
        <v>3368</v>
      </c>
      <c r="C2715" t="s">
        <v>3369</v>
      </c>
      <c r="D2715" t="str">
        <f t="shared" si="91"/>
        <v/>
      </c>
      <c r="E2715" t="str">
        <f t="shared" si="90"/>
        <v>hand me down ripple (take 3) [slated]</v>
      </c>
      <c r="F2715" t="s">
        <v>6864</v>
      </c>
      <c r="G2715" t="str">
        <f>_xlfn.IFNA(VLOOKUP(F2715,songs!$B$1:$C$1539, 2, FALSE),"")</f>
        <v>Ripple</v>
      </c>
      <c r="H2715" t="s">
        <v>7867</v>
      </c>
    </row>
    <row r="2716" spans="1:8" x14ac:dyDescent="0.25">
      <c r="A2716">
        <v>2719</v>
      </c>
      <c r="B2716" t="s">
        <v>3370</v>
      </c>
      <c r="C2716" t="s">
        <v>3371</v>
      </c>
      <c r="D2716" t="str">
        <f t="shared" si="91"/>
        <v/>
      </c>
      <c r="E2716" t="str">
        <f t="shared" si="90"/>
        <v>hand me down (ripple) [take 4] (slated)</v>
      </c>
      <c r="F2716" t="s">
        <v>6864</v>
      </c>
      <c r="G2716" t="str">
        <f>_xlfn.IFNA(VLOOKUP(F2716,songs!$B$1:$C$1539, 2, FALSE),"")</f>
        <v>Ripple</v>
      </c>
      <c r="H2716" t="s">
        <v>7867</v>
      </c>
    </row>
    <row r="2717" spans="1:8" x14ac:dyDescent="0.25">
      <c r="A2717">
        <v>2720</v>
      </c>
      <c r="B2717" t="s">
        <v>3372</v>
      </c>
      <c r="C2717" t="s">
        <v>3373</v>
      </c>
      <c r="D2717" t="str">
        <f t="shared" si="91"/>
        <v/>
      </c>
      <c r="E2717" t="str">
        <f t="shared" si="90"/>
        <v>hand me down ripple (take 4) [slated]</v>
      </c>
      <c r="F2717" t="s">
        <v>6864</v>
      </c>
      <c r="G2717" t="str">
        <f>_xlfn.IFNA(VLOOKUP(F2717,songs!$B$1:$C$1539, 2, FALSE),"")</f>
        <v>Ripple</v>
      </c>
      <c r="H2717" t="s">
        <v>7867</v>
      </c>
    </row>
    <row r="2718" spans="1:8" x14ac:dyDescent="0.25">
      <c r="A2718">
        <v>2721</v>
      </c>
      <c r="B2718" t="s">
        <v>3374</v>
      </c>
      <c r="C2718" t="s">
        <v>3375</v>
      </c>
      <c r="D2718" t="str">
        <f t="shared" si="91"/>
        <v/>
      </c>
      <c r="E2718" t="str">
        <f t="shared" si="90"/>
        <v>hand me down (ripple) [take 5 breakdown] (slated)</v>
      </c>
      <c r="F2718" t="s">
        <v>6864</v>
      </c>
      <c r="G2718" t="str">
        <f>_xlfn.IFNA(VLOOKUP(F2718,songs!$B$1:$C$1539, 2, FALSE),"")</f>
        <v>Ripple</v>
      </c>
      <c r="H2718" t="s">
        <v>7867</v>
      </c>
    </row>
    <row r="2719" spans="1:8" x14ac:dyDescent="0.25">
      <c r="A2719">
        <v>2722</v>
      </c>
      <c r="B2719" t="s">
        <v>3376</v>
      </c>
      <c r="C2719" t="s">
        <v>3377</v>
      </c>
      <c r="D2719" t="str">
        <f t="shared" si="91"/>
        <v/>
      </c>
      <c r="E2719" t="str">
        <f t="shared" si="90"/>
        <v>hand me down ripple (take 5) [breakdown slated]</v>
      </c>
      <c r="F2719" t="s">
        <v>6864</v>
      </c>
      <c r="G2719" t="str">
        <f>_xlfn.IFNA(VLOOKUP(F2719,songs!$B$1:$C$1539, 2, FALSE),"")</f>
        <v>Ripple</v>
      </c>
      <c r="H2719" t="s">
        <v>7867</v>
      </c>
    </row>
    <row r="2720" spans="1:8" x14ac:dyDescent="0.25">
      <c r="A2720">
        <v>2723</v>
      </c>
      <c r="B2720" t="s">
        <v>3378</v>
      </c>
      <c r="C2720" t="s">
        <v>3379</v>
      </c>
      <c r="D2720" t="str">
        <f t="shared" si="91"/>
        <v/>
      </c>
      <c r="E2720" t="str">
        <f t="shared" si="90"/>
        <v>hand me down (ripple) [take 6 breakdown] (slated)</v>
      </c>
      <c r="F2720" t="s">
        <v>6864</v>
      </c>
      <c r="G2720" t="str">
        <f>_xlfn.IFNA(VLOOKUP(F2720,songs!$B$1:$C$1539, 2, FALSE),"")</f>
        <v>Ripple</v>
      </c>
      <c r="H2720" t="s">
        <v>7867</v>
      </c>
    </row>
    <row r="2721" spans="1:8" x14ac:dyDescent="0.25">
      <c r="A2721">
        <v>2724</v>
      </c>
      <c r="B2721" t="s">
        <v>3380</v>
      </c>
      <c r="C2721" t="s">
        <v>3381</v>
      </c>
      <c r="D2721" t="str">
        <f t="shared" si="91"/>
        <v/>
      </c>
      <c r="E2721" t="str">
        <f t="shared" si="90"/>
        <v>hand me down ripple (take 6) [breakdown slated]</v>
      </c>
      <c r="F2721" t="s">
        <v>6864</v>
      </c>
      <c r="G2721" t="str">
        <f>_xlfn.IFNA(VLOOKUP(F2721,songs!$B$1:$C$1539, 2, FALSE),"")</f>
        <v>Ripple</v>
      </c>
      <c r="H2721" t="s">
        <v>7867</v>
      </c>
    </row>
    <row r="2722" spans="1:8" x14ac:dyDescent="0.25">
      <c r="A2722">
        <v>2725</v>
      </c>
      <c r="B2722" t="s">
        <v>3382</v>
      </c>
      <c r="C2722" t="s">
        <v>3383</v>
      </c>
      <c r="D2722" t="str">
        <f t="shared" si="91"/>
        <v/>
      </c>
      <c r="E2722" t="str">
        <f t="shared" si="90"/>
        <v>hand me down (ripple) [take 7] (slated)</v>
      </c>
      <c r="F2722" t="s">
        <v>6864</v>
      </c>
      <c r="G2722" t="str">
        <f>_xlfn.IFNA(VLOOKUP(F2722,songs!$B$1:$C$1539, 2, FALSE),"")</f>
        <v>Ripple</v>
      </c>
      <c r="H2722" t="s">
        <v>7867</v>
      </c>
    </row>
    <row r="2723" spans="1:8" x14ac:dyDescent="0.25">
      <c r="A2723">
        <v>2726</v>
      </c>
      <c r="B2723" t="s">
        <v>3384</v>
      </c>
      <c r="C2723" t="s">
        <v>3385</v>
      </c>
      <c r="D2723" t="str">
        <f t="shared" si="91"/>
        <v/>
      </c>
      <c r="E2723" t="str">
        <f t="shared" si="90"/>
        <v>hand me down ripple (take 7) [slated]</v>
      </c>
      <c r="F2723" t="s">
        <v>6864</v>
      </c>
      <c r="G2723" t="str">
        <f>_xlfn.IFNA(VLOOKUP(F2723,songs!$B$1:$C$1539, 2, FALSE),"")</f>
        <v>Ripple</v>
      </c>
      <c r="H2723" t="s">
        <v>7867</v>
      </c>
    </row>
    <row r="2724" spans="1:8" x14ac:dyDescent="0.25">
      <c r="A2724">
        <v>2732</v>
      </c>
      <c r="B2724" t="s">
        <v>3391</v>
      </c>
      <c r="C2724" t="s">
        <v>2138</v>
      </c>
      <c r="D2724" t="str">
        <f t="shared" si="91"/>
        <v/>
      </c>
      <c r="E2724" t="str">
        <f t="shared" si="90"/>
        <v>johnny b goode</v>
      </c>
      <c r="F2724" t="s">
        <v>6192</v>
      </c>
      <c r="G2724" t="str">
        <f>_xlfn.IFNA(VLOOKUP(F2724,songs!$B$1:$C$1539, 2, FALSE),"")</f>
        <v>Johnny B. Goode</v>
      </c>
      <c r="H2724" t="s">
        <v>7867</v>
      </c>
    </row>
    <row r="2725" spans="1:8" x14ac:dyDescent="0.25">
      <c r="A2725">
        <v>2735</v>
      </c>
      <c r="B2725" t="s">
        <v>3394</v>
      </c>
      <c r="C2725" t="s">
        <v>3395</v>
      </c>
      <c r="D2725" t="str">
        <f t="shared" si="91"/>
        <v/>
      </c>
      <c r="E2725" t="str">
        <f t="shared" si="90"/>
        <v>dark star pt 1</v>
      </c>
      <c r="F2725" t="s">
        <v>5428</v>
      </c>
      <c r="G2725" t="str">
        <f>_xlfn.IFNA(VLOOKUP(F2725,songs!$B$1:$C$1539, 2, FALSE),"")</f>
        <v>Dark Star</v>
      </c>
      <c r="H2725" t="s">
        <v>7867</v>
      </c>
    </row>
    <row r="2726" spans="1:8" x14ac:dyDescent="0.25">
      <c r="A2726">
        <v>2737</v>
      </c>
      <c r="B2726" t="s">
        <v>3397</v>
      </c>
      <c r="C2726" t="s">
        <v>3398</v>
      </c>
      <c r="D2726" t="str">
        <f t="shared" si="91"/>
        <v/>
      </c>
      <c r="E2726" t="str">
        <f t="shared" si="90"/>
        <v>dark star pt 2</v>
      </c>
      <c r="F2726" t="s">
        <v>5428</v>
      </c>
      <c r="G2726" t="str">
        <f>_xlfn.IFNA(VLOOKUP(F2726,songs!$B$1:$C$1539, 2, FALSE),"")</f>
        <v>Dark Star</v>
      </c>
      <c r="H2726" t="s">
        <v>7867</v>
      </c>
    </row>
    <row r="2727" spans="1:8" x14ac:dyDescent="0.25">
      <c r="A2727">
        <v>2745</v>
      </c>
      <c r="B2727" t="s">
        <v>3406</v>
      </c>
      <c r="C2727" t="s">
        <v>32</v>
      </c>
      <c r="D2727" t="str">
        <f t="shared" si="91"/>
        <v/>
      </c>
      <c r="E2727" t="str">
        <f t="shared" si="90"/>
        <v>st. stephen</v>
      </c>
      <c r="F2727" t="s">
        <v>6910</v>
      </c>
      <c r="G2727" t="str">
        <f>_xlfn.IFNA(VLOOKUP(F2727,songs!$B$1:$C$1539, 2, FALSE),"")</f>
        <v>Saint Stephen</v>
      </c>
      <c r="H2727" t="s">
        <v>7867</v>
      </c>
    </row>
    <row r="2728" spans="1:8" x14ac:dyDescent="0.25">
      <c r="A2728">
        <v>2727</v>
      </c>
      <c r="B2728" t="s">
        <v>3386</v>
      </c>
      <c r="C2728" t="s">
        <v>298</v>
      </c>
      <c r="D2728" t="str">
        <f t="shared" si="91"/>
        <v/>
      </c>
      <c r="E2728" t="str">
        <f t="shared" si="90"/>
        <v>bertha</v>
      </c>
      <c r="F2728" t="s">
        <v>5158</v>
      </c>
      <c r="G2728" t="str">
        <f>_xlfn.IFNA(VLOOKUP(F2728,songs!$B$1:$C$1539, 2, FALSE),"")</f>
        <v>Bertha</v>
      </c>
      <c r="H2728" t="s">
        <v>298</v>
      </c>
    </row>
    <row r="2729" spans="1:8" x14ac:dyDescent="0.25">
      <c r="A2729">
        <v>2728</v>
      </c>
      <c r="B2729" t="s">
        <v>3387</v>
      </c>
      <c r="C2729" t="s">
        <v>15</v>
      </c>
      <c r="D2729" t="str">
        <f t="shared" si="91"/>
        <v/>
      </c>
      <c r="E2729" t="str">
        <f t="shared" si="90"/>
        <v>truckin'</v>
      </c>
      <c r="F2729" t="s">
        <v>7436</v>
      </c>
      <c r="G2729" t="str">
        <f>_xlfn.IFNA(VLOOKUP(F2729,songs!$B$1:$C$1539, 2, FALSE),"")</f>
        <v>Truckin'</v>
      </c>
      <c r="H2729" t="s">
        <v>15</v>
      </c>
    </row>
    <row r="2730" spans="1:8" x14ac:dyDescent="0.25">
      <c r="A2730">
        <v>2729</v>
      </c>
      <c r="B2730" t="s">
        <v>3388</v>
      </c>
      <c r="C2730" t="s">
        <v>701</v>
      </c>
      <c r="D2730" t="str">
        <f t="shared" si="91"/>
        <v/>
      </c>
      <c r="E2730" t="str">
        <f t="shared" si="90"/>
        <v>hurts me too</v>
      </c>
      <c r="F2730" t="s">
        <v>5979</v>
      </c>
      <c r="G2730" t="str">
        <f>_xlfn.IFNA(VLOOKUP(F2730,songs!$B$1:$C$1539, 2, FALSE),"")</f>
        <v>Hurts Me Too</v>
      </c>
      <c r="H2730" t="s">
        <v>701</v>
      </c>
    </row>
    <row r="2731" spans="1:8" x14ac:dyDescent="0.25">
      <c r="A2731">
        <v>2730</v>
      </c>
      <c r="B2731" t="s">
        <v>3389</v>
      </c>
      <c r="C2731" t="s">
        <v>291</v>
      </c>
      <c r="D2731" t="str">
        <f t="shared" si="91"/>
        <v/>
      </c>
      <c r="E2731" t="str">
        <f t="shared" si="90"/>
        <v>loser</v>
      </c>
      <c r="F2731" t="s">
        <v>6400</v>
      </c>
      <c r="G2731" t="str">
        <f>_xlfn.IFNA(VLOOKUP(F2731,songs!$B$1:$C$1539, 2, FALSE),"")</f>
        <v>Loser</v>
      </c>
      <c r="H2731" t="s">
        <v>291</v>
      </c>
    </row>
    <row r="2732" spans="1:8" x14ac:dyDescent="0.25">
      <c r="A2732">
        <v>2731</v>
      </c>
      <c r="B2732" t="s">
        <v>3390</v>
      </c>
      <c r="C2732" t="s">
        <v>154</v>
      </c>
      <c r="D2732" t="str">
        <f t="shared" si="91"/>
        <v/>
      </c>
      <c r="E2732" t="str">
        <f t="shared" si="90"/>
        <v>greatest story ever told</v>
      </c>
      <c r="F2732" t="s">
        <v>5826</v>
      </c>
      <c r="G2732" t="str">
        <f>_xlfn.IFNA(VLOOKUP(F2732,songs!$B$1:$C$1539, 2, FALSE),"")</f>
        <v>Greatest Story Ever Told</v>
      </c>
      <c r="H2732" t="s">
        <v>154</v>
      </c>
    </row>
    <row r="2733" spans="1:8" x14ac:dyDescent="0.25">
      <c r="A2733">
        <v>2746</v>
      </c>
      <c r="B2733" t="s">
        <v>3407</v>
      </c>
      <c r="C2733" t="s">
        <v>3408</v>
      </c>
      <c r="D2733" t="str">
        <f t="shared" si="91"/>
        <v/>
      </c>
      <c r="E2733" t="str">
        <f t="shared" si="90"/>
        <v>not fade away pt 1</v>
      </c>
      <c r="F2733" t="s">
        <v>6651</v>
      </c>
      <c r="G2733" t="str">
        <f>_xlfn.IFNA(VLOOKUP(F2733,songs!$B$1:$C$1539, 2, FALSE),"")</f>
        <v>Not Fade Away</v>
      </c>
      <c r="H2733" t="s">
        <v>7867</v>
      </c>
    </row>
    <row r="2734" spans="1:8" x14ac:dyDescent="0.25">
      <c r="A2734">
        <v>2733</v>
      </c>
      <c r="B2734" t="s">
        <v>3392</v>
      </c>
      <c r="C2734" t="s">
        <v>158</v>
      </c>
      <c r="D2734" t="str">
        <f t="shared" si="91"/>
        <v/>
      </c>
      <c r="E2734" t="str">
        <f t="shared" si="90"/>
        <v>mama tried</v>
      </c>
      <c r="F2734" t="s">
        <v>6454</v>
      </c>
      <c r="G2734" t="str">
        <f>_xlfn.IFNA(VLOOKUP(F2734,songs!$B$1:$C$1539, 2, FALSE),"")</f>
        <v>Mama Tried</v>
      </c>
      <c r="H2734" t="s">
        <v>158</v>
      </c>
    </row>
    <row r="2735" spans="1:8" x14ac:dyDescent="0.25">
      <c r="A2735">
        <v>2734</v>
      </c>
      <c r="B2735" t="s">
        <v>3393</v>
      </c>
      <c r="C2735" t="s">
        <v>1199</v>
      </c>
      <c r="D2735" t="str">
        <f t="shared" si="91"/>
        <v/>
      </c>
      <c r="E2735" t="str">
        <f t="shared" si="90"/>
        <v>hard to handle</v>
      </c>
      <c r="F2735" t="s">
        <v>5861</v>
      </c>
      <c r="G2735" t="str">
        <f>_xlfn.IFNA(VLOOKUP(F2735,songs!$B$1:$C$1539, 2, FALSE),"")</f>
        <v>Hard To Handle</v>
      </c>
      <c r="H2735" t="s">
        <v>1199</v>
      </c>
    </row>
    <row r="2736" spans="1:8" x14ac:dyDescent="0.25">
      <c r="A2736">
        <v>2747</v>
      </c>
      <c r="B2736" t="s">
        <v>3409</v>
      </c>
      <c r="C2736" t="s">
        <v>44</v>
      </c>
      <c r="D2736" t="str">
        <f t="shared" si="91"/>
        <v/>
      </c>
      <c r="E2736" t="str">
        <f t="shared" si="90"/>
        <v>goin' down the road feeling bad</v>
      </c>
      <c r="F2736" t="s">
        <v>5783</v>
      </c>
      <c r="G2736" t="str">
        <f>_xlfn.IFNA(VLOOKUP(F2736,songs!$B$1:$C$1539, 2, FALSE),"")</f>
        <v>Goin' Down The Road Feelin' Bad</v>
      </c>
      <c r="H2736" t="s">
        <v>7867</v>
      </c>
    </row>
    <row r="2737" spans="1:8" x14ac:dyDescent="0.25">
      <c r="A2737">
        <v>2736</v>
      </c>
      <c r="B2737" t="s">
        <v>3396</v>
      </c>
      <c r="C2737" t="s">
        <v>73</v>
      </c>
      <c r="D2737" t="str">
        <f t="shared" si="91"/>
        <v/>
      </c>
      <c r="E2737" t="str">
        <f t="shared" si="90"/>
        <v>wharf rat</v>
      </c>
      <c r="F2737" t="s">
        <v>7664</v>
      </c>
      <c r="G2737" t="str">
        <f>_xlfn.IFNA(VLOOKUP(F2737,songs!$B$1:$C$1539, 2, FALSE),"")</f>
        <v>Wharf Rat</v>
      </c>
      <c r="H2737" t="s">
        <v>73</v>
      </c>
    </row>
    <row r="2738" spans="1:8" x14ac:dyDescent="0.25">
      <c r="A2738">
        <v>2748</v>
      </c>
      <c r="B2738" t="s">
        <v>3410</v>
      </c>
      <c r="C2738" t="s">
        <v>3411</v>
      </c>
      <c r="D2738" t="str">
        <f t="shared" si="91"/>
        <v/>
      </c>
      <c r="E2738" t="str">
        <f t="shared" si="90"/>
        <v>not fade away pt 2</v>
      </c>
      <c r="F2738" t="s">
        <v>6651</v>
      </c>
      <c r="G2738" t="str">
        <f>_xlfn.IFNA(VLOOKUP(F2738,songs!$B$1:$C$1539, 2, FALSE),"")</f>
        <v>Not Fade Away</v>
      </c>
      <c r="H2738" t="s">
        <v>7867</v>
      </c>
    </row>
    <row r="2739" spans="1:8" x14ac:dyDescent="0.25">
      <c r="A2739">
        <v>2738</v>
      </c>
      <c r="B2739" t="s">
        <v>3399</v>
      </c>
      <c r="C2739" t="s">
        <v>903</v>
      </c>
      <c r="D2739" t="str">
        <f t="shared" si="91"/>
        <v/>
      </c>
      <c r="E2739" t="str">
        <f t="shared" si="90"/>
        <v>me and my uncle</v>
      </c>
      <c r="F2739" t="s">
        <v>6486</v>
      </c>
      <c r="G2739" t="str">
        <f>_xlfn.IFNA(VLOOKUP(F2739,songs!$B$1:$C$1539, 2, FALSE),"")</f>
        <v>Me And My Uncle</v>
      </c>
      <c r="H2739" t="s">
        <v>903</v>
      </c>
    </row>
    <row r="2740" spans="1:8" x14ac:dyDescent="0.25">
      <c r="A2740">
        <v>2739</v>
      </c>
      <c r="B2740" t="s">
        <v>3400</v>
      </c>
      <c r="C2740" t="s">
        <v>81</v>
      </c>
      <c r="D2740" t="str">
        <f t="shared" si="91"/>
        <v/>
      </c>
      <c r="E2740" t="str">
        <f t="shared" si="90"/>
        <v>casey jones</v>
      </c>
      <c r="F2740" t="s">
        <v>5290</v>
      </c>
      <c r="G2740" t="str">
        <f>_xlfn.IFNA(VLOOKUP(F2740,songs!$B$1:$C$1539, 2, FALSE),"")</f>
        <v>Casey Jones</v>
      </c>
      <c r="H2740" t="s">
        <v>81</v>
      </c>
    </row>
    <row r="2741" spans="1:8" x14ac:dyDescent="0.25">
      <c r="A2741">
        <v>2740</v>
      </c>
      <c r="B2741" t="s">
        <v>3401</v>
      </c>
      <c r="C2741" t="s">
        <v>419</v>
      </c>
      <c r="D2741" t="str">
        <f t="shared" si="91"/>
        <v/>
      </c>
      <c r="E2741" t="str">
        <f t="shared" si="90"/>
        <v>playing in the band</v>
      </c>
      <c r="F2741" t="s">
        <v>6769</v>
      </c>
      <c r="G2741" t="str">
        <f>_xlfn.IFNA(VLOOKUP(F2741,songs!$B$1:$C$1539, 2, FALSE),"")</f>
        <v>Playing In The Band</v>
      </c>
      <c r="H2741" t="s">
        <v>419</v>
      </c>
    </row>
    <row r="2742" spans="1:8" x14ac:dyDescent="0.25">
      <c r="A2742">
        <v>2741</v>
      </c>
      <c r="B2742" t="s">
        <v>3402</v>
      </c>
      <c r="C2742" t="s">
        <v>2869</v>
      </c>
      <c r="D2742" t="str">
        <f t="shared" si="91"/>
        <v/>
      </c>
      <c r="E2742" t="str">
        <f t="shared" si="90"/>
        <v>me and bobby mcgee</v>
      </c>
      <c r="F2742" t="s">
        <v>6483</v>
      </c>
      <c r="G2742" t="str">
        <f>_xlfn.IFNA(VLOOKUP(F2742,songs!$B$1:$C$1539, 2, FALSE),"")</f>
        <v>Me And Bobby McGee</v>
      </c>
      <c r="H2742" t="s">
        <v>1228</v>
      </c>
    </row>
    <row r="2743" spans="1:8" x14ac:dyDescent="0.25">
      <c r="A2743">
        <v>2742</v>
      </c>
      <c r="B2743" t="s">
        <v>3403</v>
      </c>
      <c r="C2743" t="s">
        <v>641</v>
      </c>
      <c r="D2743" t="str">
        <f t="shared" si="91"/>
        <v/>
      </c>
      <c r="E2743" t="str">
        <f t="shared" si="90"/>
        <v>candyman</v>
      </c>
      <c r="F2743" t="s">
        <v>5278</v>
      </c>
      <c r="G2743" t="str">
        <f>_xlfn.IFNA(VLOOKUP(F2743,songs!$B$1:$C$1539, 2, FALSE),"")</f>
        <v>Candyman</v>
      </c>
      <c r="H2743" t="s">
        <v>641</v>
      </c>
    </row>
    <row r="2744" spans="1:8" x14ac:dyDescent="0.25">
      <c r="A2744">
        <v>2743</v>
      </c>
      <c r="B2744" t="s">
        <v>3404</v>
      </c>
      <c r="C2744" t="s">
        <v>1196</v>
      </c>
      <c r="D2744" t="str">
        <f t="shared" si="91"/>
        <v/>
      </c>
      <c r="E2744" t="str">
        <f t="shared" si="90"/>
        <v>big boss man</v>
      </c>
      <c r="F2744" t="s">
        <v>5163</v>
      </c>
      <c r="G2744" t="str">
        <f>_xlfn.IFNA(VLOOKUP(F2744,songs!$B$1:$C$1539, 2, FALSE),"")</f>
        <v>Big Boss Man</v>
      </c>
      <c r="H2744" t="s">
        <v>1196</v>
      </c>
    </row>
    <row r="2745" spans="1:8" x14ac:dyDescent="0.25">
      <c r="A2745">
        <v>2744</v>
      </c>
      <c r="B2745" t="s">
        <v>3405</v>
      </c>
      <c r="C2745" t="s">
        <v>30</v>
      </c>
      <c r="D2745" t="str">
        <f t="shared" si="91"/>
        <v/>
      </c>
      <c r="E2745" t="str">
        <f t="shared" si="90"/>
        <v>sugar magnolia</v>
      </c>
      <c r="F2745" t="s">
        <v>7150</v>
      </c>
      <c r="G2745" t="str">
        <f>_xlfn.IFNA(VLOOKUP(F2745,songs!$B$1:$C$1539, 2, FALSE),"")</f>
        <v>Sugar Magnolia</v>
      </c>
      <c r="H2745" t="s">
        <v>30</v>
      </c>
    </row>
    <row r="2746" spans="1:8" x14ac:dyDescent="0.25">
      <c r="A2746">
        <v>2758</v>
      </c>
      <c r="B2746" t="s">
        <v>3421</v>
      </c>
      <c r="C2746" t="s">
        <v>3422</v>
      </c>
      <c r="D2746" t="str">
        <f t="shared" si="91"/>
        <v/>
      </c>
      <c r="E2746" t="str">
        <f t="shared" si="90"/>
        <v>friend of the devil (demo)</v>
      </c>
      <c r="F2746" t="s">
        <v>5721</v>
      </c>
      <c r="G2746" t="str">
        <f>_xlfn.IFNA(VLOOKUP(F2746,songs!$B$1:$C$1539, 2, FALSE),"")</f>
        <v>Friend Of The Devil</v>
      </c>
      <c r="H2746" t="s">
        <v>7867</v>
      </c>
    </row>
    <row r="2747" spans="1:8" x14ac:dyDescent="0.25">
      <c r="A2747">
        <v>2759</v>
      </c>
      <c r="B2747" t="s">
        <v>3423</v>
      </c>
      <c r="C2747" t="s">
        <v>3424</v>
      </c>
      <c r="D2747" t="str">
        <f t="shared" si="91"/>
        <v/>
      </c>
      <c r="E2747" t="str">
        <f t="shared" si="90"/>
        <v>sugar magnolia (demo)</v>
      </c>
      <c r="F2747" t="s">
        <v>7150</v>
      </c>
      <c r="G2747" t="str">
        <f>_xlfn.IFNA(VLOOKUP(F2747,songs!$B$1:$C$1539, 2, FALSE),"")</f>
        <v>Sugar Magnolia</v>
      </c>
      <c r="H2747" t="s">
        <v>7867</v>
      </c>
    </row>
    <row r="2748" spans="1:8" x14ac:dyDescent="0.25">
      <c r="A2748">
        <v>2760</v>
      </c>
      <c r="B2748" t="s">
        <v>3425</v>
      </c>
      <c r="C2748" t="s">
        <v>3426</v>
      </c>
      <c r="D2748" t="str">
        <f t="shared" si="91"/>
        <v/>
      </c>
      <c r="E2748" t="str">
        <f t="shared" si="90"/>
        <v>candyman (demo)</v>
      </c>
      <c r="F2748" t="s">
        <v>5278</v>
      </c>
      <c r="G2748" t="str">
        <f>_xlfn.IFNA(VLOOKUP(F2748,songs!$B$1:$C$1539, 2, FALSE),"")</f>
        <v>Candyman</v>
      </c>
      <c r="H2748" t="s">
        <v>7867</v>
      </c>
    </row>
    <row r="2749" spans="1:8" x14ac:dyDescent="0.25">
      <c r="A2749">
        <v>2761</v>
      </c>
      <c r="B2749" t="s">
        <v>3427</v>
      </c>
      <c r="C2749" t="s">
        <v>3428</v>
      </c>
      <c r="D2749" t="str">
        <f t="shared" si="91"/>
        <v/>
      </c>
      <c r="E2749" t="str">
        <f t="shared" si="90"/>
        <v>to lay me down (demo)</v>
      </c>
      <c r="F2749" t="s">
        <v>7397</v>
      </c>
      <c r="G2749" t="str">
        <f>_xlfn.IFNA(VLOOKUP(F2749,songs!$B$1:$C$1539, 2, FALSE),"")</f>
        <v>To Lay Me Down</v>
      </c>
      <c r="H2749" t="s">
        <v>7867</v>
      </c>
    </row>
    <row r="2750" spans="1:8" x14ac:dyDescent="0.25">
      <c r="A2750">
        <v>2749</v>
      </c>
      <c r="B2750" t="s">
        <v>3412</v>
      </c>
      <c r="C2750" t="s">
        <v>133</v>
      </c>
      <c r="D2750" t="str">
        <f t="shared" si="91"/>
        <v/>
      </c>
      <c r="E2750" t="str">
        <f t="shared" si="90"/>
        <v>uncle john's band</v>
      </c>
      <c r="F2750" t="s">
        <v>7466</v>
      </c>
      <c r="G2750" t="str">
        <f>_xlfn.IFNA(VLOOKUP(F2750,songs!$B$1:$C$1539, 2, FALSE),"")</f>
        <v>Uncle John's Band</v>
      </c>
      <c r="H2750" t="s">
        <v>133</v>
      </c>
    </row>
    <row r="2751" spans="1:8" x14ac:dyDescent="0.25">
      <c r="A2751">
        <v>2750</v>
      </c>
      <c r="B2751" t="s">
        <v>3413</v>
      </c>
      <c r="C2751" t="s">
        <v>133</v>
      </c>
      <c r="D2751" t="str">
        <f t="shared" si="91"/>
        <v/>
      </c>
      <c r="E2751" t="str">
        <f t="shared" si="90"/>
        <v>uncle john's band</v>
      </c>
      <c r="F2751" t="s">
        <v>7466</v>
      </c>
      <c r="G2751" t="str">
        <f>_xlfn.IFNA(VLOOKUP(F2751,songs!$B$1:$C$1539, 2, FALSE),"")</f>
        <v>Uncle John's Band</v>
      </c>
      <c r="H2751" t="s">
        <v>133</v>
      </c>
    </row>
    <row r="2752" spans="1:8" x14ac:dyDescent="0.25">
      <c r="A2752">
        <v>2751</v>
      </c>
      <c r="B2752" t="s">
        <v>3414</v>
      </c>
      <c r="C2752" t="s">
        <v>88</v>
      </c>
      <c r="D2752" t="str">
        <f t="shared" si="91"/>
        <v/>
      </c>
      <c r="E2752" t="str">
        <f t="shared" si="90"/>
        <v>high time</v>
      </c>
      <c r="F2752" t="s">
        <v>5920</v>
      </c>
      <c r="G2752" t="str">
        <f>_xlfn.IFNA(VLOOKUP(F2752,songs!$B$1:$C$1539, 2, FALSE),"")</f>
        <v>High Time</v>
      </c>
      <c r="H2752" t="s">
        <v>88</v>
      </c>
    </row>
    <row r="2753" spans="1:8" x14ac:dyDescent="0.25">
      <c r="A2753">
        <v>2752</v>
      </c>
      <c r="B2753" t="s">
        <v>3415</v>
      </c>
      <c r="C2753" t="s">
        <v>90</v>
      </c>
      <c r="D2753" t="str">
        <f t="shared" si="91"/>
        <v/>
      </c>
      <c r="E2753" t="str">
        <f t="shared" si="90"/>
        <v>dire wolf</v>
      </c>
      <c r="F2753" t="s">
        <v>5497</v>
      </c>
      <c r="G2753" t="str">
        <f>_xlfn.IFNA(VLOOKUP(F2753,songs!$B$1:$C$1539, 2, FALSE),"")</f>
        <v>Dire Wolf</v>
      </c>
      <c r="H2753" t="s">
        <v>90</v>
      </c>
    </row>
    <row r="2754" spans="1:8" x14ac:dyDescent="0.25">
      <c r="A2754">
        <v>2753</v>
      </c>
      <c r="B2754" t="s">
        <v>3416</v>
      </c>
      <c r="C2754" t="s">
        <v>1435</v>
      </c>
      <c r="D2754" t="str">
        <f t="shared" si="91"/>
        <v/>
      </c>
      <c r="E2754" t="str">
        <f t="shared" si="90"/>
        <v>new speedway boogie</v>
      </c>
      <c r="F2754" t="s">
        <v>6624</v>
      </c>
      <c r="G2754" t="str">
        <f>_xlfn.IFNA(VLOOKUP(F2754,songs!$B$1:$C$1539, 2, FALSE),"")</f>
        <v>New Speedway Boogie</v>
      </c>
      <c r="H2754" t="s">
        <v>1435</v>
      </c>
    </row>
    <row r="2755" spans="1:8" x14ac:dyDescent="0.25">
      <c r="A2755">
        <v>2754</v>
      </c>
      <c r="B2755" t="s">
        <v>3417</v>
      </c>
      <c r="C2755" t="s">
        <v>225</v>
      </c>
      <c r="D2755" t="str">
        <f t="shared" si="91"/>
        <v/>
      </c>
      <c r="E2755" t="str">
        <f t="shared" si="90"/>
        <v>cumberland blues</v>
      </c>
      <c r="F2755" t="s">
        <v>5411</v>
      </c>
      <c r="G2755" t="str">
        <f>_xlfn.IFNA(VLOOKUP(F2755,songs!$B$1:$C$1539, 2, FALSE),"")</f>
        <v>Cumberland Blues</v>
      </c>
      <c r="H2755" t="s">
        <v>225</v>
      </c>
    </row>
    <row r="2756" spans="1:8" x14ac:dyDescent="0.25">
      <c r="A2756">
        <v>2755</v>
      </c>
      <c r="B2756" t="s">
        <v>3418</v>
      </c>
      <c r="C2756" t="s">
        <v>221</v>
      </c>
      <c r="D2756" t="str">
        <f t="shared" si="91"/>
        <v/>
      </c>
      <c r="E2756" t="str">
        <f t="shared" ref="E2756:E2819" si="92">LOWER(TRIM(SUBSTITUTE(IF(RIGHT(TRIM(C2756),2)="-&gt;",LEFT(TRIM(C2756),LEN(TRIM(C2756))-2),IF(RIGHT(TRIM(C2756),1)="&gt;",LEFT(TRIM(C2756),LEN(TRIM(C2756))-1),C2756)),"//","")))</f>
        <v>black peter</v>
      </c>
      <c r="F2756" t="s">
        <v>5190</v>
      </c>
      <c r="G2756" t="str">
        <f>_xlfn.IFNA(VLOOKUP(F2756,songs!$B$1:$C$1539, 2, FALSE),"")</f>
        <v>Black Peter</v>
      </c>
      <c r="H2756" t="s">
        <v>221</v>
      </c>
    </row>
    <row r="2757" spans="1:8" x14ac:dyDescent="0.25">
      <c r="A2757">
        <v>2756</v>
      </c>
      <c r="B2757" t="s">
        <v>3419</v>
      </c>
      <c r="C2757" t="s">
        <v>483</v>
      </c>
      <c r="D2757" t="str">
        <f t="shared" si="91"/>
        <v/>
      </c>
      <c r="E2757" t="str">
        <f t="shared" si="92"/>
        <v>easy wind</v>
      </c>
      <c r="F2757" t="s">
        <v>5587</v>
      </c>
      <c r="G2757" t="str">
        <f>_xlfn.IFNA(VLOOKUP(F2757,songs!$B$1:$C$1539, 2, FALSE),"")</f>
        <v>Easy Wind</v>
      </c>
      <c r="H2757" t="s">
        <v>483</v>
      </c>
    </row>
    <row r="2758" spans="1:8" x14ac:dyDescent="0.25">
      <c r="A2758">
        <v>2757</v>
      </c>
      <c r="B2758" t="s">
        <v>3420</v>
      </c>
      <c r="C2758" t="s">
        <v>81</v>
      </c>
      <c r="D2758" t="str">
        <f t="shared" si="91"/>
        <v/>
      </c>
      <c r="E2758" t="str">
        <f t="shared" si="92"/>
        <v>casey jones</v>
      </c>
      <c r="F2758" t="s">
        <v>5290</v>
      </c>
      <c r="G2758" t="str">
        <f>_xlfn.IFNA(VLOOKUP(F2758,songs!$B$1:$C$1539, 2, FALSE),"")</f>
        <v>Casey Jones</v>
      </c>
      <c r="H2758" t="s">
        <v>81</v>
      </c>
    </row>
    <row r="2759" spans="1:8" x14ac:dyDescent="0.25">
      <c r="A2759">
        <v>2762</v>
      </c>
      <c r="B2759" t="s">
        <v>3429</v>
      </c>
      <c r="C2759" t="s">
        <v>3430</v>
      </c>
      <c r="D2759" t="str">
        <f t="shared" si="91"/>
        <v/>
      </c>
      <c r="E2759" t="str">
        <f t="shared" si="92"/>
        <v>truckin' (demo)</v>
      </c>
      <c r="F2759" t="s">
        <v>7436</v>
      </c>
      <c r="G2759" t="str">
        <f>_xlfn.IFNA(VLOOKUP(F2759,songs!$B$1:$C$1539, 2, FALSE),"")</f>
        <v>Truckin'</v>
      </c>
      <c r="H2759" t="s">
        <v>7867</v>
      </c>
    </row>
    <row r="2760" spans="1:8" x14ac:dyDescent="0.25">
      <c r="A2760">
        <v>2763</v>
      </c>
      <c r="B2760" t="s">
        <v>3431</v>
      </c>
      <c r="C2760" t="s">
        <v>3432</v>
      </c>
      <c r="D2760" t="str">
        <f t="shared" si="91"/>
        <v/>
      </c>
      <c r="E2760" t="str">
        <f t="shared" si="92"/>
        <v>hand me down (ripple) (demo)</v>
      </c>
      <c r="F2760" t="s">
        <v>6864</v>
      </c>
      <c r="G2760" t="str">
        <f>_xlfn.IFNA(VLOOKUP(F2760,songs!$B$1:$C$1539, 2, FALSE),"")</f>
        <v>Ripple</v>
      </c>
      <c r="H2760" t="s">
        <v>7867</v>
      </c>
    </row>
    <row r="2761" spans="1:8" x14ac:dyDescent="0.25">
      <c r="A2761">
        <v>2764</v>
      </c>
      <c r="B2761" t="s">
        <v>3433</v>
      </c>
      <c r="C2761" t="s">
        <v>3434</v>
      </c>
      <c r="D2761" t="str">
        <f t="shared" ref="D2761:D2824" si="93">IF(RIGHT(TRIM(C2761),2)="-&gt;","&gt;",IF(RIGHT(TRIM(C2761),1)="&gt;","&gt;",""))</f>
        <v/>
      </c>
      <c r="E2761" t="str">
        <f t="shared" si="92"/>
        <v>brokedown palace (demo)</v>
      </c>
      <c r="F2761" t="s">
        <v>5250</v>
      </c>
      <c r="G2761" t="str">
        <f>_xlfn.IFNA(VLOOKUP(F2761,songs!$B$1:$C$1539, 2, FALSE),"")</f>
        <v>Brokedown Palace</v>
      </c>
      <c r="H2761" t="s">
        <v>7867</v>
      </c>
    </row>
    <row r="2762" spans="1:8" x14ac:dyDescent="0.25">
      <c r="A2762">
        <v>2765</v>
      </c>
      <c r="B2762" t="s">
        <v>3435</v>
      </c>
      <c r="C2762" t="s">
        <v>3436</v>
      </c>
      <c r="D2762" t="str">
        <f t="shared" si="93"/>
        <v/>
      </c>
      <c r="E2762" t="str">
        <f t="shared" si="92"/>
        <v>till the morning comes (demo)</v>
      </c>
      <c r="F2762" t="s">
        <v>7392</v>
      </c>
      <c r="G2762" t="str">
        <f>_xlfn.IFNA(VLOOKUP(F2762,songs!$B$1:$C$1539, 2, FALSE),"")</f>
        <v>Till The Morning Comes</v>
      </c>
      <c r="H2762" t="s">
        <v>7867</v>
      </c>
    </row>
    <row r="2763" spans="1:8" x14ac:dyDescent="0.25">
      <c r="A2763">
        <v>2766</v>
      </c>
      <c r="B2763" t="s">
        <v>3437</v>
      </c>
      <c r="C2763" t="s">
        <v>3438</v>
      </c>
      <c r="D2763" t="str">
        <f t="shared" si="93"/>
        <v/>
      </c>
      <c r="E2763" t="str">
        <f t="shared" si="92"/>
        <v>attics of my life (demo)</v>
      </c>
      <c r="F2763" t="s">
        <v>5108</v>
      </c>
      <c r="G2763" t="str">
        <f>_xlfn.IFNA(VLOOKUP(F2763,songs!$B$1:$C$1539, 2, FALSE),"")</f>
        <v>Attics Of My Life</v>
      </c>
      <c r="H2763" t="s">
        <v>7867</v>
      </c>
    </row>
    <row r="2764" spans="1:8" x14ac:dyDescent="0.25">
      <c r="A2764">
        <v>2767</v>
      </c>
      <c r="B2764" t="s">
        <v>3439</v>
      </c>
      <c r="C2764" t="s">
        <v>3440</v>
      </c>
      <c r="D2764" t="str">
        <f t="shared" si="93"/>
        <v/>
      </c>
      <c r="E2764" t="str">
        <f t="shared" si="92"/>
        <v>operator (demo)</v>
      </c>
      <c r="F2764" t="s">
        <v>6713</v>
      </c>
      <c r="G2764" t="str">
        <f>_xlfn.IFNA(VLOOKUP(F2764,songs!$B$1:$C$1539, 2, FALSE),"")</f>
        <v>Operator</v>
      </c>
      <c r="H2764" t="s">
        <v>7867</v>
      </c>
    </row>
    <row r="2765" spans="1:8" x14ac:dyDescent="0.25">
      <c r="A2765">
        <v>2768</v>
      </c>
      <c r="B2765" t="s">
        <v>3441</v>
      </c>
      <c r="C2765" t="s">
        <v>3442</v>
      </c>
      <c r="D2765" t="str">
        <f t="shared" si="93"/>
        <v/>
      </c>
      <c r="E2765" t="str">
        <f t="shared" si="92"/>
        <v>box of rain (acoustic mix)</v>
      </c>
      <c r="F2765" t="s">
        <v>5237</v>
      </c>
      <c r="G2765" t="str">
        <f>_xlfn.IFNA(VLOOKUP(F2765,songs!$B$1:$C$1539, 2, FALSE),"")</f>
        <v>Box Of Rain</v>
      </c>
      <c r="H2765" t="s">
        <v>7867</v>
      </c>
    </row>
    <row r="2766" spans="1:8" x14ac:dyDescent="0.25">
      <c r="A2766">
        <v>2769</v>
      </c>
      <c r="B2766" t="s">
        <v>3443</v>
      </c>
      <c r="C2766" t="s">
        <v>3444</v>
      </c>
      <c r="D2766" t="str">
        <f t="shared" si="93"/>
        <v/>
      </c>
      <c r="E2766" t="str">
        <f t="shared" si="92"/>
        <v>candyman (alternate take)</v>
      </c>
      <c r="F2766" t="s">
        <v>5278</v>
      </c>
      <c r="G2766" t="str">
        <f>_xlfn.IFNA(VLOOKUP(F2766,songs!$B$1:$C$1539, 2, FALSE),"")</f>
        <v>Candyman</v>
      </c>
      <c r="H2766" t="s">
        <v>7867</v>
      </c>
    </row>
    <row r="2767" spans="1:8" x14ac:dyDescent="0.25">
      <c r="A2767">
        <v>2770</v>
      </c>
      <c r="B2767" t="s">
        <v>3445</v>
      </c>
      <c r="C2767" t="s">
        <v>3446</v>
      </c>
      <c r="D2767" t="str">
        <f t="shared" si="93"/>
        <v/>
      </c>
      <c r="E2767" t="str">
        <f t="shared" si="92"/>
        <v>truckin' (alternate mix)</v>
      </c>
      <c r="F2767" t="s">
        <v>7436</v>
      </c>
      <c r="G2767" t="str">
        <f>_xlfn.IFNA(VLOOKUP(F2767,songs!$B$1:$C$1539, 2, FALSE),"")</f>
        <v>Truckin'</v>
      </c>
      <c r="H2767" t="s">
        <v>7867</v>
      </c>
    </row>
    <row r="2768" spans="1:8" x14ac:dyDescent="0.25">
      <c r="A2768">
        <v>2771</v>
      </c>
      <c r="B2768" t="s">
        <v>3447</v>
      </c>
      <c r="C2768" t="s">
        <v>3448</v>
      </c>
      <c r="D2768" t="str">
        <f t="shared" si="93"/>
        <v/>
      </c>
      <c r="E2768" t="str">
        <f t="shared" si="92"/>
        <v>operator (take 2 breakdown) (slated)</v>
      </c>
      <c r="F2768" t="s">
        <v>6713</v>
      </c>
      <c r="G2768" t="str">
        <f>_xlfn.IFNA(VLOOKUP(F2768,songs!$B$1:$C$1539, 2, FALSE),"")</f>
        <v>Operator</v>
      </c>
      <c r="H2768" t="s">
        <v>7867</v>
      </c>
    </row>
    <row r="2769" spans="1:8" x14ac:dyDescent="0.25">
      <c r="A2769">
        <v>2772</v>
      </c>
      <c r="B2769" t="s">
        <v>3449</v>
      </c>
      <c r="C2769" t="s">
        <v>3450</v>
      </c>
      <c r="D2769" t="str">
        <f t="shared" si="93"/>
        <v/>
      </c>
      <c r="E2769" t="str">
        <f t="shared" si="92"/>
        <v>operator (take 3) (slated)</v>
      </c>
      <c r="F2769" t="s">
        <v>6713</v>
      </c>
      <c r="G2769" t="str">
        <f>_xlfn.IFNA(VLOOKUP(F2769,songs!$B$1:$C$1539, 2, FALSE),"")</f>
        <v>Operator</v>
      </c>
      <c r="H2769" t="s">
        <v>7867</v>
      </c>
    </row>
    <row r="2770" spans="1:8" x14ac:dyDescent="0.25">
      <c r="A2770">
        <v>2773</v>
      </c>
      <c r="B2770" t="s">
        <v>3451</v>
      </c>
      <c r="C2770" t="s">
        <v>3452</v>
      </c>
      <c r="D2770" t="str">
        <f t="shared" si="93"/>
        <v/>
      </c>
      <c r="E2770" t="str">
        <f t="shared" si="92"/>
        <v>operator (take 4 breakdown) (slated)</v>
      </c>
      <c r="F2770" t="s">
        <v>6713</v>
      </c>
      <c r="G2770" t="str">
        <f>_xlfn.IFNA(VLOOKUP(F2770,songs!$B$1:$C$1539, 2, FALSE),"")</f>
        <v>Operator</v>
      </c>
      <c r="H2770" t="s">
        <v>7867</v>
      </c>
    </row>
    <row r="2771" spans="1:8" x14ac:dyDescent="0.25">
      <c r="A2771">
        <v>2774</v>
      </c>
      <c r="B2771" t="s">
        <v>3453</v>
      </c>
      <c r="C2771" t="s">
        <v>3454</v>
      </c>
      <c r="D2771" t="str">
        <f t="shared" si="93"/>
        <v/>
      </c>
      <c r="E2771" t="str">
        <f t="shared" si="92"/>
        <v>operator (take 5, misnamed as take 6) (slated)</v>
      </c>
      <c r="F2771" t="s">
        <v>6713</v>
      </c>
      <c r="G2771" t="str">
        <f>_xlfn.IFNA(VLOOKUP(F2771,songs!$B$1:$C$1539, 2, FALSE),"")</f>
        <v>Operator</v>
      </c>
      <c r="H2771" t="s">
        <v>7867</v>
      </c>
    </row>
    <row r="2772" spans="1:8" x14ac:dyDescent="0.25">
      <c r="A2772">
        <v>2775</v>
      </c>
      <c r="B2772" t="s">
        <v>3455</v>
      </c>
      <c r="C2772" t="s">
        <v>3456</v>
      </c>
      <c r="D2772" t="str">
        <f t="shared" si="93"/>
        <v/>
      </c>
      <c r="E2772" t="str">
        <f t="shared" si="92"/>
        <v>operator (take 6 breakdown) (slated)</v>
      </c>
      <c r="F2772" t="s">
        <v>6713</v>
      </c>
      <c r="G2772" t="str">
        <f>_xlfn.IFNA(VLOOKUP(F2772,songs!$B$1:$C$1539, 2, FALSE),"")</f>
        <v>Operator</v>
      </c>
      <c r="H2772" t="s">
        <v>7867</v>
      </c>
    </row>
    <row r="2773" spans="1:8" x14ac:dyDescent="0.25">
      <c r="A2773">
        <v>2776</v>
      </c>
      <c r="B2773" t="s">
        <v>3457</v>
      </c>
      <c r="C2773" t="s">
        <v>3458</v>
      </c>
      <c r="D2773" t="str">
        <f t="shared" si="93"/>
        <v/>
      </c>
      <c r="E2773" t="str">
        <f t="shared" si="92"/>
        <v>operator (take 7 breakdown) (slated)</v>
      </c>
      <c r="F2773" t="s">
        <v>6713</v>
      </c>
      <c r="G2773" t="str">
        <f>_xlfn.IFNA(VLOOKUP(F2773,songs!$B$1:$C$1539, 2, FALSE),"")</f>
        <v>Operator</v>
      </c>
      <c r="H2773" t="s">
        <v>7867</v>
      </c>
    </row>
    <row r="2774" spans="1:8" x14ac:dyDescent="0.25">
      <c r="A2774">
        <v>2777</v>
      </c>
      <c r="B2774" t="s">
        <v>3459</v>
      </c>
      <c r="C2774" t="s">
        <v>3460</v>
      </c>
      <c r="D2774" t="str">
        <f t="shared" si="93"/>
        <v/>
      </c>
      <c r="E2774" t="str">
        <f t="shared" si="92"/>
        <v>operator (take 8) (slated)</v>
      </c>
      <c r="F2774" t="s">
        <v>6713</v>
      </c>
      <c r="G2774" t="str">
        <f>_xlfn.IFNA(VLOOKUP(F2774,songs!$B$1:$C$1539, 2, FALSE),"")</f>
        <v>Operator</v>
      </c>
      <c r="H2774" t="s">
        <v>7867</v>
      </c>
    </row>
    <row r="2775" spans="1:8" x14ac:dyDescent="0.25">
      <c r="A2775">
        <v>2778</v>
      </c>
      <c r="B2775" t="s">
        <v>3461</v>
      </c>
      <c r="C2775" t="s">
        <v>3462</v>
      </c>
      <c r="D2775" t="str">
        <f t="shared" si="93"/>
        <v/>
      </c>
      <c r="E2775" t="str">
        <f t="shared" si="92"/>
        <v>friend of the devil (take 1 breakdown) (slated)</v>
      </c>
      <c r="F2775" t="s">
        <v>5721</v>
      </c>
      <c r="G2775" t="str">
        <f>_xlfn.IFNA(VLOOKUP(F2775,songs!$B$1:$C$1539, 2, FALSE),"")</f>
        <v>Friend Of The Devil</v>
      </c>
      <c r="H2775" t="s">
        <v>7867</v>
      </c>
    </row>
    <row r="2776" spans="1:8" x14ac:dyDescent="0.25">
      <c r="A2776">
        <v>2779</v>
      </c>
      <c r="B2776" t="s">
        <v>3463</v>
      </c>
      <c r="C2776" t="s">
        <v>3464</v>
      </c>
      <c r="D2776" t="str">
        <f t="shared" si="93"/>
        <v/>
      </c>
      <c r="E2776" t="str">
        <f t="shared" si="92"/>
        <v>friend of the devil (take 2 breakdown) (slated)</v>
      </c>
      <c r="F2776" t="s">
        <v>5721</v>
      </c>
      <c r="G2776" t="str">
        <f>_xlfn.IFNA(VLOOKUP(F2776,songs!$B$1:$C$1539, 2, FALSE),"")</f>
        <v>Friend Of The Devil</v>
      </c>
      <c r="H2776" t="s">
        <v>7867</v>
      </c>
    </row>
    <row r="2777" spans="1:8" x14ac:dyDescent="0.25">
      <c r="A2777">
        <v>2780</v>
      </c>
      <c r="B2777" t="s">
        <v>3465</v>
      </c>
      <c r="C2777" t="s">
        <v>3466</v>
      </c>
      <c r="D2777" t="str">
        <f t="shared" si="93"/>
        <v/>
      </c>
      <c r="E2777" t="str">
        <f t="shared" si="92"/>
        <v>friend of the devil (take 3 breakdown) (slated)</v>
      </c>
      <c r="F2777" t="s">
        <v>5721</v>
      </c>
      <c r="G2777" t="str">
        <f>_xlfn.IFNA(VLOOKUP(F2777,songs!$B$1:$C$1539, 2, FALSE),"")</f>
        <v>Friend Of The Devil</v>
      </c>
      <c r="H2777" t="s">
        <v>7867</v>
      </c>
    </row>
    <row r="2778" spans="1:8" x14ac:dyDescent="0.25">
      <c r="A2778">
        <v>2781</v>
      </c>
      <c r="B2778" t="s">
        <v>3467</v>
      </c>
      <c r="C2778" t="s">
        <v>3468</v>
      </c>
      <c r="D2778" t="str">
        <f t="shared" si="93"/>
        <v/>
      </c>
      <c r="E2778" t="str">
        <f t="shared" si="92"/>
        <v>friend of the devil (take 4 breakdown) (slated)</v>
      </c>
      <c r="F2778" t="s">
        <v>5721</v>
      </c>
      <c r="G2778" t="str">
        <f>_xlfn.IFNA(VLOOKUP(F2778,songs!$B$1:$C$1539, 2, FALSE),"")</f>
        <v>Friend Of The Devil</v>
      </c>
      <c r="H2778" t="s">
        <v>7867</v>
      </c>
    </row>
    <row r="2779" spans="1:8" x14ac:dyDescent="0.25">
      <c r="A2779">
        <v>2782</v>
      </c>
      <c r="B2779" t="s">
        <v>3469</v>
      </c>
      <c r="C2779" t="s">
        <v>3470</v>
      </c>
      <c r="D2779" t="str">
        <f t="shared" si="93"/>
        <v/>
      </c>
      <c r="E2779" t="str">
        <f t="shared" si="92"/>
        <v>friend of the devil (take 5) (slated)</v>
      </c>
      <c r="F2779" t="s">
        <v>5721</v>
      </c>
      <c r="G2779" t="str">
        <f>_xlfn.IFNA(VLOOKUP(F2779,songs!$B$1:$C$1539, 2, FALSE),"")</f>
        <v>Friend Of The Devil</v>
      </c>
      <c r="H2779" t="s">
        <v>7867</v>
      </c>
    </row>
    <row r="2780" spans="1:8" x14ac:dyDescent="0.25">
      <c r="A2780">
        <v>2783</v>
      </c>
      <c r="B2780" t="s">
        <v>3471</v>
      </c>
      <c r="C2780" t="s">
        <v>3472</v>
      </c>
      <c r="D2780" t="str">
        <f t="shared" si="93"/>
        <v/>
      </c>
      <c r="E2780" t="str">
        <f t="shared" si="92"/>
        <v>friend of the devil (take 6) (slated)</v>
      </c>
      <c r="F2780" t="s">
        <v>5721</v>
      </c>
      <c r="G2780" t="str">
        <f>_xlfn.IFNA(VLOOKUP(F2780,songs!$B$1:$C$1539, 2, FALSE),"")</f>
        <v>Friend Of The Devil</v>
      </c>
      <c r="H2780" t="s">
        <v>7867</v>
      </c>
    </row>
    <row r="2781" spans="1:8" x14ac:dyDescent="0.25">
      <c r="A2781">
        <v>2784</v>
      </c>
      <c r="B2781" t="s">
        <v>3473</v>
      </c>
      <c r="C2781" t="s">
        <v>3474</v>
      </c>
      <c r="D2781" t="str">
        <f t="shared" si="93"/>
        <v/>
      </c>
      <c r="E2781" t="str">
        <f t="shared" si="92"/>
        <v>friend of the devil (arranging take 1) (not slated)</v>
      </c>
      <c r="F2781" t="s">
        <v>5721</v>
      </c>
      <c r="G2781" t="str">
        <f>_xlfn.IFNA(VLOOKUP(F2781,songs!$B$1:$C$1539, 2, FALSE),"")</f>
        <v>Friend Of The Devil</v>
      </c>
      <c r="H2781" t="s">
        <v>7867</v>
      </c>
    </row>
    <row r="2782" spans="1:8" x14ac:dyDescent="0.25">
      <c r="A2782">
        <v>2785</v>
      </c>
      <c r="B2782" t="s">
        <v>3475</v>
      </c>
      <c r="C2782" t="s">
        <v>3476</v>
      </c>
      <c r="D2782" t="str">
        <f t="shared" si="93"/>
        <v/>
      </c>
      <c r="E2782" t="str">
        <f t="shared" si="92"/>
        <v>friend of the devil (arranging take 2) (not slated)</v>
      </c>
      <c r="F2782" t="s">
        <v>5721</v>
      </c>
      <c r="G2782" t="str">
        <f>_xlfn.IFNA(VLOOKUP(F2782,songs!$B$1:$C$1539, 2, FALSE),"")</f>
        <v>Friend Of The Devil</v>
      </c>
      <c r="H2782" t="s">
        <v>7867</v>
      </c>
    </row>
    <row r="2783" spans="1:8" x14ac:dyDescent="0.25">
      <c r="A2783">
        <v>2786</v>
      </c>
      <c r="B2783" t="s">
        <v>3477</v>
      </c>
      <c r="C2783" t="s">
        <v>3478</v>
      </c>
      <c r="D2783" t="str">
        <f t="shared" si="93"/>
        <v/>
      </c>
      <c r="E2783" t="str">
        <f t="shared" si="92"/>
        <v>friend of the devil (arranging take 3) (not slated)</v>
      </c>
      <c r="F2783" t="s">
        <v>5721</v>
      </c>
      <c r="G2783" t="str">
        <f>_xlfn.IFNA(VLOOKUP(F2783,songs!$B$1:$C$1539, 2, FALSE),"")</f>
        <v>Friend Of The Devil</v>
      </c>
      <c r="H2783" t="s">
        <v>7867</v>
      </c>
    </row>
    <row r="2784" spans="1:8" x14ac:dyDescent="0.25">
      <c r="A2784">
        <v>2787</v>
      </c>
      <c r="B2784" t="s">
        <v>3479</v>
      </c>
      <c r="C2784" t="s">
        <v>3480</v>
      </c>
      <c r="D2784" t="str">
        <f t="shared" si="93"/>
        <v/>
      </c>
      <c r="E2784" t="str">
        <f t="shared" si="92"/>
        <v>friend of the devil (take 9 breakdown) (slated)</v>
      </c>
      <c r="F2784" t="s">
        <v>5721</v>
      </c>
      <c r="G2784" t="str">
        <f>_xlfn.IFNA(VLOOKUP(F2784,songs!$B$1:$C$1539, 2, FALSE),"")</f>
        <v>Friend Of The Devil</v>
      </c>
      <c r="H2784" t="s">
        <v>7867</v>
      </c>
    </row>
    <row r="2785" spans="1:8" x14ac:dyDescent="0.25">
      <c r="A2785">
        <v>2788</v>
      </c>
      <c r="B2785" t="s">
        <v>3481</v>
      </c>
      <c r="C2785" t="s">
        <v>3482</v>
      </c>
      <c r="D2785" t="str">
        <f t="shared" si="93"/>
        <v/>
      </c>
      <c r="E2785" t="str">
        <f t="shared" si="92"/>
        <v>friend of the devil (take 10 breakdown) (slated)</v>
      </c>
      <c r="F2785" t="s">
        <v>5721</v>
      </c>
      <c r="G2785" t="str">
        <f>_xlfn.IFNA(VLOOKUP(F2785,songs!$B$1:$C$1539, 2, FALSE),"")</f>
        <v>Friend Of The Devil</v>
      </c>
      <c r="H2785" t="s">
        <v>7867</v>
      </c>
    </row>
    <row r="2786" spans="1:8" x14ac:dyDescent="0.25">
      <c r="A2786">
        <v>2789</v>
      </c>
      <c r="B2786" t="s">
        <v>3483</v>
      </c>
      <c r="C2786" t="s">
        <v>3484</v>
      </c>
      <c r="D2786" t="str">
        <f t="shared" si="93"/>
        <v/>
      </c>
      <c r="E2786" t="str">
        <f t="shared" si="92"/>
        <v>friend of the devil (take 11) (slated)</v>
      </c>
      <c r="F2786" t="s">
        <v>5721</v>
      </c>
      <c r="G2786" t="str">
        <f>_xlfn.IFNA(VLOOKUP(F2786,songs!$B$1:$C$1539, 2, FALSE),"")</f>
        <v>Friend Of The Devil</v>
      </c>
      <c r="H2786" t="s">
        <v>7867</v>
      </c>
    </row>
    <row r="2787" spans="1:8" x14ac:dyDescent="0.25">
      <c r="A2787">
        <v>2790</v>
      </c>
      <c r="B2787" t="s">
        <v>3485</v>
      </c>
      <c r="C2787" t="s">
        <v>3486</v>
      </c>
      <c r="D2787" t="str">
        <f t="shared" si="93"/>
        <v/>
      </c>
      <c r="E2787" t="str">
        <f t="shared" si="92"/>
        <v>friend of the devil (take 12 breakdown) (slated)</v>
      </c>
      <c r="F2787" t="s">
        <v>5721</v>
      </c>
      <c r="G2787" t="str">
        <f>_xlfn.IFNA(VLOOKUP(F2787,songs!$B$1:$C$1539, 2, FALSE),"")</f>
        <v>Friend Of The Devil</v>
      </c>
      <c r="H2787" t="s">
        <v>7867</v>
      </c>
    </row>
    <row r="2788" spans="1:8" x14ac:dyDescent="0.25">
      <c r="A2788">
        <v>2791</v>
      </c>
      <c r="B2788" t="s">
        <v>3487</v>
      </c>
      <c r="C2788" t="s">
        <v>3488</v>
      </c>
      <c r="D2788" t="str">
        <f t="shared" si="93"/>
        <v/>
      </c>
      <c r="E2788" t="str">
        <f t="shared" si="92"/>
        <v>friend of the devil (take 13) (not slated)</v>
      </c>
      <c r="F2788" t="s">
        <v>5721</v>
      </c>
      <c r="G2788" t="str">
        <f>_xlfn.IFNA(VLOOKUP(F2788,songs!$B$1:$C$1539, 2, FALSE),"")</f>
        <v>Friend Of The Devil</v>
      </c>
      <c r="H2788" t="s">
        <v>7867</v>
      </c>
    </row>
    <row r="2789" spans="1:8" x14ac:dyDescent="0.25">
      <c r="A2789">
        <v>2792</v>
      </c>
      <c r="B2789" t="s">
        <v>3489</v>
      </c>
      <c r="C2789" t="s">
        <v>3490</v>
      </c>
      <c r="D2789" t="str">
        <f t="shared" si="93"/>
        <v/>
      </c>
      <c r="E2789" t="str">
        <f t="shared" si="92"/>
        <v>friend of the devil (take 14 breakdown) (slated)</v>
      </c>
      <c r="F2789" t="s">
        <v>5721</v>
      </c>
      <c r="G2789" t="str">
        <f>_xlfn.IFNA(VLOOKUP(F2789,songs!$B$1:$C$1539, 2, FALSE),"")</f>
        <v>Friend Of The Devil</v>
      </c>
      <c r="H2789" t="s">
        <v>7867</v>
      </c>
    </row>
    <row r="2790" spans="1:8" x14ac:dyDescent="0.25">
      <c r="A2790">
        <v>2793</v>
      </c>
      <c r="B2790" t="s">
        <v>3491</v>
      </c>
      <c r="C2790" t="s">
        <v>3492</v>
      </c>
      <c r="D2790" t="str">
        <f t="shared" si="93"/>
        <v/>
      </c>
      <c r="E2790" t="str">
        <f t="shared" si="92"/>
        <v>friend of the devil (take 15) (slated)</v>
      </c>
      <c r="F2790" t="s">
        <v>5721</v>
      </c>
      <c r="G2790" t="str">
        <f>_xlfn.IFNA(VLOOKUP(F2790,songs!$B$1:$C$1539, 2, FALSE),"")</f>
        <v>Friend Of The Devil</v>
      </c>
      <c r="H2790" t="s">
        <v>7867</v>
      </c>
    </row>
    <row r="2791" spans="1:8" x14ac:dyDescent="0.25">
      <c r="A2791">
        <v>2794</v>
      </c>
      <c r="B2791" t="s">
        <v>3493</v>
      </c>
      <c r="C2791" t="s">
        <v>3494</v>
      </c>
      <c r="D2791" t="str">
        <f t="shared" si="93"/>
        <v/>
      </c>
      <c r="E2791" t="str">
        <f t="shared" si="92"/>
        <v>friend of the devil (take 16) (slated)</v>
      </c>
      <c r="F2791" t="s">
        <v>5721</v>
      </c>
      <c r="G2791" t="str">
        <f>_xlfn.IFNA(VLOOKUP(F2791,songs!$B$1:$C$1539, 2, FALSE),"")</f>
        <v>Friend Of The Devil</v>
      </c>
      <c r="H2791" t="s">
        <v>7867</v>
      </c>
    </row>
    <row r="2792" spans="1:8" x14ac:dyDescent="0.25">
      <c r="A2792">
        <v>2795</v>
      </c>
      <c r="B2792" t="s">
        <v>3495</v>
      </c>
      <c r="C2792" t="s">
        <v>3496</v>
      </c>
      <c r="D2792" t="str">
        <f t="shared" si="93"/>
        <v/>
      </c>
      <c r="E2792" t="str">
        <f t="shared" si="92"/>
        <v>friend of the devil (take 17) (slated)</v>
      </c>
      <c r="F2792" t="s">
        <v>5721</v>
      </c>
      <c r="G2792" t="str">
        <f>_xlfn.IFNA(VLOOKUP(F2792,songs!$B$1:$C$1539, 2, FALSE),"")</f>
        <v>Friend Of The Devil</v>
      </c>
      <c r="H2792" t="s">
        <v>7867</v>
      </c>
    </row>
    <row r="2793" spans="1:8" x14ac:dyDescent="0.25">
      <c r="A2793">
        <v>2796</v>
      </c>
      <c r="B2793" t="s">
        <v>3497</v>
      </c>
      <c r="C2793" t="s">
        <v>3498</v>
      </c>
      <c r="D2793" t="str">
        <f t="shared" si="93"/>
        <v/>
      </c>
      <c r="E2793" t="str">
        <f t="shared" si="92"/>
        <v>friend of the devil (take 18) (slated)</v>
      </c>
      <c r="F2793" t="s">
        <v>5721</v>
      </c>
      <c r="G2793" t="str">
        <f>_xlfn.IFNA(VLOOKUP(F2793,songs!$B$1:$C$1539, 2, FALSE),"")</f>
        <v>Friend Of The Devil</v>
      </c>
      <c r="H2793" t="s">
        <v>7867</v>
      </c>
    </row>
    <row r="2794" spans="1:8" x14ac:dyDescent="0.25">
      <c r="A2794">
        <v>2797</v>
      </c>
      <c r="B2794" t="s">
        <v>3499</v>
      </c>
      <c r="C2794" t="s">
        <v>3500</v>
      </c>
      <c r="D2794" t="str">
        <f t="shared" si="93"/>
        <v/>
      </c>
      <c r="E2794" t="str">
        <f t="shared" si="92"/>
        <v>operator (take 1) (slated)</v>
      </c>
      <c r="F2794" t="s">
        <v>6713</v>
      </c>
      <c r="G2794" t="str">
        <f>_xlfn.IFNA(VLOOKUP(F2794,songs!$B$1:$C$1539, 2, FALSE),"")</f>
        <v>Operator</v>
      </c>
      <c r="H2794" t="s">
        <v>7867</v>
      </c>
    </row>
    <row r="2795" spans="1:8" x14ac:dyDescent="0.25">
      <c r="A2795">
        <v>2798</v>
      </c>
      <c r="B2795" t="s">
        <v>3501</v>
      </c>
      <c r="C2795" t="s">
        <v>3502</v>
      </c>
      <c r="D2795" t="str">
        <f t="shared" si="93"/>
        <v/>
      </c>
      <c r="E2795" t="str">
        <f t="shared" si="92"/>
        <v>friend of the devil (take 7) (slated)</v>
      </c>
      <c r="F2795" t="s">
        <v>5721</v>
      </c>
      <c r="G2795" t="str">
        <f>_xlfn.IFNA(VLOOKUP(F2795,songs!$B$1:$C$1539, 2, FALSE),"")</f>
        <v>Friend Of The Devil</v>
      </c>
      <c r="H2795" t="s">
        <v>7867</v>
      </c>
    </row>
    <row r="2796" spans="1:8" x14ac:dyDescent="0.25">
      <c r="A2796">
        <v>2799</v>
      </c>
      <c r="B2796" t="s">
        <v>3503</v>
      </c>
      <c r="C2796" t="s">
        <v>3504</v>
      </c>
      <c r="D2796" t="str">
        <f t="shared" si="93"/>
        <v/>
      </c>
      <c r="E2796" t="str">
        <f t="shared" si="92"/>
        <v>friend of the devil (take 19) (not slated)</v>
      </c>
      <c r="F2796" t="s">
        <v>5721</v>
      </c>
      <c r="G2796" t="str">
        <f>_xlfn.IFNA(VLOOKUP(F2796,songs!$B$1:$C$1539, 2, FALSE),"")</f>
        <v>Friend Of The Devil</v>
      </c>
      <c r="H2796" t="s">
        <v>7867</v>
      </c>
    </row>
    <row r="2797" spans="1:8" x14ac:dyDescent="0.25">
      <c r="A2797">
        <v>2800</v>
      </c>
      <c r="B2797" t="s">
        <v>3505</v>
      </c>
      <c r="C2797" t="s">
        <v>3506</v>
      </c>
      <c r="D2797" t="str">
        <f t="shared" si="93"/>
        <v/>
      </c>
      <c r="E2797" t="str">
        <f t="shared" si="92"/>
        <v>friend of the devil (take 20) (slated)</v>
      </c>
      <c r="F2797" t="s">
        <v>5721</v>
      </c>
      <c r="G2797" t="str">
        <f>_xlfn.IFNA(VLOOKUP(F2797,songs!$B$1:$C$1539, 2, FALSE),"")</f>
        <v>Friend Of The Devil</v>
      </c>
      <c r="H2797" t="s">
        <v>7867</v>
      </c>
    </row>
    <row r="2798" spans="1:8" x14ac:dyDescent="0.25">
      <c r="A2798">
        <v>2801</v>
      </c>
      <c r="B2798" t="s">
        <v>3507</v>
      </c>
      <c r="C2798" t="s">
        <v>3508</v>
      </c>
      <c r="D2798" t="str">
        <f t="shared" si="93"/>
        <v/>
      </c>
      <c r="E2798" t="str">
        <f t="shared" si="92"/>
        <v>attics of my life (take 1) (slated)</v>
      </c>
      <c r="F2798" t="s">
        <v>5108</v>
      </c>
      <c r="G2798" t="str">
        <f>_xlfn.IFNA(VLOOKUP(F2798,songs!$B$1:$C$1539, 2, FALSE),"")</f>
        <v>Attics Of My Life</v>
      </c>
      <c r="H2798" t="s">
        <v>7867</v>
      </c>
    </row>
    <row r="2799" spans="1:8" x14ac:dyDescent="0.25">
      <c r="A2799">
        <v>2802</v>
      </c>
      <c r="B2799" t="s">
        <v>3509</v>
      </c>
      <c r="C2799" t="s">
        <v>3510</v>
      </c>
      <c r="D2799" t="str">
        <f t="shared" si="93"/>
        <v/>
      </c>
      <c r="E2799" t="str">
        <f t="shared" si="92"/>
        <v>attics of my life (take 2 breakdown) (slated)</v>
      </c>
      <c r="F2799" t="s">
        <v>5108</v>
      </c>
      <c r="G2799" t="str">
        <f>_xlfn.IFNA(VLOOKUP(F2799,songs!$B$1:$C$1539, 2, FALSE),"")</f>
        <v>Attics Of My Life</v>
      </c>
      <c r="H2799" t="s">
        <v>7867</v>
      </c>
    </row>
    <row r="2800" spans="1:8" x14ac:dyDescent="0.25">
      <c r="A2800">
        <v>2803</v>
      </c>
      <c r="B2800" t="s">
        <v>3511</v>
      </c>
      <c r="C2800" t="s">
        <v>3512</v>
      </c>
      <c r="D2800" t="str">
        <f t="shared" si="93"/>
        <v/>
      </c>
      <c r="E2800" t="str">
        <f t="shared" si="92"/>
        <v>attics of my life (take 3 breakdown) (slated)</v>
      </c>
      <c r="F2800" t="s">
        <v>5108</v>
      </c>
      <c r="G2800" t="str">
        <f>_xlfn.IFNA(VLOOKUP(F2800,songs!$B$1:$C$1539, 2, FALSE),"")</f>
        <v>Attics Of My Life</v>
      </c>
      <c r="H2800" t="s">
        <v>7867</v>
      </c>
    </row>
    <row r="2801" spans="1:8" x14ac:dyDescent="0.25">
      <c r="A2801">
        <v>2804</v>
      </c>
      <c r="B2801" t="s">
        <v>3513</v>
      </c>
      <c r="C2801" t="s">
        <v>3514</v>
      </c>
      <c r="D2801" t="str">
        <f t="shared" si="93"/>
        <v/>
      </c>
      <c r="E2801" t="str">
        <f t="shared" si="92"/>
        <v>attics of my life (take 4 breakdown) (slated)</v>
      </c>
      <c r="F2801" t="s">
        <v>5108</v>
      </c>
      <c r="G2801" t="str">
        <f>_xlfn.IFNA(VLOOKUP(F2801,songs!$B$1:$C$1539, 2, FALSE),"")</f>
        <v>Attics Of My Life</v>
      </c>
      <c r="H2801" t="s">
        <v>7867</v>
      </c>
    </row>
    <row r="2802" spans="1:8" x14ac:dyDescent="0.25">
      <c r="A2802">
        <v>2805</v>
      </c>
      <c r="B2802" t="s">
        <v>3515</v>
      </c>
      <c r="C2802" t="s">
        <v>3516</v>
      </c>
      <c r="D2802" t="str">
        <f t="shared" si="93"/>
        <v/>
      </c>
      <c r="E2802" t="str">
        <f t="shared" si="92"/>
        <v>attics of my life (take 5) (slated)</v>
      </c>
      <c r="F2802" t="s">
        <v>5108</v>
      </c>
      <c r="G2802" t="str">
        <f>_xlfn.IFNA(VLOOKUP(F2802,songs!$B$1:$C$1539, 2, FALSE),"")</f>
        <v>Attics Of My Life</v>
      </c>
      <c r="H2802" t="s">
        <v>7867</v>
      </c>
    </row>
    <row r="2803" spans="1:8" x14ac:dyDescent="0.25">
      <c r="A2803">
        <v>2806</v>
      </c>
      <c r="B2803" t="s">
        <v>3517</v>
      </c>
      <c r="C2803" t="s">
        <v>3518</v>
      </c>
      <c r="D2803" t="str">
        <f t="shared" si="93"/>
        <v/>
      </c>
      <c r="E2803" t="str">
        <f t="shared" si="92"/>
        <v>attics of my life (solo version) (demo)</v>
      </c>
      <c r="F2803" t="s">
        <v>5108</v>
      </c>
      <c r="G2803" t="str">
        <f>_xlfn.IFNA(VLOOKUP(F2803,songs!$B$1:$C$1539, 2, FALSE),"")</f>
        <v>Attics Of My Life</v>
      </c>
      <c r="H2803" t="s">
        <v>7867</v>
      </c>
    </row>
    <row r="2804" spans="1:8" x14ac:dyDescent="0.25">
      <c r="A2804">
        <v>2807</v>
      </c>
      <c r="B2804" t="s">
        <v>3519</v>
      </c>
      <c r="C2804" t="s">
        <v>3520</v>
      </c>
      <c r="D2804" t="str">
        <f t="shared" si="93"/>
        <v/>
      </c>
      <c r="E2804" t="str">
        <f t="shared" si="92"/>
        <v>hand me down (ripple) [take 1 breakdown] (slated)</v>
      </c>
      <c r="F2804" t="s">
        <v>6864</v>
      </c>
      <c r="G2804" t="str">
        <f>_xlfn.IFNA(VLOOKUP(F2804,songs!$B$1:$C$1539, 2, FALSE),"")</f>
        <v>Ripple</v>
      </c>
      <c r="H2804" t="s">
        <v>7867</v>
      </c>
    </row>
    <row r="2805" spans="1:8" x14ac:dyDescent="0.25">
      <c r="A2805">
        <v>2808</v>
      </c>
      <c r="B2805" t="s">
        <v>3521</v>
      </c>
      <c r="C2805" t="s">
        <v>3522</v>
      </c>
      <c r="D2805" t="str">
        <f t="shared" si="93"/>
        <v/>
      </c>
      <c r="E2805" t="str">
        <f t="shared" si="92"/>
        <v>hand me down (ripple) [take 2 with vocals] (slated)</v>
      </c>
      <c r="F2805" t="s">
        <v>6864</v>
      </c>
      <c r="G2805" t="str">
        <f>_xlfn.IFNA(VLOOKUP(F2805,songs!$B$1:$C$1539, 2, FALSE),"")</f>
        <v>Ripple</v>
      </c>
      <c r="H2805" t="s">
        <v>7867</v>
      </c>
    </row>
    <row r="2806" spans="1:8" x14ac:dyDescent="0.25">
      <c r="A2806">
        <v>2809</v>
      </c>
      <c r="B2806" t="s">
        <v>3523</v>
      </c>
      <c r="C2806" t="s">
        <v>3524</v>
      </c>
      <c r="D2806" t="str">
        <f t="shared" si="93"/>
        <v/>
      </c>
      <c r="E2806" t="str">
        <f t="shared" si="92"/>
        <v>hand me down (ripple) [take 3] (slated)</v>
      </c>
      <c r="F2806" t="s">
        <v>6864</v>
      </c>
      <c r="G2806" t="str">
        <f>_xlfn.IFNA(VLOOKUP(F2806,songs!$B$1:$C$1539, 2, FALSE),"")</f>
        <v>Ripple</v>
      </c>
      <c r="H2806" t="s">
        <v>7867</v>
      </c>
    </row>
    <row r="2807" spans="1:8" x14ac:dyDescent="0.25">
      <c r="A2807">
        <v>2810</v>
      </c>
      <c r="B2807" t="s">
        <v>3525</v>
      </c>
      <c r="C2807" t="s">
        <v>3526</v>
      </c>
      <c r="D2807" t="str">
        <f t="shared" si="93"/>
        <v/>
      </c>
      <c r="E2807" t="str">
        <f t="shared" si="92"/>
        <v>hand me down (ripple) [take 4] (slated)</v>
      </c>
      <c r="F2807" t="s">
        <v>6864</v>
      </c>
      <c r="G2807" t="str">
        <f>_xlfn.IFNA(VLOOKUP(F2807,songs!$B$1:$C$1539, 2, FALSE),"")</f>
        <v>Ripple</v>
      </c>
      <c r="H2807" t="s">
        <v>7867</v>
      </c>
    </row>
    <row r="2808" spans="1:8" x14ac:dyDescent="0.25">
      <c r="A2808">
        <v>2811</v>
      </c>
      <c r="B2808" t="s">
        <v>3527</v>
      </c>
      <c r="C2808" t="s">
        <v>3528</v>
      </c>
      <c r="D2808" t="str">
        <f t="shared" si="93"/>
        <v/>
      </c>
      <c r="E2808" t="str">
        <f t="shared" si="92"/>
        <v>hand me down (ripple) [take 5 breakdown] (slated)</v>
      </c>
      <c r="F2808" t="s">
        <v>6864</v>
      </c>
      <c r="G2808" t="str">
        <f>_xlfn.IFNA(VLOOKUP(F2808,songs!$B$1:$C$1539, 2, FALSE),"")</f>
        <v>Ripple</v>
      </c>
      <c r="H2808" t="s">
        <v>7867</v>
      </c>
    </row>
    <row r="2809" spans="1:8" x14ac:dyDescent="0.25">
      <c r="A2809">
        <v>2812</v>
      </c>
      <c r="B2809" t="s">
        <v>3529</v>
      </c>
      <c r="C2809" t="s">
        <v>3530</v>
      </c>
      <c r="D2809" t="str">
        <f t="shared" si="93"/>
        <v/>
      </c>
      <c r="E2809" t="str">
        <f t="shared" si="92"/>
        <v>hand me down (ripple) [take 6 breakdown] (slated)</v>
      </c>
      <c r="F2809" t="s">
        <v>6864</v>
      </c>
      <c r="G2809" t="str">
        <f>_xlfn.IFNA(VLOOKUP(F2809,songs!$B$1:$C$1539, 2, FALSE),"")</f>
        <v>Ripple</v>
      </c>
      <c r="H2809" t="s">
        <v>7867</v>
      </c>
    </row>
    <row r="2810" spans="1:8" x14ac:dyDescent="0.25">
      <c r="A2810">
        <v>2813</v>
      </c>
      <c r="B2810" t="s">
        <v>3531</v>
      </c>
      <c r="C2810" t="s">
        <v>3532</v>
      </c>
      <c r="D2810" t="str">
        <f t="shared" si="93"/>
        <v/>
      </c>
      <c r="E2810" t="str">
        <f t="shared" si="92"/>
        <v>hand me down (ripple) [take 7] (slated)</v>
      </c>
      <c r="F2810" t="s">
        <v>6864</v>
      </c>
      <c r="G2810" t="str">
        <f>_xlfn.IFNA(VLOOKUP(F2810,songs!$B$1:$C$1539, 2, FALSE),"")</f>
        <v>Ripple</v>
      </c>
      <c r="H2810" t="s">
        <v>7867</v>
      </c>
    </row>
    <row r="2811" spans="1:8" x14ac:dyDescent="0.25">
      <c r="A2811">
        <v>3153</v>
      </c>
      <c r="B2811" t="s">
        <v>4010</v>
      </c>
      <c r="C2811" t="s">
        <v>4011</v>
      </c>
      <c r="D2811" t="str">
        <f t="shared" si="93"/>
        <v/>
      </c>
      <c r="E2811" t="str">
        <f t="shared" si="92"/>
        <v>no man is perfect</v>
      </c>
      <c r="F2811" t="s">
        <v>7855</v>
      </c>
      <c r="G2811" t="str">
        <f>_xlfn.IFNA(VLOOKUP(F2811,songs!$B$1:$C$1539, 2, FALSE),"")</f>
        <v/>
      </c>
      <c r="H2811" t="s">
        <v>7867</v>
      </c>
    </row>
    <row r="2812" spans="1:8" x14ac:dyDescent="0.25">
      <c r="A2812">
        <v>166</v>
      </c>
      <c r="B2812" t="s">
        <v>272</v>
      </c>
      <c r="C2812" t="s">
        <v>273</v>
      </c>
      <c r="D2812" t="str">
        <f t="shared" si="93"/>
        <v>&gt;</v>
      </c>
      <c r="E2812" t="str">
        <f t="shared" si="92"/>
        <v>no msg jam</v>
      </c>
      <c r="F2812" t="s">
        <v>7820</v>
      </c>
      <c r="G2812" t="str">
        <f>_xlfn.IFNA(VLOOKUP(F2812,songs!$B$1:$C$1539, 2, FALSE),"")</f>
        <v/>
      </c>
      <c r="H2812" t="s">
        <v>7867</v>
      </c>
    </row>
    <row r="2813" spans="1:8" x14ac:dyDescent="0.25">
      <c r="A2813">
        <v>2821</v>
      </c>
      <c r="B2813" t="s">
        <v>3540</v>
      </c>
      <c r="C2813" t="s">
        <v>3541</v>
      </c>
      <c r="D2813" t="str">
        <f t="shared" si="93"/>
        <v/>
      </c>
      <c r="E2813" t="str">
        <f t="shared" si="92"/>
        <v>ripple (false start)</v>
      </c>
      <c r="F2813" t="s">
        <v>6864</v>
      </c>
      <c r="G2813" t="str">
        <f>_xlfn.IFNA(VLOOKUP(F2813,songs!$B$1:$C$1539, 2, FALSE),"")</f>
        <v>Ripple</v>
      </c>
      <c r="H2813" t="s">
        <v>7867</v>
      </c>
    </row>
    <row r="2814" spans="1:8" x14ac:dyDescent="0.25">
      <c r="A2814">
        <v>2838</v>
      </c>
      <c r="B2814" t="s">
        <v>3558</v>
      </c>
      <c r="C2814" t="s">
        <v>3559</v>
      </c>
      <c r="D2814" t="str">
        <f t="shared" si="93"/>
        <v/>
      </c>
      <c r="E2814" t="str">
        <f t="shared" si="92"/>
        <v>bertha (live at the fillmore east, new york, ny, april 27, 1971)</v>
      </c>
      <c r="F2814" t="s">
        <v>298</v>
      </c>
      <c r="G2814" t="str">
        <f>_xlfn.IFNA(VLOOKUP(F2814,songs!$B$1:$C$1539, 2, FALSE),"")</f>
        <v>Bertha</v>
      </c>
      <c r="H2814" t="s">
        <v>7867</v>
      </c>
    </row>
    <row r="2815" spans="1:8" x14ac:dyDescent="0.25">
      <c r="A2815">
        <v>2814</v>
      </c>
      <c r="B2815" t="s">
        <v>3533</v>
      </c>
      <c r="C2815" t="s">
        <v>429</v>
      </c>
      <c r="D2815" t="str">
        <f t="shared" si="93"/>
        <v/>
      </c>
      <c r="E2815" t="str">
        <f t="shared" si="92"/>
        <v>cold rain and snow</v>
      </c>
      <c r="F2815" t="s">
        <v>5347</v>
      </c>
      <c r="G2815" t="str">
        <f>_xlfn.IFNA(VLOOKUP(F2815,songs!$B$1:$C$1539, 2, FALSE),"")</f>
        <v>Cold Rain And Snow</v>
      </c>
      <c r="H2815" t="s">
        <v>429</v>
      </c>
    </row>
    <row r="2816" spans="1:8" x14ac:dyDescent="0.25">
      <c r="A2816">
        <v>2815</v>
      </c>
      <c r="B2816" t="s">
        <v>3534</v>
      </c>
      <c r="C2816" t="s">
        <v>2869</v>
      </c>
      <c r="D2816" t="str">
        <f t="shared" si="93"/>
        <v/>
      </c>
      <c r="E2816" t="str">
        <f t="shared" si="92"/>
        <v>me and bobby mcgee</v>
      </c>
      <c r="F2816" t="s">
        <v>6483</v>
      </c>
      <c r="G2816" t="str">
        <f>_xlfn.IFNA(VLOOKUP(F2816,songs!$B$1:$C$1539, 2, FALSE),"")</f>
        <v>Me And Bobby McGee</v>
      </c>
      <c r="H2816" t="s">
        <v>1228</v>
      </c>
    </row>
    <row r="2817" spans="1:8" x14ac:dyDescent="0.25">
      <c r="A2817">
        <v>2816</v>
      </c>
      <c r="B2817" t="s">
        <v>3535</v>
      </c>
      <c r="C2817" t="s">
        <v>291</v>
      </c>
      <c r="D2817" t="str">
        <f t="shared" si="93"/>
        <v/>
      </c>
      <c r="E2817" t="str">
        <f t="shared" si="92"/>
        <v>loser</v>
      </c>
      <c r="F2817" t="s">
        <v>6400</v>
      </c>
      <c r="G2817" t="str">
        <f>_xlfn.IFNA(VLOOKUP(F2817,songs!$B$1:$C$1539, 2, FALSE),"")</f>
        <v>Loser</v>
      </c>
      <c r="H2817" t="s">
        <v>291</v>
      </c>
    </row>
    <row r="2818" spans="1:8" x14ac:dyDescent="0.25">
      <c r="A2818">
        <v>2817</v>
      </c>
      <c r="B2818" t="s">
        <v>3536</v>
      </c>
      <c r="C2818" t="s">
        <v>483</v>
      </c>
      <c r="D2818" t="str">
        <f t="shared" si="93"/>
        <v/>
      </c>
      <c r="E2818" t="str">
        <f t="shared" si="92"/>
        <v>easy wind</v>
      </c>
      <c r="F2818" t="s">
        <v>5587</v>
      </c>
      <c r="G2818" t="str">
        <f>_xlfn.IFNA(VLOOKUP(F2818,songs!$B$1:$C$1539, 2, FALSE),"")</f>
        <v>Easy Wind</v>
      </c>
      <c r="H2818" t="s">
        <v>483</v>
      </c>
    </row>
    <row r="2819" spans="1:8" x14ac:dyDescent="0.25">
      <c r="A2819">
        <v>2818</v>
      </c>
      <c r="B2819" t="s">
        <v>3537</v>
      </c>
      <c r="C2819" t="s">
        <v>419</v>
      </c>
      <c r="D2819" t="str">
        <f t="shared" si="93"/>
        <v/>
      </c>
      <c r="E2819" t="str">
        <f t="shared" si="92"/>
        <v>playing in the band</v>
      </c>
      <c r="F2819" t="s">
        <v>6769</v>
      </c>
      <c r="G2819" t="str">
        <f>_xlfn.IFNA(VLOOKUP(F2819,songs!$B$1:$C$1539, 2, FALSE),"")</f>
        <v>Playing In The Band</v>
      </c>
      <c r="H2819" t="s">
        <v>419</v>
      </c>
    </row>
    <row r="2820" spans="1:8" x14ac:dyDescent="0.25">
      <c r="A2820">
        <v>2819</v>
      </c>
      <c r="B2820" t="s">
        <v>3538</v>
      </c>
      <c r="C2820" t="s">
        <v>298</v>
      </c>
      <c r="D2820" t="str">
        <f t="shared" si="93"/>
        <v/>
      </c>
      <c r="E2820" t="str">
        <f t="shared" ref="E2820:E2883" si="94">LOWER(TRIM(SUBSTITUTE(IF(RIGHT(TRIM(C2820),2)="-&gt;",LEFT(TRIM(C2820),LEN(TRIM(C2820))-2),IF(RIGHT(TRIM(C2820),1)="&gt;",LEFT(TRIM(C2820),LEN(TRIM(C2820))-1),C2820)),"//","")))</f>
        <v>bertha</v>
      </c>
      <c r="F2820" t="s">
        <v>5158</v>
      </c>
      <c r="G2820" t="str">
        <f>_xlfn.IFNA(VLOOKUP(F2820,songs!$B$1:$C$1539, 2, FALSE),"")</f>
        <v>Bertha</v>
      </c>
      <c r="H2820" t="s">
        <v>298</v>
      </c>
    </row>
    <row r="2821" spans="1:8" x14ac:dyDescent="0.25">
      <c r="A2821">
        <v>2820</v>
      </c>
      <c r="B2821" t="s">
        <v>3539</v>
      </c>
      <c r="C2821" t="s">
        <v>903</v>
      </c>
      <c r="D2821" t="str">
        <f t="shared" si="93"/>
        <v/>
      </c>
      <c r="E2821" t="str">
        <f t="shared" si="94"/>
        <v>me and my uncle</v>
      </c>
      <c r="F2821" t="s">
        <v>6486</v>
      </c>
      <c r="G2821" t="str">
        <f>_xlfn.IFNA(VLOOKUP(F2821,songs!$B$1:$C$1539, 2, FALSE),"")</f>
        <v>Me And My Uncle</v>
      </c>
      <c r="H2821" t="s">
        <v>903</v>
      </c>
    </row>
    <row r="2822" spans="1:8" x14ac:dyDescent="0.25">
      <c r="A2822">
        <v>2839</v>
      </c>
      <c r="B2822" t="s">
        <v>3560</v>
      </c>
      <c r="C2822" t="s">
        <v>3561</v>
      </c>
      <c r="D2822" t="str">
        <f t="shared" si="93"/>
        <v/>
      </c>
      <c r="E2822" t="str">
        <f t="shared" si="94"/>
        <v>mama tried (live at the fillmore east, new york, ny, april 26, 1971)</v>
      </c>
      <c r="F2822" t="s">
        <v>6454</v>
      </c>
      <c r="G2822" t="str">
        <f>_xlfn.IFNA(VLOOKUP(F2822,songs!$B$1:$C$1539, 2, FALSE),"")</f>
        <v>Mama Tried</v>
      </c>
      <c r="H2822" t="s">
        <v>7867</v>
      </c>
    </row>
    <row r="2823" spans="1:8" x14ac:dyDescent="0.25">
      <c r="A2823">
        <v>2822</v>
      </c>
      <c r="B2823" t="s">
        <v>3542</v>
      </c>
      <c r="C2823" t="s">
        <v>3166</v>
      </c>
      <c r="D2823" t="str">
        <f t="shared" si="93"/>
        <v/>
      </c>
      <c r="E2823" t="str">
        <f t="shared" si="94"/>
        <v>ripple</v>
      </c>
      <c r="F2823" t="s">
        <v>6864</v>
      </c>
      <c r="G2823" t="str">
        <f>_xlfn.IFNA(VLOOKUP(F2823,songs!$B$1:$C$1539, 2, FALSE),"")</f>
        <v>Ripple</v>
      </c>
      <c r="H2823" t="s">
        <v>3166</v>
      </c>
    </row>
    <row r="2824" spans="1:8" x14ac:dyDescent="0.25">
      <c r="A2824">
        <v>2823</v>
      </c>
      <c r="B2824" t="s">
        <v>3543</v>
      </c>
      <c r="C2824" t="s">
        <v>1017</v>
      </c>
      <c r="D2824" t="str">
        <f t="shared" si="93"/>
        <v/>
      </c>
      <c r="E2824" t="str">
        <f t="shared" si="94"/>
        <v>next time you see me</v>
      </c>
      <c r="F2824" t="s">
        <v>6629</v>
      </c>
      <c r="G2824" t="str">
        <f>_xlfn.IFNA(VLOOKUP(F2824,songs!$B$1:$C$1539, 2, FALSE),"")</f>
        <v>Next Time You See Me</v>
      </c>
      <c r="H2824" t="s">
        <v>1017</v>
      </c>
    </row>
    <row r="2825" spans="1:8" x14ac:dyDescent="0.25">
      <c r="A2825">
        <v>2824</v>
      </c>
      <c r="B2825" t="s">
        <v>3544</v>
      </c>
      <c r="C2825" t="s">
        <v>30</v>
      </c>
      <c r="D2825" t="str">
        <f t="shared" ref="D2825:D2888" si="95">IF(RIGHT(TRIM(C2825),2)="-&gt;","&gt;",IF(RIGHT(TRIM(C2825),1)="&gt;","&gt;",""))</f>
        <v/>
      </c>
      <c r="E2825" t="str">
        <f t="shared" si="94"/>
        <v>sugar magnolia</v>
      </c>
      <c r="F2825" t="s">
        <v>7150</v>
      </c>
      <c r="G2825" t="str">
        <f>_xlfn.IFNA(VLOOKUP(F2825,songs!$B$1:$C$1539, 2, FALSE),"")</f>
        <v>Sugar Magnolia</v>
      </c>
      <c r="H2825" t="s">
        <v>30</v>
      </c>
    </row>
    <row r="2826" spans="1:8" x14ac:dyDescent="0.25">
      <c r="A2826">
        <v>2825</v>
      </c>
      <c r="B2826" t="s">
        <v>3545</v>
      </c>
      <c r="C2826" t="s">
        <v>154</v>
      </c>
      <c r="D2826" t="str">
        <f t="shared" si="95"/>
        <v/>
      </c>
      <c r="E2826" t="str">
        <f t="shared" si="94"/>
        <v>greatest story ever told</v>
      </c>
      <c r="F2826" t="s">
        <v>5826</v>
      </c>
      <c r="G2826" t="str">
        <f>_xlfn.IFNA(VLOOKUP(F2826,songs!$B$1:$C$1539, 2, FALSE),"")</f>
        <v>Greatest Story Ever Told</v>
      </c>
      <c r="H2826" t="s">
        <v>154</v>
      </c>
    </row>
    <row r="2827" spans="1:8" x14ac:dyDescent="0.25">
      <c r="A2827">
        <v>2826</v>
      </c>
      <c r="B2827" t="s">
        <v>3546</v>
      </c>
      <c r="C2827" t="s">
        <v>148</v>
      </c>
      <c r="D2827" t="str">
        <f t="shared" si="95"/>
        <v/>
      </c>
      <c r="E2827" t="str">
        <f t="shared" si="94"/>
        <v>johnny b. goode</v>
      </c>
      <c r="F2827" t="s">
        <v>6192</v>
      </c>
      <c r="G2827" t="str">
        <f>_xlfn.IFNA(VLOOKUP(F2827,songs!$B$1:$C$1539, 2, FALSE),"")</f>
        <v>Johnny B. Goode</v>
      </c>
      <c r="H2827" t="s">
        <v>148</v>
      </c>
    </row>
    <row r="2828" spans="1:8" x14ac:dyDescent="0.25">
      <c r="A2828">
        <v>2827</v>
      </c>
      <c r="B2828" t="s">
        <v>3547</v>
      </c>
      <c r="C2828" t="s">
        <v>84</v>
      </c>
      <c r="D2828" t="str">
        <f t="shared" si="95"/>
        <v/>
      </c>
      <c r="E2828" t="str">
        <f t="shared" si="94"/>
        <v>china cat sunflower</v>
      </c>
      <c r="F2828" t="s">
        <v>5319</v>
      </c>
      <c r="G2828" t="str">
        <f>_xlfn.IFNA(VLOOKUP(F2828,songs!$B$1:$C$1539, 2, FALSE),"")</f>
        <v>China Cat Sunflower</v>
      </c>
      <c r="H2828" t="s">
        <v>84</v>
      </c>
    </row>
    <row r="2829" spans="1:8" x14ac:dyDescent="0.25">
      <c r="A2829">
        <v>2828</v>
      </c>
      <c r="B2829" t="s">
        <v>3548</v>
      </c>
      <c r="C2829" t="s">
        <v>86</v>
      </c>
      <c r="D2829" t="str">
        <f t="shared" si="95"/>
        <v/>
      </c>
      <c r="E2829" t="str">
        <f t="shared" si="94"/>
        <v>i know you rider</v>
      </c>
      <c r="F2829" t="s">
        <v>6020</v>
      </c>
      <c r="G2829" t="str">
        <f>_xlfn.IFNA(VLOOKUP(F2829,songs!$B$1:$C$1539, 2, FALSE),"")</f>
        <v>I Know You Rider</v>
      </c>
      <c r="H2829" t="s">
        <v>86</v>
      </c>
    </row>
    <row r="2830" spans="1:8" x14ac:dyDescent="0.25">
      <c r="A2830">
        <v>2829</v>
      </c>
      <c r="B2830" t="s">
        <v>3549</v>
      </c>
      <c r="C2830" t="s">
        <v>323</v>
      </c>
      <c r="D2830" t="str">
        <f t="shared" si="95"/>
        <v/>
      </c>
      <c r="E2830" t="str">
        <f t="shared" si="94"/>
        <v>bird song</v>
      </c>
      <c r="F2830" t="s">
        <v>5184</v>
      </c>
      <c r="G2830" t="str">
        <f>_xlfn.IFNA(VLOOKUP(F2830,songs!$B$1:$C$1539, 2, FALSE),"")</f>
        <v>Bird Song</v>
      </c>
      <c r="H2830" t="s">
        <v>323</v>
      </c>
    </row>
    <row r="2831" spans="1:8" x14ac:dyDescent="0.25">
      <c r="A2831">
        <v>2830</v>
      </c>
      <c r="B2831" t="s">
        <v>3550</v>
      </c>
      <c r="C2831" t="s">
        <v>225</v>
      </c>
      <c r="D2831" t="str">
        <f t="shared" si="95"/>
        <v/>
      </c>
      <c r="E2831" t="str">
        <f t="shared" si="94"/>
        <v>cumberland blues</v>
      </c>
      <c r="F2831" t="s">
        <v>5411</v>
      </c>
      <c r="G2831" t="str">
        <f>_xlfn.IFNA(VLOOKUP(F2831,songs!$B$1:$C$1539, 2, FALSE),"")</f>
        <v>Cumberland Blues</v>
      </c>
      <c r="H2831" t="s">
        <v>225</v>
      </c>
    </row>
    <row r="2832" spans="1:8" x14ac:dyDescent="0.25">
      <c r="A2832">
        <v>2831</v>
      </c>
      <c r="B2832" t="s">
        <v>3551</v>
      </c>
      <c r="C2832" t="s">
        <v>1768</v>
      </c>
      <c r="D2832" t="str">
        <f t="shared" si="95"/>
        <v/>
      </c>
      <c r="E2832" t="str">
        <f t="shared" si="94"/>
        <v>i'm a king bee</v>
      </c>
      <c r="F2832" t="s">
        <v>6080</v>
      </c>
      <c r="G2832" t="str">
        <f>_xlfn.IFNA(VLOOKUP(F2832,songs!$B$1:$C$1539, 2, FALSE),"")</f>
        <v>I'm A King Bee</v>
      </c>
      <c r="H2832" t="s">
        <v>1768</v>
      </c>
    </row>
    <row r="2833" spans="1:8" x14ac:dyDescent="0.25">
      <c r="A2833">
        <v>2832</v>
      </c>
      <c r="B2833" t="s">
        <v>3552</v>
      </c>
      <c r="C2833" t="s">
        <v>431</v>
      </c>
      <c r="D2833" t="str">
        <f t="shared" si="95"/>
        <v/>
      </c>
      <c r="E2833" t="str">
        <f t="shared" si="94"/>
        <v>beat it on down the line</v>
      </c>
      <c r="F2833" t="s">
        <v>5149</v>
      </c>
      <c r="G2833" t="str">
        <f>_xlfn.IFNA(VLOOKUP(F2833,songs!$B$1:$C$1539, 2, FALSE),"")</f>
        <v>Beat It On Down The Line</v>
      </c>
      <c r="H2833" t="s">
        <v>431</v>
      </c>
    </row>
    <row r="2834" spans="1:8" x14ac:dyDescent="0.25">
      <c r="A2834">
        <v>2833</v>
      </c>
      <c r="B2834" t="s">
        <v>3553</v>
      </c>
      <c r="C2834" t="s">
        <v>73</v>
      </c>
      <c r="D2834" t="str">
        <f t="shared" si="95"/>
        <v/>
      </c>
      <c r="E2834" t="str">
        <f t="shared" si="94"/>
        <v>wharf rat</v>
      </c>
      <c r="F2834" t="s">
        <v>7664</v>
      </c>
      <c r="G2834" t="str">
        <f>_xlfn.IFNA(VLOOKUP(F2834,songs!$B$1:$C$1539, 2, FALSE),"")</f>
        <v>Wharf Rat</v>
      </c>
      <c r="H2834" t="s">
        <v>73</v>
      </c>
    </row>
    <row r="2835" spans="1:8" x14ac:dyDescent="0.25">
      <c r="A2835">
        <v>2834</v>
      </c>
      <c r="B2835" t="s">
        <v>3554</v>
      </c>
      <c r="C2835" t="s">
        <v>15</v>
      </c>
      <c r="D2835" t="str">
        <f t="shared" si="95"/>
        <v/>
      </c>
      <c r="E2835" t="str">
        <f t="shared" si="94"/>
        <v>truckin'</v>
      </c>
      <c r="F2835" t="s">
        <v>7436</v>
      </c>
      <c r="G2835" t="str">
        <f>_xlfn.IFNA(VLOOKUP(F2835,songs!$B$1:$C$1539, 2, FALSE),"")</f>
        <v>Truckin'</v>
      </c>
      <c r="H2835" t="s">
        <v>15</v>
      </c>
    </row>
    <row r="2836" spans="1:8" x14ac:dyDescent="0.25">
      <c r="A2836">
        <v>2835</v>
      </c>
      <c r="B2836" t="s">
        <v>3555</v>
      </c>
      <c r="C2836" t="s">
        <v>81</v>
      </c>
      <c r="D2836" t="str">
        <f t="shared" si="95"/>
        <v/>
      </c>
      <c r="E2836" t="str">
        <f t="shared" si="94"/>
        <v>casey jones</v>
      </c>
      <c r="F2836" t="s">
        <v>5290</v>
      </c>
      <c r="G2836" t="str">
        <f>_xlfn.IFNA(VLOOKUP(F2836,songs!$B$1:$C$1539, 2, FALSE),"")</f>
        <v>Casey Jones</v>
      </c>
      <c r="H2836" t="s">
        <v>81</v>
      </c>
    </row>
    <row r="2837" spans="1:8" x14ac:dyDescent="0.25">
      <c r="A2837">
        <v>2836</v>
      </c>
      <c r="B2837" t="s">
        <v>3556</v>
      </c>
      <c r="C2837" t="s">
        <v>242</v>
      </c>
      <c r="D2837" t="str">
        <f t="shared" si="95"/>
        <v/>
      </c>
      <c r="E2837" t="str">
        <f t="shared" si="94"/>
        <v>good lovin'</v>
      </c>
      <c r="F2837" t="s">
        <v>5810</v>
      </c>
      <c r="G2837" t="str">
        <f>_xlfn.IFNA(VLOOKUP(F2837,songs!$B$1:$C$1539, 2, FALSE),"")</f>
        <v>Good Lovin'</v>
      </c>
      <c r="H2837" t="s">
        <v>242</v>
      </c>
    </row>
    <row r="2838" spans="1:8" x14ac:dyDescent="0.25">
      <c r="A2838">
        <v>2837</v>
      </c>
      <c r="B2838" t="s">
        <v>3557</v>
      </c>
      <c r="C2838" t="s">
        <v>133</v>
      </c>
      <c r="D2838" t="str">
        <f t="shared" si="95"/>
        <v/>
      </c>
      <c r="E2838" t="str">
        <f t="shared" si="94"/>
        <v>uncle john's band</v>
      </c>
      <c r="F2838" t="s">
        <v>7466</v>
      </c>
      <c r="G2838" t="str">
        <f>_xlfn.IFNA(VLOOKUP(F2838,songs!$B$1:$C$1539, 2, FALSE),"")</f>
        <v>Uncle John's Band</v>
      </c>
      <c r="H2838" t="s">
        <v>133</v>
      </c>
    </row>
    <row r="2839" spans="1:8" x14ac:dyDescent="0.25">
      <c r="A2839">
        <v>2840</v>
      </c>
      <c r="B2839" t="s">
        <v>3562</v>
      </c>
      <c r="C2839" t="s">
        <v>3563</v>
      </c>
      <c r="D2839" t="str">
        <f t="shared" si="95"/>
        <v/>
      </c>
      <c r="E2839" t="str">
        <f t="shared" si="94"/>
        <v>big railroad blues (live at the fillmore east, new york, ny, april 5, 1971)</v>
      </c>
      <c r="F2839" t="s">
        <v>5174</v>
      </c>
      <c r="G2839" t="str">
        <f>_xlfn.IFNA(VLOOKUP(F2839,songs!$B$1:$C$1539, 2, FALSE),"")</f>
        <v>Big Railroad Blues</v>
      </c>
      <c r="H2839" t="s">
        <v>7867</v>
      </c>
    </row>
    <row r="2840" spans="1:8" x14ac:dyDescent="0.25">
      <c r="A2840">
        <v>2841</v>
      </c>
      <c r="B2840" t="s">
        <v>3564</v>
      </c>
      <c r="C2840" t="s">
        <v>3565</v>
      </c>
      <c r="D2840" t="str">
        <f t="shared" si="95"/>
        <v/>
      </c>
      <c r="E2840" t="str">
        <f t="shared" si="94"/>
        <v>playing in the band (live at the fillmore east, new york, ny, april 6, 1971)</v>
      </c>
      <c r="F2840" t="s">
        <v>6769</v>
      </c>
      <c r="G2840" t="str">
        <f>_xlfn.IFNA(VLOOKUP(F2840,songs!$B$1:$C$1539, 2, FALSE),"")</f>
        <v>Playing In The Band</v>
      </c>
      <c r="H2840" t="s">
        <v>7867</v>
      </c>
    </row>
    <row r="2841" spans="1:8" x14ac:dyDescent="0.25">
      <c r="A2841">
        <v>2842</v>
      </c>
      <c r="B2841" t="s">
        <v>3566</v>
      </c>
      <c r="C2841" t="s">
        <v>3567</v>
      </c>
      <c r="D2841" t="str">
        <f t="shared" si="95"/>
        <v/>
      </c>
      <c r="E2841" t="str">
        <f t="shared" si="94"/>
        <v>the other one (live at the fillmore east, new york, ny, april 28, 1971)</v>
      </c>
      <c r="F2841" t="s">
        <v>7325</v>
      </c>
      <c r="G2841" t="str">
        <f>_xlfn.IFNA(VLOOKUP(F2841,songs!$B$1:$C$1539, 2, FALSE),"")</f>
        <v>The Other One</v>
      </c>
      <c r="H2841" t="s">
        <v>7867</v>
      </c>
    </row>
    <row r="2842" spans="1:8" x14ac:dyDescent="0.25">
      <c r="A2842">
        <v>2843</v>
      </c>
      <c r="B2842" t="s">
        <v>3568</v>
      </c>
      <c r="C2842" t="s">
        <v>3569</v>
      </c>
      <c r="D2842" t="str">
        <f t="shared" si="95"/>
        <v/>
      </c>
      <c r="E2842" t="str">
        <f t="shared" si="94"/>
        <v>me &amp; my uncle (live at the fillmore east, new york, ny, april 29, 1971)</v>
      </c>
      <c r="F2842" t="s">
        <v>6486</v>
      </c>
      <c r="G2842" t="str">
        <f>_xlfn.IFNA(VLOOKUP(F2842,songs!$B$1:$C$1539, 2, FALSE),"")</f>
        <v>Me And My Uncle</v>
      </c>
      <c r="H2842" t="s">
        <v>7867</v>
      </c>
    </row>
    <row r="2843" spans="1:8" x14ac:dyDescent="0.25">
      <c r="A2843">
        <v>2844</v>
      </c>
      <c r="B2843" t="s">
        <v>3570</v>
      </c>
      <c r="C2843" t="s">
        <v>3571</v>
      </c>
      <c r="D2843" t="str">
        <f t="shared" si="95"/>
        <v/>
      </c>
      <c r="E2843" t="str">
        <f t="shared" si="94"/>
        <v>big boss man (live at the fillmore east, new york, ny, april 26, 1971)</v>
      </c>
      <c r="F2843" t="s">
        <v>5163</v>
      </c>
      <c r="G2843" t="str">
        <f>_xlfn.IFNA(VLOOKUP(F2843,songs!$B$1:$C$1539, 2, FALSE),"")</f>
        <v>Big Boss Man</v>
      </c>
      <c r="H2843" t="s">
        <v>7867</v>
      </c>
    </row>
    <row r="2844" spans="1:8" x14ac:dyDescent="0.25">
      <c r="A2844">
        <v>2845</v>
      </c>
      <c r="B2844" t="s">
        <v>3572</v>
      </c>
      <c r="C2844" t="s">
        <v>3573</v>
      </c>
      <c r="D2844" t="str">
        <f t="shared" si="95"/>
        <v/>
      </c>
      <c r="E2844" t="str">
        <f t="shared" si="94"/>
        <v>me &amp; bobby mcgee (live at the fillmore east, new york, ny, april 27, 1971)</v>
      </c>
      <c r="F2844" t="s">
        <v>6483</v>
      </c>
      <c r="G2844" t="str">
        <f>_xlfn.IFNA(VLOOKUP(F2844,songs!$B$1:$C$1539, 2, FALSE),"")</f>
        <v>Me And Bobby McGee</v>
      </c>
      <c r="H2844" t="s">
        <v>7867</v>
      </c>
    </row>
    <row r="2845" spans="1:8" x14ac:dyDescent="0.25">
      <c r="A2845">
        <v>2846</v>
      </c>
      <c r="B2845" t="s">
        <v>3574</v>
      </c>
      <c r="C2845" t="s">
        <v>3575</v>
      </c>
      <c r="D2845" t="str">
        <f t="shared" si="95"/>
        <v/>
      </c>
      <c r="E2845" t="str">
        <f t="shared" si="94"/>
        <v>johnny b. goode (live at the fillmore east, new york, ny, march 24, 1971)</v>
      </c>
      <c r="F2845" t="s">
        <v>6192</v>
      </c>
      <c r="G2845" t="str">
        <f>_xlfn.IFNA(VLOOKUP(F2845,songs!$B$1:$C$1539, 2, FALSE),"")</f>
        <v>Johnny B. Goode</v>
      </c>
      <c r="H2845" t="s">
        <v>7867</v>
      </c>
    </row>
    <row r="2846" spans="1:8" x14ac:dyDescent="0.25">
      <c r="A2846">
        <v>2847</v>
      </c>
      <c r="B2846" t="s">
        <v>3576</v>
      </c>
      <c r="C2846" t="s">
        <v>3577</v>
      </c>
      <c r="D2846" t="str">
        <f t="shared" si="95"/>
        <v/>
      </c>
      <c r="E2846" t="str">
        <f t="shared" si="94"/>
        <v>wharf rat (live at the fillmore east, new york, ny, april 26, 1971)</v>
      </c>
      <c r="F2846" t="s">
        <v>7664</v>
      </c>
      <c r="G2846" t="str">
        <f>_xlfn.IFNA(VLOOKUP(F2846,songs!$B$1:$C$1539, 2, FALSE),"")</f>
        <v>Wharf Rat</v>
      </c>
      <c r="H2846" t="s">
        <v>7867</v>
      </c>
    </row>
    <row r="2847" spans="1:8" x14ac:dyDescent="0.25">
      <c r="A2847">
        <v>2848</v>
      </c>
      <c r="B2847" t="s">
        <v>3578</v>
      </c>
      <c r="C2847" t="s">
        <v>3579</v>
      </c>
      <c r="D2847" t="str">
        <f t="shared" si="95"/>
        <v/>
      </c>
      <c r="E2847" t="str">
        <f t="shared" si="94"/>
        <v>not fade away &gt; goin' down the road feeling bad (live at the fillmore east, new york, ny, april 5, 1971)</v>
      </c>
      <c r="F2847" t="s">
        <v>7840</v>
      </c>
      <c r="G2847" t="s">
        <v>7881</v>
      </c>
      <c r="H2847" t="s">
        <v>7867</v>
      </c>
    </row>
    <row r="2848" spans="1:8" x14ac:dyDescent="0.25">
      <c r="A2848">
        <v>2849</v>
      </c>
      <c r="B2848" t="s">
        <v>3580</v>
      </c>
      <c r="C2848" t="s">
        <v>3581</v>
      </c>
      <c r="D2848" t="str">
        <f t="shared" si="95"/>
        <v/>
      </c>
      <c r="E2848" t="str">
        <f t="shared" si="94"/>
        <v>good lovin' (live at the fillmore west, san francisco, ca, july 2, 1971)</v>
      </c>
      <c r="F2848" t="s">
        <v>5810</v>
      </c>
      <c r="G2848" t="str">
        <f>_xlfn.IFNA(VLOOKUP(F2848,songs!$B$1:$C$1539, 2, FALSE),"")</f>
        <v>Good Lovin'</v>
      </c>
      <c r="H2848" t="s">
        <v>7867</v>
      </c>
    </row>
    <row r="2849" spans="1:8" x14ac:dyDescent="0.25">
      <c r="A2849">
        <v>2850</v>
      </c>
      <c r="B2849" t="s">
        <v>3582</v>
      </c>
      <c r="C2849" t="s">
        <v>3583</v>
      </c>
      <c r="D2849" t="str">
        <f t="shared" si="95"/>
        <v/>
      </c>
      <c r="E2849" t="str">
        <f t="shared" si="94"/>
        <v>sing me back home (live at the fillmore west, san francisco, ca, july 2, 1971)</v>
      </c>
      <c r="F2849" t="s">
        <v>7017</v>
      </c>
      <c r="G2849" t="str">
        <f>_xlfn.IFNA(VLOOKUP(F2849,songs!$B$1:$C$1539, 2, FALSE),"")</f>
        <v>Sing Me Back Home</v>
      </c>
      <c r="H2849" t="s">
        <v>7867</v>
      </c>
    </row>
    <row r="2850" spans="1:8" x14ac:dyDescent="0.25">
      <c r="A2850">
        <v>2851</v>
      </c>
      <c r="B2850" t="s">
        <v>3584</v>
      </c>
      <c r="C2850" t="s">
        <v>3585</v>
      </c>
      <c r="D2850" t="str">
        <f t="shared" si="95"/>
        <v/>
      </c>
      <c r="E2850" t="str">
        <f t="shared" si="94"/>
        <v>mama tried (live at the fillmore west, san francisco, ca, july 2, 1971)</v>
      </c>
      <c r="F2850" t="s">
        <v>6454</v>
      </c>
      <c r="G2850" t="str">
        <f>_xlfn.IFNA(VLOOKUP(F2850,songs!$B$1:$C$1539, 2, FALSE),"")</f>
        <v>Mama Tried</v>
      </c>
      <c r="H2850" t="s">
        <v>7867</v>
      </c>
    </row>
    <row r="2851" spans="1:8" x14ac:dyDescent="0.25">
      <c r="A2851">
        <v>2852</v>
      </c>
      <c r="B2851" t="s">
        <v>3586</v>
      </c>
      <c r="C2851" t="s">
        <v>3587</v>
      </c>
      <c r="D2851" t="str">
        <f t="shared" si="95"/>
        <v/>
      </c>
      <c r="E2851" t="str">
        <f t="shared" si="94"/>
        <v>cryptical envelopment (live at the fillmore west, san francisco, ca, july 2, 1971)</v>
      </c>
      <c r="F2851" t="s">
        <v>5408</v>
      </c>
      <c r="G2851" t="str">
        <f>_xlfn.IFNA(VLOOKUP(F2851,songs!$B$1:$C$1539, 2, FALSE),"")</f>
        <v>Cryptical Envelopment</v>
      </c>
      <c r="H2851" t="s">
        <v>7867</v>
      </c>
    </row>
    <row r="2852" spans="1:8" x14ac:dyDescent="0.25">
      <c r="A2852">
        <v>2853</v>
      </c>
      <c r="B2852" t="s">
        <v>3588</v>
      </c>
      <c r="C2852" t="s">
        <v>3589</v>
      </c>
      <c r="D2852" t="str">
        <f t="shared" si="95"/>
        <v/>
      </c>
      <c r="E2852" t="str">
        <f t="shared" si="94"/>
        <v>drums (live at the fillmore west, san francisco, ca, july 2, 1971)</v>
      </c>
      <c r="F2852" t="s">
        <v>5568</v>
      </c>
      <c r="G2852" t="str">
        <f>_xlfn.IFNA(VLOOKUP(F2852,songs!$B$1:$C$1539, 2, FALSE),"")</f>
        <v>Drums</v>
      </c>
      <c r="H2852" t="s">
        <v>7867</v>
      </c>
    </row>
    <row r="2853" spans="1:8" x14ac:dyDescent="0.25">
      <c r="A2853">
        <v>2854</v>
      </c>
      <c r="B2853" t="s">
        <v>3590</v>
      </c>
      <c r="C2853" t="s">
        <v>3591</v>
      </c>
      <c r="D2853" t="str">
        <f t="shared" si="95"/>
        <v/>
      </c>
      <c r="E2853" t="str">
        <f t="shared" si="94"/>
        <v>the other one (live at the fillmore west, san francisco, ca, july 2, 1971)</v>
      </c>
      <c r="F2853" t="s">
        <v>7325</v>
      </c>
      <c r="G2853" t="str">
        <f>_xlfn.IFNA(VLOOKUP(F2853,songs!$B$1:$C$1539, 2, FALSE),"")</f>
        <v>The Other One</v>
      </c>
      <c r="H2853" t="s">
        <v>7867</v>
      </c>
    </row>
    <row r="2854" spans="1:8" x14ac:dyDescent="0.25">
      <c r="A2854">
        <v>2855</v>
      </c>
      <c r="B2854" t="s">
        <v>3592</v>
      </c>
      <c r="C2854" t="s">
        <v>3593</v>
      </c>
      <c r="D2854" t="str">
        <f t="shared" si="95"/>
        <v/>
      </c>
      <c r="E2854" t="str">
        <f t="shared" si="94"/>
        <v>big boss man (live at the fillmore west, san francisco, ca, july 2, 1971)</v>
      </c>
      <c r="F2854" t="s">
        <v>5163</v>
      </c>
      <c r="G2854" t="str">
        <f>_xlfn.IFNA(VLOOKUP(F2854,songs!$B$1:$C$1539, 2, FALSE),"")</f>
        <v>Big Boss Man</v>
      </c>
      <c r="H2854" t="s">
        <v>7867</v>
      </c>
    </row>
    <row r="2855" spans="1:8" x14ac:dyDescent="0.25">
      <c r="A2855">
        <v>2856</v>
      </c>
      <c r="B2855" t="s">
        <v>3594</v>
      </c>
      <c r="C2855" t="s">
        <v>3595</v>
      </c>
      <c r="D2855" t="str">
        <f t="shared" si="95"/>
        <v/>
      </c>
      <c r="E2855" t="str">
        <f t="shared" si="94"/>
        <v>not fade away, pt. 1 (live at the fillmore west, san francisco, ca, july 2, 1971)</v>
      </c>
      <c r="F2855" t="s">
        <v>6651</v>
      </c>
      <c r="G2855" t="str">
        <f>_xlfn.IFNA(VLOOKUP(F2855,songs!$B$1:$C$1539, 2, FALSE),"")</f>
        <v>Not Fade Away</v>
      </c>
      <c r="H2855" t="s">
        <v>7867</v>
      </c>
    </row>
    <row r="2856" spans="1:8" x14ac:dyDescent="0.25">
      <c r="A2856">
        <v>2857</v>
      </c>
      <c r="B2856" t="s">
        <v>3596</v>
      </c>
      <c r="C2856" t="s">
        <v>3597</v>
      </c>
      <c r="D2856" t="str">
        <f t="shared" si="95"/>
        <v/>
      </c>
      <c r="E2856" t="str">
        <f t="shared" si="94"/>
        <v>goin' down the road feeling bad (live at the fillmore west, san francisco, ca, july 2, 1971)</v>
      </c>
      <c r="F2856" t="s">
        <v>5783</v>
      </c>
      <c r="G2856" t="str">
        <f>_xlfn.IFNA(VLOOKUP(F2856,songs!$B$1:$C$1539, 2, FALSE),"")</f>
        <v>Goin' Down The Road Feelin' Bad</v>
      </c>
      <c r="H2856" t="s">
        <v>7867</v>
      </c>
    </row>
    <row r="2857" spans="1:8" x14ac:dyDescent="0.25">
      <c r="A2857">
        <v>2858</v>
      </c>
      <c r="B2857" t="s">
        <v>3598</v>
      </c>
      <c r="C2857" t="s">
        <v>3599</v>
      </c>
      <c r="D2857" t="str">
        <f t="shared" si="95"/>
        <v/>
      </c>
      <c r="E2857" t="str">
        <f t="shared" si="94"/>
        <v>not fade away, pt. 2 (live at the fillmore west, san francisco, ca, july 2, 1971)</v>
      </c>
      <c r="F2857" t="s">
        <v>6651</v>
      </c>
      <c r="G2857" t="str">
        <f>_xlfn.IFNA(VLOOKUP(F2857,songs!$B$1:$C$1539, 2, FALSE),"")</f>
        <v>Not Fade Away</v>
      </c>
      <c r="H2857" t="s">
        <v>7867</v>
      </c>
    </row>
    <row r="2858" spans="1:8" x14ac:dyDescent="0.25">
      <c r="A2858">
        <v>2859</v>
      </c>
      <c r="B2858" t="s">
        <v>3600</v>
      </c>
      <c r="C2858" t="s">
        <v>3601</v>
      </c>
      <c r="D2858" t="str">
        <f t="shared" si="95"/>
        <v/>
      </c>
      <c r="E2858" t="str">
        <f t="shared" si="94"/>
        <v>greatest story ever told (2022 remaster)</v>
      </c>
      <c r="F2858" t="s">
        <v>5826</v>
      </c>
      <c r="G2858" t="str">
        <f>_xlfn.IFNA(VLOOKUP(F2858,songs!$B$1:$C$1539, 2, FALSE),"")</f>
        <v>Greatest Story Ever Told</v>
      </c>
      <c r="H2858" t="s">
        <v>7867</v>
      </c>
    </row>
    <row r="2859" spans="1:8" x14ac:dyDescent="0.25">
      <c r="A2859">
        <v>2860</v>
      </c>
      <c r="B2859" t="s">
        <v>3602</v>
      </c>
      <c r="C2859" t="s">
        <v>3603</v>
      </c>
      <c r="D2859" t="str">
        <f t="shared" si="95"/>
        <v/>
      </c>
      <c r="E2859" t="str">
        <f t="shared" si="94"/>
        <v>black-throated wind (2022 remaster)</v>
      </c>
      <c r="F2859" t="s">
        <v>5193</v>
      </c>
      <c r="G2859" t="str">
        <f>_xlfn.IFNA(VLOOKUP(F2859,songs!$B$1:$C$1539, 2, FALSE),"")</f>
        <v>Black Throated Wind</v>
      </c>
      <c r="H2859" t="s">
        <v>7867</v>
      </c>
    </row>
    <row r="2860" spans="1:8" x14ac:dyDescent="0.25">
      <c r="A2860">
        <v>2861</v>
      </c>
      <c r="B2860" t="s">
        <v>3604</v>
      </c>
      <c r="C2860" t="s">
        <v>3605</v>
      </c>
      <c r="D2860" t="str">
        <f t="shared" si="95"/>
        <v/>
      </c>
      <c r="E2860" t="str">
        <f t="shared" si="94"/>
        <v>walk in the sunshine (2022 remaster)</v>
      </c>
      <c r="F2860" t="s">
        <v>7604</v>
      </c>
      <c r="G2860" t="str">
        <f>_xlfn.IFNA(VLOOKUP(F2860,songs!$B$1:$C$1539, 2, FALSE),"")</f>
        <v>Wake Up Little Susie</v>
      </c>
      <c r="H2860" t="s">
        <v>7867</v>
      </c>
    </row>
    <row r="2861" spans="1:8" x14ac:dyDescent="0.25">
      <c r="A2861">
        <v>2862</v>
      </c>
      <c r="B2861" t="s">
        <v>3606</v>
      </c>
      <c r="C2861" t="s">
        <v>3607</v>
      </c>
      <c r="D2861" t="str">
        <f t="shared" si="95"/>
        <v/>
      </c>
      <c r="E2861" t="str">
        <f t="shared" si="94"/>
        <v>playing in the band (2022 remaster)</v>
      </c>
      <c r="F2861" t="s">
        <v>6769</v>
      </c>
      <c r="G2861" t="str">
        <f>_xlfn.IFNA(VLOOKUP(F2861,songs!$B$1:$C$1539, 2, FALSE),"")</f>
        <v>Playing In The Band</v>
      </c>
      <c r="H2861" t="s">
        <v>7867</v>
      </c>
    </row>
    <row r="2862" spans="1:8" x14ac:dyDescent="0.25">
      <c r="A2862">
        <v>2863</v>
      </c>
      <c r="B2862" t="s">
        <v>3608</v>
      </c>
      <c r="C2862" t="s">
        <v>3609</v>
      </c>
      <c r="D2862" t="str">
        <f t="shared" si="95"/>
        <v/>
      </c>
      <c r="E2862" t="str">
        <f t="shared" si="94"/>
        <v>looks like rain (2022 remaster)</v>
      </c>
      <c r="F2862" t="s">
        <v>6327</v>
      </c>
      <c r="G2862" t="str">
        <f>_xlfn.IFNA(VLOOKUP(F2862,songs!$B$1:$C$1539, 2, FALSE),"")</f>
        <v>Liberty</v>
      </c>
      <c r="H2862" t="s">
        <v>7867</v>
      </c>
    </row>
    <row r="2863" spans="1:8" x14ac:dyDescent="0.25">
      <c r="A2863">
        <v>2864</v>
      </c>
      <c r="B2863" t="s">
        <v>3610</v>
      </c>
      <c r="C2863" t="s">
        <v>3611</v>
      </c>
      <c r="D2863" t="str">
        <f t="shared" si="95"/>
        <v/>
      </c>
      <c r="E2863" t="str">
        <f t="shared" si="94"/>
        <v>mexicali blues (2022 remaster)</v>
      </c>
      <c r="F2863" t="s">
        <v>6499</v>
      </c>
      <c r="G2863" t="str">
        <f>_xlfn.IFNA(VLOOKUP(F2863,songs!$B$1:$C$1539, 2, FALSE),"")</f>
        <v>Mexicali Blues</v>
      </c>
      <c r="H2863" t="s">
        <v>7867</v>
      </c>
    </row>
    <row r="2864" spans="1:8" x14ac:dyDescent="0.25">
      <c r="A2864">
        <v>2865</v>
      </c>
      <c r="B2864" t="s">
        <v>3612</v>
      </c>
      <c r="C2864" t="s">
        <v>3613</v>
      </c>
      <c r="D2864" t="str">
        <f t="shared" si="95"/>
        <v/>
      </c>
      <c r="E2864" t="str">
        <f t="shared" si="94"/>
        <v>one more saturday night (2022 remaster)</v>
      </c>
      <c r="F2864" t="s">
        <v>6702</v>
      </c>
      <c r="G2864" t="str">
        <f>_xlfn.IFNA(VLOOKUP(F2864,songs!$B$1:$C$1539, 2, FALSE),"")</f>
        <v>One More Saturday Night</v>
      </c>
      <c r="H2864" t="s">
        <v>7867</v>
      </c>
    </row>
    <row r="2865" spans="1:8" x14ac:dyDescent="0.25">
      <c r="A2865">
        <v>2866</v>
      </c>
      <c r="B2865" t="s">
        <v>3614</v>
      </c>
      <c r="C2865" t="s">
        <v>3615</v>
      </c>
      <c r="D2865" t="str">
        <f t="shared" si="95"/>
        <v/>
      </c>
      <c r="E2865" t="str">
        <f t="shared" si="94"/>
        <v>cassidy (2022 remaster)</v>
      </c>
      <c r="F2865" t="s">
        <v>5291</v>
      </c>
      <c r="G2865" t="str">
        <f>_xlfn.IFNA(VLOOKUP(F2865,songs!$B$1:$C$1539, 2, FALSE),"")</f>
        <v>Cassidy</v>
      </c>
      <c r="H2865" t="s">
        <v>7867</v>
      </c>
    </row>
    <row r="2866" spans="1:8" x14ac:dyDescent="0.25">
      <c r="A2866">
        <v>2867</v>
      </c>
      <c r="B2866" t="s">
        <v>3616</v>
      </c>
      <c r="C2866" t="s">
        <v>3617</v>
      </c>
      <c r="D2866" t="str">
        <f t="shared" si="95"/>
        <v/>
      </c>
      <c r="E2866" t="str">
        <f t="shared" si="94"/>
        <v>greatest story ever told (feat. tyler childers) [live at radio city music hall, new york, ny 4/3/22]</v>
      </c>
      <c r="F2866" t="s">
        <v>5826</v>
      </c>
      <c r="G2866" t="str">
        <f>_xlfn.IFNA(VLOOKUP(F2866,songs!$B$1:$C$1539, 2, FALSE),"")</f>
        <v>Greatest Story Ever Told</v>
      </c>
      <c r="H2866" t="s">
        <v>7867</v>
      </c>
    </row>
    <row r="2867" spans="1:8" x14ac:dyDescent="0.25">
      <c r="A2867">
        <v>2868</v>
      </c>
      <c r="B2867" t="s">
        <v>3618</v>
      </c>
      <c r="C2867" t="s">
        <v>3619</v>
      </c>
      <c r="D2867" t="str">
        <f t="shared" si="95"/>
        <v/>
      </c>
      <c r="E2867" t="str">
        <f t="shared" si="94"/>
        <v>black-throated wind (live at radio city music hall, new york, ny 4/3/22)</v>
      </c>
      <c r="F2867" t="s">
        <v>5193</v>
      </c>
      <c r="G2867" t="str">
        <f>_xlfn.IFNA(VLOOKUP(F2867,songs!$B$1:$C$1539, 2, FALSE),"")</f>
        <v>Black Throated Wind</v>
      </c>
      <c r="H2867" t="s">
        <v>7867</v>
      </c>
    </row>
    <row r="2868" spans="1:8" x14ac:dyDescent="0.25">
      <c r="A2868">
        <v>2869</v>
      </c>
      <c r="B2868" t="s">
        <v>3620</v>
      </c>
      <c r="C2868" t="s">
        <v>3621</v>
      </c>
      <c r="D2868" t="str">
        <f t="shared" si="95"/>
        <v/>
      </c>
      <c r="E2868" t="str">
        <f t="shared" si="94"/>
        <v>walk in the sunshine (feat. brittney spencer) [live at radio city music hall, new york, ny 4/3/22]</v>
      </c>
      <c r="F2868" t="s">
        <v>7888</v>
      </c>
      <c r="G2868" t="s">
        <v>7889</v>
      </c>
      <c r="H2868" t="s">
        <v>7867</v>
      </c>
    </row>
    <row r="2869" spans="1:8" x14ac:dyDescent="0.25">
      <c r="A2869">
        <v>2870</v>
      </c>
      <c r="B2869" t="s">
        <v>3622</v>
      </c>
      <c r="C2869" t="s">
        <v>3623</v>
      </c>
      <c r="D2869" t="str">
        <f t="shared" si="95"/>
        <v/>
      </c>
      <c r="E2869" t="str">
        <f t="shared" si="94"/>
        <v>playing in the band (live at radio city music hall, new york, ny 4/3/22)</v>
      </c>
      <c r="F2869" t="s">
        <v>6769</v>
      </c>
      <c r="G2869" t="str">
        <f>_xlfn.IFNA(VLOOKUP(F2869,songs!$B$1:$C$1539, 2, FALSE),"")</f>
        <v>Playing In The Band</v>
      </c>
      <c r="H2869" t="s">
        <v>7867</v>
      </c>
    </row>
    <row r="2870" spans="1:8" x14ac:dyDescent="0.25">
      <c r="A2870">
        <v>2871</v>
      </c>
      <c r="B2870" t="s">
        <v>3624</v>
      </c>
      <c r="C2870" t="s">
        <v>3625</v>
      </c>
      <c r="D2870" t="str">
        <f t="shared" si="95"/>
        <v/>
      </c>
      <c r="E2870" t="str">
        <f t="shared" si="94"/>
        <v>looks like rain (feat. brittney spencer) [live at radio city music hall, new york, ny 4/3/22]</v>
      </c>
      <c r="F2870" t="s">
        <v>6398</v>
      </c>
      <c r="G2870" t="str">
        <f>_xlfn.IFNA(VLOOKUP(F2870,songs!$B$1:$C$1539, 2, FALSE),"")</f>
        <v>Looks Like Rain</v>
      </c>
      <c r="H2870" t="s">
        <v>7867</v>
      </c>
    </row>
    <row r="2871" spans="1:8" x14ac:dyDescent="0.25">
      <c r="A2871">
        <v>2872</v>
      </c>
      <c r="B2871" t="s">
        <v>3626</v>
      </c>
      <c r="C2871" t="s">
        <v>3627</v>
      </c>
      <c r="D2871" t="str">
        <f t="shared" si="95"/>
        <v/>
      </c>
      <c r="E2871" t="str">
        <f t="shared" si="94"/>
        <v>mexicali blues intro (live at radio city music hall, new york, ny 4/3/22)</v>
      </c>
      <c r="F2871" t="s">
        <v>6499</v>
      </c>
      <c r="G2871" t="str">
        <f>_xlfn.IFNA(VLOOKUP(F2871,songs!$B$1:$C$1539, 2, FALSE),"")</f>
        <v>Mexicali Blues</v>
      </c>
      <c r="H2871" t="s">
        <v>7867</v>
      </c>
    </row>
    <row r="2872" spans="1:8" x14ac:dyDescent="0.25">
      <c r="A2872">
        <v>2873</v>
      </c>
      <c r="B2872" t="s">
        <v>3628</v>
      </c>
      <c r="C2872" t="s">
        <v>3629</v>
      </c>
      <c r="D2872" t="str">
        <f t="shared" si="95"/>
        <v/>
      </c>
      <c r="E2872" t="str">
        <f t="shared" si="94"/>
        <v>mexicali blues (live at radio city music hall, new york, ny 4/3/22)</v>
      </c>
      <c r="F2872" t="s">
        <v>6499</v>
      </c>
      <c r="G2872" t="str">
        <f>_xlfn.IFNA(VLOOKUP(F2872,songs!$B$1:$C$1539, 2, FALSE),"")</f>
        <v>Mexicali Blues</v>
      </c>
      <c r="H2872" t="s">
        <v>7867</v>
      </c>
    </row>
    <row r="2873" spans="1:8" x14ac:dyDescent="0.25">
      <c r="A2873">
        <v>2874</v>
      </c>
      <c r="B2873" t="s">
        <v>3630</v>
      </c>
      <c r="C2873" t="s">
        <v>3631</v>
      </c>
      <c r="D2873" t="str">
        <f t="shared" si="95"/>
        <v/>
      </c>
      <c r="E2873" t="str">
        <f t="shared" si="94"/>
        <v>one more saturday night (live at radio city music hall, new york, ny 4/3/22)</v>
      </c>
      <c r="F2873" t="s">
        <v>6702</v>
      </c>
      <c r="G2873" t="str">
        <f>_xlfn.IFNA(VLOOKUP(F2873,songs!$B$1:$C$1539, 2, FALSE),"")</f>
        <v>One More Saturday Night</v>
      </c>
      <c r="H2873" t="s">
        <v>7867</v>
      </c>
    </row>
    <row r="2874" spans="1:8" x14ac:dyDescent="0.25">
      <c r="A2874">
        <v>2875</v>
      </c>
      <c r="B2874" t="s">
        <v>3632</v>
      </c>
      <c r="C2874" t="s">
        <v>3633</v>
      </c>
      <c r="D2874" t="str">
        <f t="shared" si="95"/>
        <v/>
      </c>
      <c r="E2874" t="str">
        <f t="shared" si="94"/>
        <v>cassidy (live at radio city music hall, new york, ny 4/3/22)</v>
      </c>
      <c r="F2874" t="s">
        <v>5291</v>
      </c>
      <c r="G2874" t="str">
        <f>_xlfn.IFNA(VLOOKUP(F2874,songs!$B$1:$C$1539, 2, FALSE),"")</f>
        <v>Cassidy</v>
      </c>
      <c r="H2874" t="s">
        <v>7867</v>
      </c>
    </row>
    <row r="2875" spans="1:8" x14ac:dyDescent="0.25">
      <c r="A2875">
        <v>2883</v>
      </c>
      <c r="B2875" t="s">
        <v>3641</v>
      </c>
      <c r="C2875" t="s">
        <v>615</v>
      </c>
      <c r="D2875" t="str">
        <f t="shared" si="95"/>
        <v/>
      </c>
      <c r="E2875" t="str">
        <f t="shared" si="94"/>
        <v>brown-eyed women</v>
      </c>
      <c r="F2875" t="s">
        <v>5255</v>
      </c>
      <c r="G2875" t="str">
        <f>_xlfn.IFNA(VLOOKUP(F2875,songs!$B$1:$C$1539, 2, FALSE),"")</f>
        <v>Brown Eyed Women</v>
      </c>
      <c r="H2875" t="s">
        <v>7867</v>
      </c>
    </row>
    <row r="2876" spans="1:8" x14ac:dyDescent="0.25">
      <c r="A2876">
        <v>2890</v>
      </c>
      <c r="B2876" t="s">
        <v>3648</v>
      </c>
      <c r="C2876" t="s">
        <v>3649</v>
      </c>
      <c r="D2876" t="str">
        <f t="shared" si="95"/>
        <v/>
      </c>
      <c r="E2876" t="str">
        <f t="shared" si="94"/>
        <v>epilogue</v>
      </c>
      <c r="F2876" t="s">
        <v>7841</v>
      </c>
      <c r="G2876" t="s">
        <v>3649</v>
      </c>
      <c r="H2876" t="s">
        <v>7867</v>
      </c>
    </row>
    <row r="2877" spans="1:8" x14ac:dyDescent="0.25">
      <c r="A2877">
        <v>2876</v>
      </c>
      <c r="B2877" t="s">
        <v>3634</v>
      </c>
      <c r="C2877" t="s">
        <v>225</v>
      </c>
      <c r="D2877" t="str">
        <f t="shared" si="95"/>
        <v/>
      </c>
      <c r="E2877" t="str">
        <f t="shared" si="94"/>
        <v>cumberland blues</v>
      </c>
      <c r="F2877" t="s">
        <v>5411</v>
      </c>
      <c r="G2877" t="str">
        <f>_xlfn.IFNA(VLOOKUP(F2877,songs!$B$1:$C$1539, 2, FALSE),"")</f>
        <v>Cumberland Blues</v>
      </c>
      <c r="H2877" t="s">
        <v>225</v>
      </c>
    </row>
    <row r="2878" spans="1:8" x14ac:dyDescent="0.25">
      <c r="A2878">
        <v>2877</v>
      </c>
      <c r="B2878" t="s">
        <v>3635</v>
      </c>
      <c r="C2878" t="s">
        <v>13</v>
      </c>
      <c r="D2878" t="str">
        <f t="shared" si="95"/>
        <v/>
      </c>
      <c r="E2878" t="str">
        <f t="shared" si="94"/>
        <v>he's gone</v>
      </c>
      <c r="F2878" t="s">
        <v>5903</v>
      </c>
      <c r="G2878" t="str">
        <f>_xlfn.IFNA(VLOOKUP(F2878,songs!$B$1:$C$1539, 2, FALSE),"")</f>
        <v>He's Gone</v>
      </c>
      <c r="H2878" t="s">
        <v>13</v>
      </c>
    </row>
    <row r="2879" spans="1:8" x14ac:dyDescent="0.25">
      <c r="A2879">
        <v>2878</v>
      </c>
      <c r="B2879" t="s">
        <v>3636</v>
      </c>
      <c r="C2879" t="s">
        <v>956</v>
      </c>
      <c r="D2879" t="str">
        <f t="shared" si="95"/>
        <v/>
      </c>
      <c r="E2879" t="str">
        <f t="shared" si="94"/>
        <v>one more saturday night</v>
      </c>
      <c r="F2879" t="s">
        <v>6702</v>
      </c>
      <c r="G2879" t="str">
        <f>_xlfn.IFNA(VLOOKUP(F2879,songs!$B$1:$C$1539, 2, FALSE),"")</f>
        <v>One More Saturday Night</v>
      </c>
      <c r="H2879" t="s">
        <v>956</v>
      </c>
    </row>
    <row r="2880" spans="1:8" x14ac:dyDescent="0.25">
      <c r="A2880">
        <v>2879</v>
      </c>
      <c r="B2880" t="s">
        <v>3637</v>
      </c>
      <c r="C2880" t="s">
        <v>199</v>
      </c>
      <c r="D2880" t="str">
        <f t="shared" si="95"/>
        <v/>
      </c>
      <c r="E2880" t="str">
        <f t="shared" si="94"/>
        <v>jack straw</v>
      </c>
      <c r="F2880" t="s">
        <v>6161</v>
      </c>
      <c r="G2880" t="str">
        <f>_xlfn.IFNA(VLOOKUP(F2880,songs!$B$1:$C$1539, 2, FALSE),"")</f>
        <v>Jack Straw</v>
      </c>
      <c r="H2880" t="s">
        <v>199</v>
      </c>
    </row>
    <row r="2881" spans="1:8" x14ac:dyDescent="0.25">
      <c r="A2881">
        <v>2880</v>
      </c>
      <c r="B2881" t="s">
        <v>3638</v>
      </c>
      <c r="C2881" t="s">
        <v>1011</v>
      </c>
      <c r="D2881" t="str">
        <f t="shared" si="95"/>
        <v/>
      </c>
      <c r="E2881" t="str">
        <f t="shared" si="94"/>
        <v>you win again</v>
      </c>
      <c r="F2881" t="s">
        <v>7793</v>
      </c>
      <c r="G2881" t="str">
        <f>_xlfn.IFNA(VLOOKUP(F2881,songs!$B$1:$C$1539, 2, FALSE),"")</f>
        <v>You Win Again</v>
      </c>
      <c r="H2881" t="s">
        <v>1011</v>
      </c>
    </row>
    <row r="2882" spans="1:8" x14ac:dyDescent="0.25">
      <c r="A2882">
        <v>2881</v>
      </c>
      <c r="B2882" t="s">
        <v>3639</v>
      </c>
      <c r="C2882" t="s">
        <v>84</v>
      </c>
      <c r="D2882" t="str">
        <f t="shared" si="95"/>
        <v/>
      </c>
      <c r="E2882" t="str">
        <f t="shared" si="94"/>
        <v>china cat sunflower</v>
      </c>
      <c r="F2882" t="s">
        <v>5319</v>
      </c>
      <c r="G2882" t="str">
        <f>_xlfn.IFNA(VLOOKUP(F2882,songs!$B$1:$C$1539, 2, FALSE),"")</f>
        <v>China Cat Sunflower</v>
      </c>
      <c r="H2882" t="s">
        <v>84</v>
      </c>
    </row>
    <row r="2883" spans="1:8" x14ac:dyDescent="0.25">
      <c r="A2883">
        <v>2882</v>
      </c>
      <c r="B2883" t="s">
        <v>3640</v>
      </c>
      <c r="C2883" t="s">
        <v>86</v>
      </c>
      <c r="D2883" t="str">
        <f t="shared" si="95"/>
        <v/>
      </c>
      <c r="E2883" t="str">
        <f t="shared" si="94"/>
        <v>i know you rider</v>
      </c>
      <c r="F2883" t="s">
        <v>6020</v>
      </c>
      <c r="G2883" t="str">
        <f>_xlfn.IFNA(VLOOKUP(F2883,songs!$B$1:$C$1539, 2, FALSE),"")</f>
        <v>I Know You Rider</v>
      </c>
      <c r="H2883" t="s">
        <v>86</v>
      </c>
    </row>
    <row r="2884" spans="1:8" x14ac:dyDescent="0.25">
      <c r="A2884">
        <v>2895</v>
      </c>
      <c r="B2884" t="s">
        <v>3655</v>
      </c>
      <c r="C2884" t="s">
        <v>3656</v>
      </c>
      <c r="D2884" t="str">
        <f t="shared" si="95"/>
        <v/>
      </c>
      <c r="E2884" t="str">
        <f t="shared" ref="E2884:E2947" si="96">LOWER(TRIM(SUBSTITUTE(IF(RIGHT(TRIM(C2884),2)="-&gt;",LEFT(TRIM(C2884),LEN(TRIM(C2884))-2),IF(RIGHT(TRIM(C2884),1)="&gt;",LEFT(TRIM(C2884),LEN(TRIM(C2884))-1),C2884)),"//","")))</f>
        <v>mr charlie</v>
      </c>
      <c r="F2884" t="s">
        <v>6571</v>
      </c>
      <c r="G2884" t="str">
        <f>_xlfn.IFNA(VLOOKUP(F2884,songs!$B$1:$C$1539, 2, FALSE),"")</f>
        <v>Mr. Charlie</v>
      </c>
      <c r="H2884" t="s">
        <v>7867</v>
      </c>
    </row>
    <row r="2885" spans="1:8" x14ac:dyDescent="0.25">
      <c r="A2885">
        <v>2884</v>
      </c>
      <c r="B2885" t="s">
        <v>3642</v>
      </c>
      <c r="C2885" t="s">
        <v>701</v>
      </c>
      <c r="D2885" t="str">
        <f t="shared" si="95"/>
        <v/>
      </c>
      <c r="E2885" t="str">
        <f t="shared" si="96"/>
        <v>hurts me too</v>
      </c>
      <c r="F2885" t="s">
        <v>5979</v>
      </c>
      <c r="G2885" t="str">
        <f>_xlfn.IFNA(VLOOKUP(F2885,songs!$B$1:$C$1539, 2, FALSE),"")</f>
        <v>Hurts Me Too</v>
      </c>
      <c r="H2885" t="s">
        <v>701</v>
      </c>
    </row>
    <row r="2886" spans="1:8" x14ac:dyDescent="0.25">
      <c r="A2886">
        <v>2885</v>
      </c>
      <c r="B2886" t="s">
        <v>3643</v>
      </c>
      <c r="C2886" t="s">
        <v>336</v>
      </c>
      <c r="D2886" t="str">
        <f t="shared" si="95"/>
        <v/>
      </c>
      <c r="E2886" t="str">
        <f t="shared" si="96"/>
        <v>ramble on rose</v>
      </c>
      <c r="F2886" t="s">
        <v>6827</v>
      </c>
      <c r="G2886" t="str">
        <f>_xlfn.IFNA(VLOOKUP(F2886,songs!$B$1:$C$1539, 2, FALSE),"")</f>
        <v>Ramble On Rose</v>
      </c>
      <c r="H2886" t="s">
        <v>436</v>
      </c>
    </row>
    <row r="2887" spans="1:8" x14ac:dyDescent="0.25">
      <c r="A2887">
        <v>2886</v>
      </c>
      <c r="B2887" t="s">
        <v>3644</v>
      </c>
      <c r="C2887" t="s">
        <v>30</v>
      </c>
      <c r="D2887" t="str">
        <f t="shared" si="95"/>
        <v/>
      </c>
      <c r="E2887" t="str">
        <f t="shared" si="96"/>
        <v>sugar magnolia</v>
      </c>
      <c r="F2887" t="s">
        <v>7150</v>
      </c>
      <c r="G2887" t="str">
        <f>_xlfn.IFNA(VLOOKUP(F2887,songs!$B$1:$C$1539, 2, FALSE),"")</f>
        <v>Sugar Magnolia</v>
      </c>
      <c r="H2887" t="s">
        <v>30</v>
      </c>
    </row>
    <row r="2888" spans="1:8" x14ac:dyDescent="0.25">
      <c r="A2888">
        <v>2887</v>
      </c>
      <c r="B2888" t="s">
        <v>3645</v>
      </c>
      <c r="C2888" t="s">
        <v>1013</v>
      </c>
      <c r="D2888" t="str">
        <f t="shared" si="95"/>
        <v/>
      </c>
      <c r="E2888" t="str">
        <f t="shared" si="96"/>
        <v>mr. charlie</v>
      </c>
      <c r="F2888" t="s">
        <v>6571</v>
      </c>
      <c r="G2888" t="str">
        <f>_xlfn.IFNA(VLOOKUP(F2888,songs!$B$1:$C$1539, 2, FALSE),"")</f>
        <v>Mr. Charlie</v>
      </c>
      <c r="H2888" t="s">
        <v>1013</v>
      </c>
    </row>
    <row r="2889" spans="1:8" x14ac:dyDescent="0.25">
      <c r="A2889">
        <v>2888</v>
      </c>
      <c r="B2889" t="s">
        <v>3646</v>
      </c>
      <c r="C2889" t="s">
        <v>164</v>
      </c>
      <c r="D2889" t="str">
        <f t="shared" ref="D2889:D2952" si="97">IF(RIGHT(TRIM(C2889),2)="-&gt;","&gt;",IF(RIGHT(TRIM(C2889),1)="&gt;","&gt;",""))</f>
        <v/>
      </c>
      <c r="E2889" t="str">
        <f t="shared" si="96"/>
        <v>tennessee jed</v>
      </c>
      <c r="F2889" t="s">
        <v>7234</v>
      </c>
      <c r="G2889" t="str">
        <f>_xlfn.IFNA(VLOOKUP(F2889,songs!$B$1:$C$1539, 2, FALSE),"")</f>
        <v>Tennessee Jed</v>
      </c>
      <c r="H2889" t="s">
        <v>164</v>
      </c>
    </row>
    <row r="2890" spans="1:8" x14ac:dyDescent="0.25">
      <c r="A2890">
        <v>2889</v>
      </c>
      <c r="B2890" t="s">
        <v>3647</v>
      </c>
      <c r="C2890" t="s">
        <v>15</v>
      </c>
      <c r="D2890" t="str">
        <f t="shared" si="97"/>
        <v/>
      </c>
      <c r="E2890" t="str">
        <f t="shared" si="96"/>
        <v>truckin'</v>
      </c>
      <c r="F2890" t="s">
        <v>7436</v>
      </c>
      <c r="G2890" t="str">
        <f>_xlfn.IFNA(VLOOKUP(F2890,songs!$B$1:$C$1539, 2, FALSE),"")</f>
        <v>Truckin'</v>
      </c>
      <c r="H2890" t="s">
        <v>15</v>
      </c>
    </row>
    <row r="2891" spans="1:8" x14ac:dyDescent="0.25">
      <c r="A2891">
        <v>2896</v>
      </c>
      <c r="B2891" t="s">
        <v>3657</v>
      </c>
      <c r="C2891" t="s">
        <v>190</v>
      </c>
      <c r="D2891" t="str">
        <f t="shared" si="97"/>
        <v/>
      </c>
      <c r="E2891" t="str">
        <f t="shared" si="96"/>
        <v>black-throated wind</v>
      </c>
      <c r="F2891" t="s">
        <v>5193</v>
      </c>
      <c r="G2891" t="str">
        <f>_xlfn.IFNA(VLOOKUP(F2891,songs!$B$1:$C$1539, 2, FALSE),"")</f>
        <v>Black Throated Wind</v>
      </c>
      <c r="H2891" t="s">
        <v>7867</v>
      </c>
    </row>
    <row r="2892" spans="1:8" x14ac:dyDescent="0.25">
      <c r="A2892">
        <v>2905</v>
      </c>
      <c r="B2892" t="s">
        <v>3666</v>
      </c>
      <c r="C2892" t="s">
        <v>3667</v>
      </c>
      <c r="D2892" t="str">
        <f t="shared" si="97"/>
        <v/>
      </c>
      <c r="E2892" t="str">
        <f t="shared" si="96"/>
        <v>the stranger (two souls in communion)</v>
      </c>
      <c r="F2892" t="s">
        <v>7460</v>
      </c>
      <c r="G2892" t="str">
        <f>_xlfn.IFNA(VLOOKUP(F2892,songs!$B$1:$C$1539, 2, FALSE),"")</f>
        <v>Two Souls In Communion</v>
      </c>
      <c r="H2892" t="s">
        <v>7867</v>
      </c>
    </row>
    <row r="2893" spans="1:8" x14ac:dyDescent="0.25">
      <c r="A2893">
        <v>2892</v>
      </c>
      <c r="B2893" t="s">
        <v>3652</v>
      </c>
      <c r="C2893" t="s">
        <v>212</v>
      </c>
      <c r="D2893" t="str">
        <f t="shared" si="97"/>
        <v/>
      </c>
      <c r="E2893" t="str">
        <f t="shared" si="96"/>
        <v>morning dew</v>
      </c>
      <c r="F2893" t="s">
        <v>6555</v>
      </c>
      <c r="G2893" t="str">
        <f>_xlfn.IFNA(VLOOKUP(F2893,songs!$B$1:$C$1539, 2, FALSE),"")</f>
        <v>Morning Dew</v>
      </c>
      <c r="H2893" t="s">
        <v>212</v>
      </c>
    </row>
    <row r="2894" spans="1:8" x14ac:dyDescent="0.25">
      <c r="A2894">
        <v>2893</v>
      </c>
      <c r="B2894" t="s">
        <v>3653</v>
      </c>
      <c r="C2894" t="s">
        <v>130</v>
      </c>
      <c r="D2894" t="str">
        <f t="shared" si="97"/>
        <v/>
      </c>
      <c r="E2894" t="str">
        <f t="shared" si="96"/>
        <v>promised land</v>
      </c>
      <c r="F2894" t="s">
        <v>6797</v>
      </c>
      <c r="G2894" t="str">
        <f>_xlfn.IFNA(VLOOKUP(F2894,songs!$B$1:$C$1539, 2, FALSE),"")</f>
        <v>Promised Land</v>
      </c>
      <c r="H2894" t="s">
        <v>130</v>
      </c>
    </row>
    <row r="2895" spans="1:8" x14ac:dyDescent="0.25">
      <c r="A2895">
        <v>2894</v>
      </c>
      <c r="B2895" t="s">
        <v>3654</v>
      </c>
      <c r="C2895" t="s">
        <v>51</v>
      </c>
      <c r="D2895" t="str">
        <f t="shared" si="97"/>
        <v/>
      </c>
      <c r="E2895" t="str">
        <f t="shared" si="96"/>
        <v>sugaree</v>
      </c>
      <c r="F2895" t="s">
        <v>7151</v>
      </c>
      <c r="G2895" t="str">
        <f>_xlfn.IFNA(VLOOKUP(F2895,songs!$B$1:$C$1539, 2, FALSE),"")</f>
        <v>Sugaree</v>
      </c>
      <c r="H2895" t="s">
        <v>51</v>
      </c>
    </row>
    <row r="2896" spans="1:8" x14ac:dyDescent="0.25">
      <c r="A2896">
        <v>2918</v>
      </c>
      <c r="B2896" t="s">
        <v>3682</v>
      </c>
      <c r="C2896" t="s">
        <v>36</v>
      </c>
      <c r="D2896" t="str">
        <f t="shared" si="97"/>
        <v/>
      </c>
      <c r="E2896" t="str">
        <f t="shared" si="96"/>
        <v>goin' down the road feeling bad</v>
      </c>
      <c r="F2896" t="s">
        <v>5783</v>
      </c>
      <c r="G2896" t="str">
        <f>_xlfn.IFNA(VLOOKUP(F2896,songs!$B$1:$C$1539, 2, FALSE),"")</f>
        <v>Goin' Down The Road Feelin' Bad</v>
      </c>
      <c r="H2896" t="s">
        <v>7867</v>
      </c>
    </row>
    <row r="2897" spans="1:8" x14ac:dyDescent="0.25">
      <c r="A2897">
        <v>2919</v>
      </c>
      <c r="B2897" t="s">
        <v>3683</v>
      </c>
      <c r="C2897" t="s">
        <v>3408</v>
      </c>
      <c r="D2897" t="str">
        <f t="shared" si="97"/>
        <v/>
      </c>
      <c r="E2897" t="str">
        <f t="shared" si="96"/>
        <v>not fade away pt 1</v>
      </c>
      <c r="F2897" t="s">
        <v>6651</v>
      </c>
      <c r="G2897" t="str">
        <f>_xlfn.IFNA(VLOOKUP(F2897,songs!$B$1:$C$1539, 2, FALSE),"")</f>
        <v>Not Fade Away</v>
      </c>
      <c r="H2897" t="s">
        <v>7867</v>
      </c>
    </row>
    <row r="2898" spans="1:8" x14ac:dyDescent="0.25">
      <c r="A2898">
        <v>2897</v>
      </c>
      <c r="B2898" t="s">
        <v>3658</v>
      </c>
      <c r="C2898" t="s">
        <v>164</v>
      </c>
      <c r="D2898" t="str">
        <f t="shared" si="97"/>
        <v/>
      </c>
      <c r="E2898" t="str">
        <f t="shared" si="96"/>
        <v>tennessee jed</v>
      </c>
      <c r="F2898" t="s">
        <v>7234</v>
      </c>
      <c r="G2898" t="str">
        <f>_xlfn.IFNA(VLOOKUP(F2898,songs!$B$1:$C$1539, 2, FALSE),"")</f>
        <v>Tennessee Jed</v>
      </c>
      <c r="H2898" t="s">
        <v>164</v>
      </c>
    </row>
    <row r="2899" spans="1:8" x14ac:dyDescent="0.25">
      <c r="A2899">
        <v>2898</v>
      </c>
      <c r="B2899" t="s">
        <v>3659</v>
      </c>
      <c r="C2899" t="s">
        <v>1017</v>
      </c>
      <c r="D2899" t="str">
        <f t="shared" si="97"/>
        <v/>
      </c>
      <c r="E2899" t="str">
        <f t="shared" si="96"/>
        <v>next time you see me</v>
      </c>
      <c r="F2899" t="s">
        <v>6629</v>
      </c>
      <c r="G2899" t="str">
        <f>_xlfn.IFNA(VLOOKUP(F2899,songs!$B$1:$C$1539, 2, FALSE),"")</f>
        <v>Next Time You See Me</v>
      </c>
      <c r="H2899" t="s">
        <v>1017</v>
      </c>
    </row>
    <row r="2900" spans="1:8" x14ac:dyDescent="0.25">
      <c r="A2900">
        <v>2899</v>
      </c>
      <c r="B2900" t="s">
        <v>3660</v>
      </c>
      <c r="C2900" t="s">
        <v>199</v>
      </c>
      <c r="D2900" t="str">
        <f t="shared" si="97"/>
        <v/>
      </c>
      <c r="E2900" t="str">
        <f t="shared" si="96"/>
        <v>jack straw</v>
      </c>
      <c r="F2900" t="s">
        <v>6161</v>
      </c>
      <c r="G2900" t="str">
        <f>_xlfn.IFNA(VLOOKUP(F2900,songs!$B$1:$C$1539, 2, FALSE),"")</f>
        <v>Jack Straw</v>
      </c>
      <c r="H2900" t="s">
        <v>199</v>
      </c>
    </row>
    <row r="2901" spans="1:8" x14ac:dyDescent="0.25">
      <c r="A2901">
        <v>2900</v>
      </c>
      <c r="B2901" t="s">
        <v>3661</v>
      </c>
      <c r="C2901" t="s">
        <v>84</v>
      </c>
      <c r="D2901" t="str">
        <f t="shared" si="97"/>
        <v/>
      </c>
      <c r="E2901" t="str">
        <f t="shared" si="96"/>
        <v>china cat sunflower</v>
      </c>
      <c r="F2901" t="s">
        <v>5319</v>
      </c>
      <c r="G2901" t="str">
        <f>_xlfn.IFNA(VLOOKUP(F2901,songs!$B$1:$C$1539, 2, FALSE),"")</f>
        <v>China Cat Sunflower</v>
      </c>
      <c r="H2901" t="s">
        <v>84</v>
      </c>
    </row>
    <row r="2902" spans="1:8" x14ac:dyDescent="0.25">
      <c r="A2902">
        <v>2901</v>
      </c>
      <c r="B2902" t="s">
        <v>3662</v>
      </c>
      <c r="C2902" t="s">
        <v>86</v>
      </c>
      <c r="D2902" t="str">
        <f t="shared" si="97"/>
        <v/>
      </c>
      <c r="E2902" t="str">
        <f t="shared" si="96"/>
        <v>i know you rider</v>
      </c>
      <c r="F2902" t="s">
        <v>6020</v>
      </c>
      <c r="G2902" t="str">
        <f>_xlfn.IFNA(VLOOKUP(F2902,songs!$B$1:$C$1539, 2, FALSE),"")</f>
        <v>I Know You Rider</v>
      </c>
      <c r="H2902" t="s">
        <v>86</v>
      </c>
    </row>
    <row r="2903" spans="1:8" x14ac:dyDescent="0.25">
      <c r="A2903">
        <v>2902</v>
      </c>
      <c r="B2903" t="s">
        <v>3663</v>
      </c>
      <c r="C2903" t="s">
        <v>595</v>
      </c>
      <c r="D2903" t="str">
        <f t="shared" si="97"/>
        <v/>
      </c>
      <c r="E2903" t="str">
        <f t="shared" si="96"/>
        <v>me and my uncle</v>
      </c>
      <c r="F2903" t="s">
        <v>6486</v>
      </c>
      <c r="G2903" t="str">
        <f>_xlfn.IFNA(VLOOKUP(F2903,songs!$B$1:$C$1539, 2, FALSE),"")</f>
        <v>Me And My Uncle</v>
      </c>
      <c r="H2903" t="s">
        <v>903</v>
      </c>
    </row>
    <row r="2904" spans="1:8" x14ac:dyDescent="0.25">
      <c r="A2904">
        <v>2903</v>
      </c>
      <c r="B2904" t="s">
        <v>3664</v>
      </c>
      <c r="C2904" t="s">
        <v>1008</v>
      </c>
      <c r="D2904" t="str">
        <f t="shared" si="97"/>
        <v/>
      </c>
      <c r="E2904" t="str">
        <f t="shared" si="96"/>
        <v>chinatown shuffle</v>
      </c>
      <c r="F2904" t="s">
        <v>5321</v>
      </c>
      <c r="G2904" t="str">
        <f>_xlfn.IFNA(VLOOKUP(F2904,songs!$B$1:$C$1539, 2, FALSE),"")</f>
        <v>Chinatown Shuffle</v>
      </c>
      <c r="H2904" t="s">
        <v>1008</v>
      </c>
    </row>
    <row r="2905" spans="1:8" x14ac:dyDescent="0.25">
      <c r="A2905">
        <v>2904</v>
      </c>
      <c r="B2905" t="s">
        <v>3665</v>
      </c>
      <c r="C2905" t="s">
        <v>9</v>
      </c>
      <c r="D2905" t="str">
        <f t="shared" si="97"/>
        <v/>
      </c>
      <c r="E2905" t="str">
        <f t="shared" si="96"/>
        <v>big railroad blues</v>
      </c>
      <c r="F2905" t="s">
        <v>5174</v>
      </c>
      <c r="G2905" t="str">
        <f>_xlfn.IFNA(VLOOKUP(F2905,songs!$B$1:$C$1539, 2, FALSE),"")</f>
        <v>Big Railroad Blues</v>
      </c>
      <c r="H2905" t="s">
        <v>9</v>
      </c>
    </row>
    <row r="2906" spans="1:8" x14ac:dyDescent="0.25">
      <c r="A2906">
        <v>2921</v>
      </c>
      <c r="B2906" t="s">
        <v>3685</v>
      </c>
      <c r="C2906" t="s">
        <v>3411</v>
      </c>
      <c r="D2906" t="str">
        <f t="shared" si="97"/>
        <v/>
      </c>
      <c r="E2906" t="str">
        <f t="shared" si="96"/>
        <v>not fade away pt 2</v>
      </c>
      <c r="F2906" t="s">
        <v>6651</v>
      </c>
      <c r="G2906" t="str">
        <f>_xlfn.IFNA(VLOOKUP(F2906,songs!$B$1:$C$1539, 2, FALSE),"")</f>
        <v>Not Fade Away</v>
      </c>
      <c r="H2906" t="s">
        <v>7867</v>
      </c>
    </row>
    <row r="2907" spans="1:8" x14ac:dyDescent="0.25">
      <c r="A2907">
        <v>2906</v>
      </c>
      <c r="B2907" t="s">
        <v>3668</v>
      </c>
      <c r="C2907" t="s">
        <v>11</v>
      </c>
      <c r="D2907" t="str">
        <f t="shared" si="97"/>
        <v/>
      </c>
      <c r="E2907" t="str">
        <f t="shared" si="96"/>
        <v>playing in the band</v>
      </c>
      <c r="F2907" t="s">
        <v>6769</v>
      </c>
      <c r="G2907" t="str">
        <f>_xlfn.IFNA(VLOOKUP(F2907,songs!$B$1:$C$1539, 2, FALSE),"")</f>
        <v>Playing In The Band</v>
      </c>
      <c r="H2907" t="s">
        <v>419</v>
      </c>
    </row>
    <row r="2908" spans="1:8" x14ac:dyDescent="0.25">
      <c r="A2908">
        <v>2907</v>
      </c>
      <c r="B2908" t="s">
        <v>3669</v>
      </c>
      <c r="C2908" t="s">
        <v>3670</v>
      </c>
      <c r="D2908" t="str">
        <f t="shared" si="97"/>
        <v/>
      </c>
      <c r="E2908" t="str">
        <f t="shared" si="96"/>
        <v>sitting on top of the world</v>
      </c>
      <c r="F2908" t="s">
        <v>7024</v>
      </c>
      <c r="G2908" t="str">
        <f>_xlfn.IFNA(VLOOKUP(F2908,songs!$B$1:$C$1539, 2, FALSE),"")</f>
        <v>Sitting On Top Of The World</v>
      </c>
      <c r="H2908" t="s">
        <v>843</v>
      </c>
    </row>
    <row r="2909" spans="1:8" x14ac:dyDescent="0.25">
      <c r="A2909">
        <v>2925</v>
      </c>
      <c r="B2909" t="s">
        <v>3689</v>
      </c>
      <c r="C2909" t="s">
        <v>3656</v>
      </c>
      <c r="D2909" t="str">
        <f t="shared" si="97"/>
        <v/>
      </c>
      <c r="E2909" t="str">
        <f t="shared" si="96"/>
        <v>mr charlie</v>
      </c>
      <c r="F2909" t="s">
        <v>6571</v>
      </c>
      <c r="G2909" t="str">
        <f>_xlfn.IFNA(VLOOKUP(F2909,songs!$B$1:$C$1539, 2, FALSE),"")</f>
        <v>Mr. Charlie</v>
      </c>
      <c r="H2909" t="s">
        <v>7867</v>
      </c>
    </row>
    <row r="2910" spans="1:8" x14ac:dyDescent="0.25">
      <c r="A2910">
        <v>2909</v>
      </c>
      <c r="B2910" t="s">
        <v>3673</v>
      </c>
      <c r="C2910" t="s">
        <v>186</v>
      </c>
      <c r="D2910" t="str">
        <f t="shared" si="97"/>
        <v/>
      </c>
      <c r="E2910" t="str">
        <f t="shared" si="96"/>
        <v>mexicali blues</v>
      </c>
      <c r="F2910" t="s">
        <v>6499</v>
      </c>
      <c r="G2910" t="str">
        <f>_xlfn.IFNA(VLOOKUP(F2910,songs!$B$1:$C$1539, 2, FALSE),"")</f>
        <v>Mexicali Blues</v>
      </c>
      <c r="H2910" t="s">
        <v>186</v>
      </c>
    </row>
    <row r="2911" spans="1:8" x14ac:dyDescent="0.25">
      <c r="A2911">
        <v>2910</v>
      </c>
      <c r="B2911" t="s">
        <v>3674</v>
      </c>
      <c r="C2911" t="s">
        <v>242</v>
      </c>
      <c r="D2911" t="str">
        <f t="shared" si="97"/>
        <v/>
      </c>
      <c r="E2911" t="str">
        <f t="shared" si="96"/>
        <v>good lovin'</v>
      </c>
      <c r="F2911" t="s">
        <v>5810</v>
      </c>
      <c r="G2911" t="str">
        <f>_xlfn.IFNA(VLOOKUP(F2911,songs!$B$1:$C$1539, 2, FALSE),"")</f>
        <v>Good Lovin'</v>
      </c>
      <c r="H2911" t="s">
        <v>242</v>
      </c>
    </row>
    <row r="2912" spans="1:8" x14ac:dyDescent="0.25">
      <c r="A2912">
        <v>2911</v>
      </c>
      <c r="B2912" t="s">
        <v>3675</v>
      </c>
      <c r="C2912" t="s">
        <v>81</v>
      </c>
      <c r="D2912" t="str">
        <f t="shared" si="97"/>
        <v/>
      </c>
      <c r="E2912" t="str">
        <f t="shared" si="96"/>
        <v>casey jones</v>
      </c>
      <c r="F2912" t="s">
        <v>5290</v>
      </c>
      <c r="G2912" t="str">
        <f>_xlfn.IFNA(VLOOKUP(F2912,songs!$B$1:$C$1539, 2, FALSE),"")</f>
        <v>Casey Jones</v>
      </c>
      <c r="H2912" t="s">
        <v>81</v>
      </c>
    </row>
    <row r="2913" spans="1:8" x14ac:dyDescent="0.25">
      <c r="A2913">
        <v>2912</v>
      </c>
      <c r="B2913" t="s">
        <v>3676</v>
      </c>
      <c r="C2913" t="s">
        <v>336</v>
      </c>
      <c r="D2913" t="str">
        <f t="shared" si="97"/>
        <v/>
      </c>
      <c r="E2913" t="str">
        <f t="shared" si="96"/>
        <v>ramble on rose</v>
      </c>
      <c r="F2913" t="s">
        <v>6827</v>
      </c>
      <c r="G2913" t="str">
        <f>_xlfn.IFNA(VLOOKUP(F2913,songs!$B$1:$C$1539, 2, FALSE),"")</f>
        <v>Ramble On Rose</v>
      </c>
      <c r="H2913" t="s">
        <v>436</v>
      </c>
    </row>
    <row r="2914" spans="1:8" x14ac:dyDescent="0.25">
      <c r="A2914">
        <v>2913</v>
      </c>
      <c r="B2914" t="s">
        <v>3677</v>
      </c>
      <c r="C2914" t="s">
        <v>92</v>
      </c>
      <c r="D2914" t="str">
        <f t="shared" si="97"/>
        <v/>
      </c>
      <c r="E2914" t="str">
        <f t="shared" si="96"/>
        <v>dark star</v>
      </c>
      <c r="F2914" t="s">
        <v>5428</v>
      </c>
      <c r="G2914" t="str">
        <f>_xlfn.IFNA(VLOOKUP(F2914,songs!$B$1:$C$1539, 2, FALSE),"")</f>
        <v>Dark Star</v>
      </c>
      <c r="H2914" t="s">
        <v>92</v>
      </c>
    </row>
    <row r="2915" spans="1:8" x14ac:dyDescent="0.25">
      <c r="A2915">
        <v>2914</v>
      </c>
      <c r="B2915" t="s">
        <v>3678</v>
      </c>
      <c r="C2915" t="s">
        <v>212</v>
      </c>
      <c r="D2915" t="str">
        <f t="shared" si="97"/>
        <v/>
      </c>
      <c r="E2915" t="str">
        <f t="shared" si="96"/>
        <v>morning dew</v>
      </c>
      <c r="F2915" t="s">
        <v>6555</v>
      </c>
      <c r="G2915" t="str">
        <f>_xlfn.IFNA(VLOOKUP(F2915,songs!$B$1:$C$1539, 2, FALSE),"")</f>
        <v>Morning Dew</v>
      </c>
      <c r="H2915" t="s">
        <v>212</v>
      </c>
    </row>
    <row r="2916" spans="1:8" x14ac:dyDescent="0.25">
      <c r="A2916">
        <v>2915</v>
      </c>
      <c r="B2916" t="s">
        <v>3679</v>
      </c>
      <c r="C2916" t="s">
        <v>13</v>
      </c>
      <c r="D2916" t="str">
        <f t="shared" si="97"/>
        <v/>
      </c>
      <c r="E2916" t="str">
        <f t="shared" si="96"/>
        <v>he's gone</v>
      </c>
      <c r="F2916" t="s">
        <v>5903</v>
      </c>
      <c r="G2916" t="str">
        <f>_xlfn.IFNA(VLOOKUP(F2916,songs!$B$1:$C$1539, 2, FALSE),"")</f>
        <v>He's Gone</v>
      </c>
      <c r="H2916" t="s">
        <v>13</v>
      </c>
    </row>
    <row r="2917" spans="1:8" x14ac:dyDescent="0.25">
      <c r="A2917">
        <v>2916</v>
      </c>
      <c r="B2917" t="s">
        <v>3680</v>
      </c>
      <c r="C2917" t="s">
        <v>30</v>
      </c>
      <c r="D2917" t="str">
        <f t="shared" si="97"/>
        <v/>
      </c>
      <c r="E2917" t="str">
        <f t="shared" si="96"/>
        <v>sugar magnolia</v>
      </c>
      <c r="F2917" t="s">
        <v>7150</v>
      </c>
      <c r="G2917" t="str">
        <f>_xlfn.IFNA(VLOOKUP(F2917,songs!$B$1:$C$1539, 2, FALSE),"")</f>
        <v>Sugar Magnolia</v>
      </c>
      <c r="H2917" t="s">
        <v>30</v>
      </c>
    </row>
    <row r="2918" spans="1:8" x14ac:dyDescent="0.25">
      <c r="A2918">
        <v>2917</v>
      </c>
      <c r="B2918" t="s">
        <v>3681</v>
      </c>
      <c r="C2918" t="s">
        <v>653</v>
      </c>
      <c r="D2918" t="str">
        <f t="shared" si="97"/>
        <v/>
      </c>
      <c r="E2918" t="str">
        <f t="shared" si="96"/>
        <v>comes a time</v>
      </c>
      <c r="F2918" t="s">
        <v>5360</v>
      </c>
      <c r="G2918" t="str">
        <f>_xlfn.IFNA(VLOOKUP(F2918,songs!$B$1:$C$1539, 2, FALSE),"")</f>
        <v>Comes A Time</v>
      </c>
      <c r="H2918" t="s">
        <v>1731</v>
      </c>
    </row>
    <row r="2919" spans="1:8" x14ac:dyDescent="0.25">
      <c r="A2919">
        <v>457</v>
      </c>
      <c r="B2919" t="s">
        <v>656</v>
      </c>
      <c r="C2919" t="s">
        <v>657</v>
      </c>
      <c r="D2919" t="str">
        <f t="shared" si="97"/>
        <v/>
      </c>
      <c r="E2919" t="str">
        <f t="shared" si="96"/>
        <v>orange tango jam</v>
      </c>
      <c r="F2919" t="s">
        <v>7828</v>
      </c>
      <c r="G2919" t="str">
        <f>_xlfn.IFNA(VLOOKUP(F2919,songs!$B$1:$C$1539, 2, FALSE),"")</f>
        <v/>
      </c>
      <c r="H2919" t="s">
        <v>7867</v>
      </c>
    </row>
    <row r="2920" spans="1:8" x14ac:dyDescent="0.25">
      <c r="A2920">
        <v>2930</v>
      </c>
      <c r="B2920" t="s">
        <v>3694</v>
      </c>
      <c r="C2920" t="s">
        <v>190</v>
      </c>
      <c r="D2920" t="str">
        <f t="shared" si="97"/>
        <v/>
      </c>
      <c r="E2920" t="str">
        <f t="shared" si="96"/>
        <v>black-throated wind</v>
      </c>
      <c r="F2920" t="s">
        <v>5193</v>
      </c>
      <c r="G2920" t="str">
        <f>_xlfn.IFNA(VLOOKUP(F2920,songs!$B$1:$C$1539, 2, FALSE),"")</f>
        <v>Black Throated Wind</v>
      </c>
      <c r="H2920" t="s">
        <v>7867</v>
      </c>
    </row>
    <row r="2921" spans="1:8" x14ac:dyDescent="0.25">
      <c r="A2921">
        <v>2920</v>
      </c>
      <c r="B2921" t="s">
        <v>3684</v>
      </c>
      <c r="C2921" t="s">
        <v>990</v>
      </c>
      <c r="D2921" t="str">
        <f t="shared" si="97"/>
        <v/>
      </c>
      <c r="E2921" t="str">
        <f t="shared" si="96"/>
        <v>hey bo diddley</v>
      </c>
      <c r="F2921" t="s">
        <v>5906</v>
      </c>
      <c r="G2921" t="str">
        <f>_xlfn.IFNA(VLOOKUP(F2921,songs!$B$1:$C$1539, 2, FALSE),"")</f>
        <v>Hey Bo Diddley</v>
      </c>
      <c r="H2921" t="s">
        <v>990</v>
      </c>
    </row>
    <row r="2922" spans="1:8" x14ac:dyDescent="0.25">
      <c r="A2922">
        <v>2947</v>
      </c>
      <c r="B2922" t="s">
        <v>3713</v>
      </c>
      <c r="C2922" t="s">
        <v>96</v>
      </c>
      <c r="D2922" t="str">
        <f t="shared" si="97"/>
        <v/>
      </c>
      <c r="E2922" t="str">
        <f t="shared" si="96"/>
        <v>turn on your love light</v>
      </c>
      <c r="F2922" t="s">
        <v>7447</v>
      </c>
      <c r="G2922" t="str">
        <f>_xlfn.IFNA(VLOOKUP(F2922,songs!$B$1:$C$1539, 2, FALSE),"")</f>
        <v>Turn On Your Lovelight</v>
      </c>
      <c r="H2922" t="s">
        <v>7867</v>
      </c>
    </row>
    <row r="2923" spans="1:8" x14ac:dyDescent="0.25">
      <c r="A2923">
        <v>2922</v>
      </c>
      <c r="B2923" t="s">
        <v>3686</v>
      </c>
      <c r="C2923" t="s">
        <v>133</v>
      </c>
      <c r="D2923" t="str">
        <f t="shared" si="97"/>
        <v/>
      </c>
      <c r="E2923" t="str">
        <f t="shared" si="96"/>
        <v>uncle john's band</v>
      </c>
      <c r="F2923" t="s">
        <v>7466</v>
      </c>
      <c r="G2923" t="str">
        <f>_xlfn.IFNA(VLOOKUP(F2923,songs!$B$1:$C$1539, 2, FALSE),"")</f>
        <v>Uncle John's Band</v>
      </c>
      <c r="H2923" t="s">
        <v>133</v>
      </c>
    </row>
    <row r="2924" spans="1:8" x14ac:dyDescent="0.25">
      <c r="A2924">
        <v>2923</v>
      </c>
      <c r="B2924" t="s">
        <v>3687</v>
      </c>
      <c r="C2924" t="s">
        <v>113</v>
      </c>
      <c r="D2924" t="str">
        <f t="shared" si="97"/>
        <v/>
      </c>
      <c r="E2924" t="str">
        <f t="shared" si="96"/>
        <v>cold rain and snow</v>
      </c>
      <c r="F2924" t="s">
        <v>5347</v>
      </c>
      <c r="G2924" t="str">
        <f>_xlfn.IFNA(VLOOKUP(F2924,songs!$B$1:$C$1539, 2, FALSE),"")</f>
        <v>Cold Rain And Snow</v>
      </c>
      <c r="H2924" t="s">
        <v>429</v>
      </c>
    </row>
    <row r="2925" spans="1:8" x14ac:dyDescent="0.25">
      <c r="A2925">
        <v>2924</v>
      </c>
      <c r="B2925" t="s">
        <v>3688</v>
      </c>
      <c r="C2925" t="s">
        <v>193</v>
      </c>
      <c r="D2925" t="str">
        <f t="shared" si="97"/>
        <v/>
      </c>
      <c r="E2925" t="str">
        <f t="shared" si="96"/>
        <v>beat it on down the line</v>
      </c>
      <c r="F2925" t="s">
        <v>5149</v>
      </c>
      <c r="G2925" t="str">
        <f>_xlfn.IFNA(VLOOKUP(F2925,songs!$B$1:$C$1539, 2, FALSE),"")</f>
        <v>Beat It On Down The Line</v>
      </c>
      <c r="H2925" t="s">
        <v>431</v>
      </c>
    </row>
    <row r="2926" spans="1:8" x14ac:dyDescent="0.25">
      <c r="A2926">
        <v>2948</v>
      </c>
      <c r="B2926" t="s">
        <v>3714</v>
      </c>
      <c r="C2926" t="s">
        <v>3667</v>
      </c>
      <c r="D2926" t="str">
        <f t="shared" si="97"/>
        <v/>
      </c>
      <c r="E2926" t="str">
        <f t="shared" si="96"/>
        <v>the stranger (two souls in communion)</v>
      </c>
      <c r="F2926" t="s">
        <v>7460</v>
      </c>
      <c r="G2926" t="str">
        <f>_xlfn.IFNA(VLOOKUP(F2926,songs!$B$1:$C$1539, 2, FALSE),"")</f>
        <v>Two Souls In Communion</v>
      </c>
      <c r="H2926" t="s">
        <v>7867</v>
      </c>
    </row>
    <row r="2927" spans="1:8" x14ac:dyDescent="0.25">
      <c r="A2927">
        <v>2926</v>
      </c>
      <c r="B2927" t="s">
        <v>3690</v>
      </c>
      <c r="C2927" t="s">
        <v>264</v>
      </c>
      <c r="D2927" t="str">
        <f t="shared" si="97"/>
        <v/>
      </c>
      <c r="E2927" t="str">
        <f t="shared" si="96"/>
        <v>deal</v>
      </c>
      <c r="F2927" t="s">
        <v>5461</v>
      </c>
      <c r="G2927" t="str">
        <f>_xlfn.IFNA(VLOOKUP(F2927,songs!$B$1:$C$1539, 2, FALSE),"")</f>
        <v>Deal</v>
      </c>
      <c r="H2927" t="s">
        <v>264</v>
      </c>
    </row>
    <row r="2928" spans="1:8" x14ac:dyDescent="0.25">
      <c r="A2928">
        <v>2927</v>
      </c>
      <c r="B2928" t="s">
        <v>3691</v>
      </c>
      <c r="C2928" t="s">
        <v>595</v>
      </c>
      <c r="D2928" t="str">
        <f t="shared" si="97"/>
        <v/>
      </c>
      <c r="E2928" t="str">
        <f t="shared" si="96"/>
        <v>me and my uncle</v>
      </c>
      <c r="F2928" t="s">
        <v>6486</v>
      </c>
      <c r="G2928" t="str">
        <f>_xlfn.IFNA(VLOOKUP(F2928,songs!$B$1:$C$1539, 2, FALSE),"")</f>
        <v>Me And My Uncle</v>
      </c>
      <c r="H2928" t="s">
        <v>903</v>
      </c>
    </row>
    <row r="2929" spans="1:8" x14ac:dyDescent="0.25">
      <c r="A2929">
        <v>2928</v>
      </c>
      <c r="B2929" t="s">
        <v>3692</v>
      </c>
      <c r="C2929" t="s">
        <v>701</v>
      </c>
      <c r="D2929" t="str">
        <f t="shared" si="97"/>
        <v/>
      </c>
      <c r="E2929" t="str">
        <f t="shared" si="96"/>
        <v>hurts me too</v>
      </c>
      <c r="F2929" t="s">
        <v>5979</v>
      </c>
      <c r="G2929" t="str">
        <f>_xlfn.IFNA(VLOOKUP(F2929,songs!$B$1:$C$1539, 2, FALSE),"")</f>
        <v>Hurts Me Too</v>
      </c>
      <c r="H2929" t="s">
        <v>701</v>
      </c>
    </row>
    <row r="2930" spans="1:8" x14ac:dyDescent="0.25">
      <c r="A2930">
        <v>2929</v>
      </c>
      <c r="B2930" t="s">
        <v>3693</v>
      </c>
      <c r="C2930" t="s">
        <v>90</v>
      </c>
      <c r="D2930" t="str">
        <f t="shared" si="97"/>
        <v/>
      </c>
      <c r="E2930" t="str">
        <f t="shared" si="96"/>
        <v>dire wolf</v>
      </c>
      <c r="F2930" t="s">
        <v>5497</v>
      </c>
      <c r="G2930" t="str">
        <f>_xlfn.IFNA(VLOOKUP(F2930,songs!$B$1:$C$1539, 2, FALSE),"")</f>
        <v>Dire Wolf</v>
      </c>
      <c r="H2930" t="s">
        <v>90</v>
      </c>
    </row>
    <row r="2931" spans="1:8" x14ac:dyDescent="0.25">
      <c r="A2931">
        <v>2951</v>
      </c>
      <c r="B2931" t="s">
        <v>3717</v>
      </c>
      <c r="C2931" t="s">
        <v>615</v>
      </c>
      <c r="D2931" t="str">
        <f t="shared" si="97"/>
        <v/>
      </c>
      <c r="E2931" t="str">
        <f t="shared" si="96"/>
        <v>brown-eyed women</v>
      </c>
      <c r="F2931" t="s">
        <v>5255</v>
      </c>
      <c r="G2931" t="str">
        <f>_xlfn.IFNA(VLOOKUP(F2931,songs!$B$1:$C$1539, 2, FALSE),"")</f>
        <v>Brown Eyed Women</v>
      </c>
      <c r="H2931" t="s">
        <v>7867</v>
      </c>
    </row>
    <row r="2932" spans="1:8" x14ac:dyDescent="0.25">
      <c r="A2932">
        <v>2931</v>
      </c>
      <c r="B2932" t="s">
        <v>3695</v>
      </c>
      <c r="C2932" t="s">
        <v>1008</v>
      </c>
      <c r="D2932" t="str">
        <f t="shared" si="97"/>
        <v/>
      </c>
      <c r="E2932" t="str">
        <f t="shared" si="96"/>
        <v>chinatown shuffle</v>
      </c>
      <c r="F2932" t="s">
        <v>5321</v>
      </c>
      <c r="G2932" t="str">
        <f>_xlfn.IFNA(VLOOKUP(F2932,songs!$B$1:$C$1539, 2, FALSE),"")</f>
        <v>Chinatown Shuffle</v>
      </c>
      <c r="H2932" t="s">
        <v>1008</v>
      </c>
    </row>
    <row r="2933" spans="1:8" x14ac:dyDescent="0.25">
      <c r="A2933">
        <v>2932</v>
      </c>
      <c r="B2933" t="s">
        <v>3696</v>
      </c>
      <c r="C2933" t="s">
        <v>84</v>
      </c>
      <c r="D2933" t="str">
        <f t="shared" si="97"/>
        <v/>
      </c>
      <c r="E2933" t="str">
        <f t="shared" si="96"/>
        <v>china cat sunflower</v>
      </c>
      <c r="F2933" t="s">
        <v>5319</v>
      </c>
      <c r="G2933" t="str">
        <f>_xlfn.IFNA(VLOOKUP(F2933,songs!$B$1:$C$1539, 2, FALSE),"")</f>
        <v>China Cat Sunflower</v>
      </c>
      <c r="H2933" t="s">
        <v>84</v>
      </c>
    </row>
    <row r="2934" spans="1:8" x14ac:dyDescent="0.25">
      <c r="A2934">
        <v>2933</v>
      </c>
      <c r="B2934" t="s">
        <v>3697</v>
      </c>
      <c r="C2934" t="s">
        <v>86</v>
      </c>
      <c r="D2934" t="str">
        <f t="shared" si="97"/>
        <v/>
      </c>
      <c r="E2934" t="str">
        <f t="shared" si="96"/>
        <v>i know you rider</v>
      </c>
      <c r="F2934" t="s">
        <v>6020</v>
      </c>
      <c r="G2934" t="str">
        <f>_xlfn.IFNA(VLOOKUP(F2934,songs!$B$1:$C$1539, 2, FALSE),"")</f>
        <v>I Know You Rider</v>
      </c>
      <c r="H2934" t="s">
        <v>86</v>
      </c>
    </row>
    <row r="2935" spans="1:8" x14ac:dyDescent="0.25">
      <c r="A2935">
        <v>2934</v>
      </c>
      <c r="B2935" t="s">
        <v>3698</v>
      </c>
      <c r="C2935" t="s">
        <v>11</v>
      </c>
      <c r="D2935" t="str">
        <f t="shared" si="97"/>
        <v/>
      </c>
      <c r="E2935" t="str">
        <f t="shared" si="96"/>
        <v>playing in the band</v>
      </c>
      <c r="F2935" t="s">
        <v>6769</v>
      </c>
      <c r="G2935" t="str">
        <f>_xlfn.IFNA(VLOOKUP(F2935,songs!$B$1:$C$1539, 2, FALSE),"")</f>
        <v>Playing In The Band</v>
      </c>
      <c r="H2935" t="s">
        <v>419</v>
      </c>
    </row>
    <row r="2936" spans="1:8" x14ac:dyDescent="0.25">
      <c r="A2936">
        <v>2935</v>
      </c>
      <c r="B2936" t="s">
        <v>3699</v>
      </c>
      <c r="C2936" t="s">
        <v>1011</v>
      </c>
      <c r="D2936" t="str">
        <f t="shared" si="97"/>
        <v/>
      </c>
      <c r="E2936" t="str">
        <f t="shared" si="96"/>
        <v>you win again</v>
      </c>
      <c r="F2936" t="s">
        <v>7793</v>
      </c>
      <c r="G2936" t="str">
        <f>_xlfn.IFNA(VLOOKUP(F2936,songs!$B$1:$C$1539, 2, FALSE),"")</f>
        <v>You Win Again</v>
      </c>
      <c r="H2936" t="s">
        <v>1011</v>
      </c>
    </row>
    <row r="2937" spans="1:8" x14ac:dyDescent="0.25">
      <c r="A2937">
        <v>2936</v>
      </c>
      <c r="B2937" t="s">
        <v>3700</v>
      </c>
      <c r="C2937" t="s">
        <v>199</v>
      </c>
      <c r="D2937" t="str">
        <f t="shared" si="97"/>
        <v/>
      </c>
      <c r="E2937" t="str">
        <f t="shared" si="96"/>
        <v>jack straw</v>
      </c>
      <c r="F2937" t="s">
        <v>6161</v>
      </c>
      <c r="G2937" t="str">
        <f>_xlfn.IFNA(VLOOKUP(F2937,songs!$B$1:$C$1539, 2, FALSE),"")</f>
        <v>Jack Straw</v>
      </c>
      <c r="H2937" t="s">
        <v>199</v>
      </c>
    </row>
    <row r="2938" spans="1:8" x14ac:dyDescent="0.25">
      <c r="A2938">
        <v>2937</v>
      </c>
      <c r="B2938" t="s">
        <v>3701</v>
      </c>
      <c r="C2938" t="s">
        <v>81</v>
      </c>
      <c r="D2938" t="str">
        <f t="shared" si="97"/>
        <v/>
      </c>
      <c r="E2938" t="str">
        <f t="shared" si="96"/>
        <v>casey jones</v>
      </c>
      <c r="F2938" t="s">
        <v>5290</v>
      </c>
      <c r="G2938" t="str">
        <f>_xlfn.IFNA(VLOOKUP(F2938,songs!$B$1:$C$1539, 2, FALSE),"")</f>
        <v>Casey Jones</v>
      </c>
      <c r="H2938" t="s">
        <v>81</v>
      </c>
    </row>
    <row r="2939" spans="1:8" x14ac:dyDescent="0.25">
      <c r="A2939">
        <v>2953</v>
      </c>
      <c r="B2939" t="s">
        <v>3719</v>
      </c>
      <c r="C2939" t="s">
        <v>190</v>
      </c>
      <c r="D2939" t="str">
        <f t="shared" si="97"/>
        <v/>
      </c>
      <c r="E2939" t="str">
        <f t="shared" si="96"/>
        <v>black-throated wind</v>
      </c>
      <c r="F2939" t="s">
        <v>5193</v>
      </c>
      <c r="G2939" t="str">
        <f>_xlfn.IFNA(VLOOKUP(F2939,songs!$B$1:$C$1539, 2, FALSE),"")</f>
        <v>Black Throated Wind</v>
      </c>
      <c r="H2939" t="s">
        <v>7867</v>
      </c>
    </row>
    <row r="2940" spans="1:8" x14ac:dyDescent="0.25">
      <c r="A2940">
        <v>2939</v>
      </c>
      <c r="B2940" t="s">
        <v>3704</v>
      </c>
      <c r="C2940" t="s">
        <v>186</v>
      </c>
      <c r="D2940" t="str">
        <f t="shared" si="97"/>
        <v/>
      </c>
      <c r="E2940" t="str">
        <f t="shared" si="96"/>
        <v>mexicali blues</v>
      </c>
      <c r="F2940" t="s">
        <v>6499</v>
      </c>
      <c r="G2940" t="str">
        <f>_xlfn.IFNA(VLOOKUP(F2940,songs!$B$1:$C$1539, 2, FALSE),"")</f>
        <v>Mexicali Blues</v>
      </c>
      <c r="H2940" t="s">
        <v>186</v>
      </c>
    </row>
    <row r="2941" spans="1:8" x14ac:dyDescent="0.25">
      <c r="A2941">
        <v>2940</v>
      </c>
      <c r="B2941" t="s">
        <v>3705</v>
      </c>
      <c r="C2941" t="s">
        <v>221</v>
      </c>
      <c r="D2941" t="str">
        <f t="shared" si="97"/>
        <v/>
      </c>
      <c r="E2941" t="str">
        <f t="shared" si="96"/>
        <v>black peter</v>
      </c>
      <c r="F2941" t="s">
        <v>5190</v>
      </c>
      <c r="G2941" t="str">
        <f>_xlfn.IFNA(VLOOKUP(F2941,songs!$B$1:$C$1539, 2, FALSE),"")</f>
        <v>Black Peter</v>
      </c>
      <c r="H2941" t="s">
        <v>221</v>
      </c>
    </row>
    <row r="2942" spans="1:8" x14ac:dyDescent="0.25">
      <c r="A2942">
        <v>2955</v>
      </c>
      <c r="B2942" t="s">
        <v>3721</v>
      </c>
      <c r="C2942" t="s">
        <v>3722</v>
      </c>
      <c r="D2942" t="str">
        <f t="shared" si="97"/>
        <v/>
      </c>
      <c r="E2942" t="str">
        <f t="shared" si="96"/>
        <v>mr. charlie live</v>
      </c>
      <c r="F2942" t="s">
        <v>6571</v>
      </c>
      <c r="G2942" t="str">
        <f>_xlfn.IFNA(VLOOKUP(F2942,songs!$B$1:$C$1539, 2, FALSE),"")</f>
        <v>Mr. Charlie</v>
      </c>
      <c r="H2942" t="s">
        <v>7867</v>
      </c>
    </row>
    <row r="2943" spans="1:8" x14ac:dyDescent="0.25">
      <c r="A2943">
        <v>2942</v>
      </c>
      <c r="B2943" t="s">
        <v>3708</v>
      </c>
      <c r="C2943" t="s">
        <v>15</v>
      </c>
      <c r="D2943" t="str">
        <f t="shared" si="97"/>
        <v/>
      </c>
      <c r="E2943" t="str">
        <f t="shared" si="96"/>
        <v>truckin'</v>
      </c>
      <c r="F2943" t="s">
        <v>7436</v>
      </c>
      <c r="G2943" t="str">
        <f>_xlfn.IFNA(VLOOKUP(F2943,songs!$B$1:$C$1539, 2, FALSE),"")</f>
        <v>Truckin'</v>
      </c>
      <c r="H2943" t="s">
        <v>15</v>
      </c>
    </row>
    <row r="2944" spans="1:8" x14ac:dyDescent="0.25">
      <c r="A2944">
        <v>2943</v>
      </c>
      <c r="B2944" t="s">
        <v>3709</v>
      </c>
      <c r="C2944" t="s">
        <v>100</v>
      </c>
      <c r="D2944" t="str">
        <f t="shared" si="97"/>
        <v/>
      </c>
      <c r="E2944" t="str">
        <f t="shared" si="96"/>
        <v>drums</v>
      </c>
      <c r="F2944" t="s">
        <v>5568</v>
      </c>
      <c r="G2944" t="str">
        <f>_xlfn.IFNA(VLOOKUP(F2944,songs!$B$1:$C$1539, 2, FALSE),"")</f>
        <v>Drums</v>
      </c>
      <c r="H2944" t="s">
        <v>100</v>
      </c>
    </row>
    <row r="2945" spans="1:8" x14ac:dyDescent="0.25">
      <c r="A2945">
        <v>2944</v>
      </c>
      <c r="B2945" t="s">
        <v>3710</v>
      </c>
      <c r="C2945" t="s">
        <v>139</v>
      </c>
      <c r="D2945" t="str">
        <f t="shared" si="97"/>
        <v/>
      </c>
      <c r="E2945" t="str">
        <f t="shared" si="96"/>
        <v>the other one</v>
      </c>
      <c r="F2945" t="s">
        <v>7325</v>
      </c>
      <c r="G2945" t="str">
        <f>_xlfn.IFNA(VLOOKUP(F2945,songs!$B$1:$C$1539, 2, FALSE),"")</f>
        <v>The Other One</v>
      </c>
      <c r="H2945" t="s">
        <v>139</v>
      </c>
    </row>
    <row r="2946" spans="1:8" x14ac:dyDescent="0.25">
      <c r="A2946">
        <v>2945</v>
      </c>
      <c r="B2946" t="s">
        <v>3711</v>
      </c>
      <c r="C2946" t="s">
        <v>749</v>
      </c>
      <c r="D2946" t="str">
        <f t="shared" si="97"/>
        <v/>
      </c>
      <c r="E2946" t="str">
        <f t="shared" si="96"/>
        <v>sing me back home</v>
      </c>
      <c r="F2946" t="s">
        <v>7017</v>
      </c>
      <c r="G2946" t="str">
        <f>_xlfn.IFNA(VLOOKUP(F2946,songs!$B$1:$C$1539, 2, FALSE),"")</f>
        <v>Sing Me Back Home</v>
      </c>
      <c r="H2946" t="s">
        <v>749</v>
      </c>
    </row>
    <row r="2947" spans="1:8" x14ac:dyDescent="0.25">
      <c r="A2947">
        <v>2946</v>
      </c>
      <c r="B2947" t="s">
        <v>3712</v>
      </c>
      <c r="C2947" t="s">
        <v>30</v>
      </c>
      <c r="D2947" t="str">
        <f t="shared" si="97"/>
        <v/>
      </c>
      <c r="E2947" t="str">
        <f t="shared" si="96"/>
        <v>sugar magnolia</v>
      </c>
      <c r="F2947" t="s">
        <v>7150</v>
      </c>
      <c r="G2947" t="str">
        <f>_xlfn.IFNA(VLOOKUP(F2947,songs!$B$1:$C$1539, 2, FALSE),"")</f>
        <v>Sugar Magnolia</v>
      </c>
      <c r="H2947" t="s">
        <v>30</v>
      </c>
    </row>
    <row r="2948" spans="1:8" x14ac:dyDescent="0.25">
      <c r="A2948">
        <v>2975</v>
      </c>
      <c r="B2948" t="s">
        <v>3742</v>
      </c>
      <c r="C2948" t="s">
        <v>36</v>
      </c>
      <c r="D2948" t="str">
        <f t="shared" si="97"/>
        <v/>
      </c>
      <c r="E2948" t="str">
        <f t="shared" ref="E2948:E3011" si="98">LOWER(TRIM(SUBSTITUTE(IF(RIGHT(TRIM(C2948),2)="-&gt;",LEFT(TRIM(C2948),LEN(TRIM(C2948))-2),IF(RIGHT(TRIM(C2948),1)="&gt;",LEFT(TRIM(C2948),LEN(TRIM(C2948))-1),C2948)),"//","")))</f>
        <v>goin' down the road feeling bad</v>
      </c>
      <c r="F2948" t="s">
        <v>5783</v>
      </c>
      <c r="G2948" t="str">
        <f>_xlfn.IFNA(VLOOKUP(F2948,songs!$B$1:$C$1539, 2, FALSE),"")</f>
        <v>Goin' Down The Road Feelin' Bad</v>
      </c>
      <c r="H2948" t="s">
        <v>7867</v>
      </c>
    </row>
    <row r="2949" spans="1:8" x14ac:dyDescent="0.25">
      <c r="A2949">
        <v>860</v>
      </c>
      <c r="B2949" t="s">
        <v>1167</v>
      </c>
      <c r="C2949" t="s">
        <v>1168</v>
      </c>
      <c r="D2949" t="str">
        <f t="shared" si="97"/>
        <v/>
      </c>
      <c r="E2949" t="str">
        <f t="shared" si="98"/>
        <v>phil solo</v>
      </c>
      <c r="F2949" t="s">
        <v>7831</v>
      </c>
      <c r="G2949" t="str">
        <f>_xlfn.IFNA(VLOOKUP(F2949,songs!$B$1:$C$1539, 2, FALSE),"")</f>
        <v/>
      </c>
      <c r="H2949" t="s">
        <v>7867</v>
      </c>
    </row>
    <row r="2950" spans="1:8" x14ac:dyDescent="0.25">
      <c r="A2950">
        <v>2949</v>
      </c>
      <c r="B2950" t="s">
        <v>3715</v>
      </c>
      <c r="C2950" t="s">
        <v>956</v>
      </c>
      <c r="D2950" t="str">
        <f t="shared" si="97"/>
        <v/>
      </c>
      <c r="E2950" t="str">
        <f t="shared" si="98"/>
        <v>one more saturday night</v>
      </c>
      <c r="F2950" t="s">
        <v>6702</v>
      </c>
      <c r="G2950" t="str">
        <f>_xlfn.IFNA(VLOOKUP(F2950,songs!$B$1:$C$1539, 2, FALSE),"")</f>
        <v>One More Saturday Night</v>
      </c>
      <c r="H2950" t="s">
        <v>956</v>
      </c>
    </row>
    <row r="2951" spans="1:8" x14ac:dyDescent="0.25">
      <c r="A2951">
        <v>2950</v>
      </c>
      <c r="B2951" t="s">
        <v>3716</v>
      </c>
      <c r="C2951" t="s">
        <v>130</v>
      </c>
      <c r="D2951" t="str">
        <f t="shared" si="97"/>
        <v/>
      </c>
      <c r="E2951" t="str">
        <f t="shared" si="98"/>
        <v>promised land</v>
      </c>
      <c r="F2951" t="s">
        <v>6797</v>
      </c>
      <c r="G2951" t="str">
        <f>_xlfn.IFNA(VLOOKUP(F2951,songs!$B$1:$C$1539, 2, FALSE),"")</f>
        <v>Promised Land</v>
      </c>
      <c r="H2951" t="s">
        <v>130</v>
      </c>
    </row>
    <row r="2952" spans="1:8" x14ac:dyDescent="0.25">
      <c r="A2952">
        <v>2980</v>
      </c>
      <c r="B2952" t="s">
        <v>3747</v>
      </c>
      <c r="C2952" t="s">
        <v>190</v>
      </c>
      <c r="D2952" t="str">
        <f t="shared" si="97"/>
        <v/>
      </c>
      <c r="E2952" t="str">
        <f t="shared" si="98"/>
        <v>black-throated wind</v>
      </c>
      <c r="F2952" t="s">
        <v>5193</v>
      </c>
      <c r="G2952" t="str">
        <f>_xlfn.IFNA(VLOOKUP(F2952,songs!$B$1:$C$1539, 2, FALSE),"")</f>
        <v>Black Throated Wind</v>
      </c>
      <c r="H2952" t="s">
        <v>7867</v>
      </c>
    </row>
    <row r="2953" spans="1:8" x14ac:dyDescent="0.25">
      <c r="A2953">
        <v>2952</v>
      </c>
      <c r="B2953" t="s">
        <v>3718</v>
      </c>
      <c r="C2953" t="s">
        <v>1196</v>
      </c>
      <c r="D2953" t="str">
        <f t="shared" ref="D2953:D3016" si="99">IF(RIGHT(TRIM(C2953),2)="-&gt;","&gt;",IF(RIGHT(TRIM(C2953),1)="&gt;","&gt;",""))</f>
        <v/>
      </c>
      <c r="E2953" t="str">
        <f t="shared" si="98"/>
        <v>big boss man</v>
      </c>
      <c r="F2953" t="s">
        <v>5163</v>
      </c>
      <c r="G2953" t="str">
        <f>_xlfn.IFNA(VLOOKUP(F2953,songs!$B$1:$C$1539, 2, FALSE),"")</f>
        <v>Big Boss Man</v>
      </c>
      <c r="H2953" t="s">
        <v>1196</v>
      </c>
    </row>
    <row r="2954" spans="1:8" x14ac:dyDescent="0.25">
      <c r="A2954">
        <v>2983</v>
      </c>
      <c r="B2954" t="s">
        <v>3750</v>
      </c>
      <c r="C2954" t="s">
        <v>3667</v>
      </c>
      <c r="D2954" t="str">
        <f t="shared" si="99"/>
        <v/>
      </c>
      <c r="E2954" t="str">
        <f t="shared" si="98"/>
        <v>the stranger (two souls in communion)</v>
      </c>
      <c r="F2954" t="s">
        <v>7460</v>
      </c>
      <c r="G2954" t="str">
        <f>_xlfn.IFNA(VLOOKUP(F2954,songs!$B$1:$C$1539, 2, FALSE),"")</f>
        <v>Two Souls In Communion</v>
      </c>
      <c r="H2954" t="s">
        <v>7867</v>
      </c>
    </row>
    <row r="2955" spans="1:8" x14ac:dyDescent="0.25">
      <c r="A2955">
        <v>2954</v>
      </c>
      <c r="B2955" t="s">
        <v>3720</v>
      </c>
      <c r="C2955" t="s">
        <v>164</v>
      </c>
      <c r="D2955" t="str">
        <f t="shared" si="99"/>
        <v/>
      </c>
      <c r="E2955" t="str">
        <f t="shared" si="98"/>
        <v>tennessee jed</v>
      </c>
      <c r="F2955" t="s">
        <v>7234</v>
      </c>
      <c r="G2955" t="str">
        <f>_xlfn.IFNA(VLOOKUP(F2955,songs!$B$1:$C$1539, 2, FALSE),"")</f>
        <v>Tennessee Jed</v>
      </c>
      <c r="H2955" t="s">
        <v>164</v>
      </c>
    </row>
    <row r="2956" spans="1:8" x14ac:dyDescent="0.25">
      <c r="A2956">
        <v>2990</v>
      </c>
      <c r="B2956" t="s">
        <v>3757</v>
      </c>
      <c r="C2956" t="s">
        <v>3408</v>
      </c>
      <c r="D2956" t="str">
        <f t="shared" si="99"/>
        <v/>
      </c>
      <c r="E2956" t="str">
        <f t="shared" si="98"/>
        <v>not fade away pt 1</v>
      </c>
      <c r="F2956" t="s">
        <v>6651</v>
      </c>
      <c r="G2956" t="str">
        <f>_xlfn.IFNA(VLOOKUP(F2956,songs!$B$1:$C$1539, 2, FALSE),"")</f>
        <v>Not Fade Away</v>
      </c>
      <c r="H2956" t="s">
        <v>7867</v>
      </c>
    </row>
    <row r="2957" spans="1:8" x14ac:dyDescent="0.25">
      <c r="A2957">
        <v>2956</v>
      </c>
      <c r="B2957" t="s">
        <v>3723</v>
      </c>
      <c r="C2957" t="s">
        <v>199</v>
      </c>
      <c r="D2957" t="str">
        <f t="shared" si="99"/>
        <v/>
      </c>
      <c r="E2957" t="str">
        <f t="shared" si="98"/>
        <v>jack straw</v>
      </c>
      <c r="F2957" t="s">
        <v>6161</v>
      </c>
      <c r="G2957" t="str">
        <f>_xlfn.IFNA(VLOOKUP(F2957,songs!$B$1:$C$1539, 2, FALSE),"")</f>
        <v>Jack Straw</v>
      </c>
      <c r="H2957" t="s">
        <v>199</v>
      </c>
    </row>
    <row r="2958" spans="1:8" x14ac:dyDescent="0.25">
      <c r="A2958">
        <v>2957</v>
      </c>
      <c r="B2958" t="s">
        <v>3724</v>
      </c>
      <c r="C2958" t="s">
        <v>84</v>
      </c>
      <c r="D2958" t="str">
        <f t="shared" si="99"/>
        <v/>
      </c>
      <c r="E2958" t="str">
        <f t="shared" si="98"/>
        <v>china cat sunflower</v>
      </c>
      <c r="F2958" t="s">
        <v>5319</v>
      </c>
      <c r="G2958" t="str">
        <f>_xlfn.IFNA(VLOOKUP(F2958,songs!$B$1:$C$1539, 2, FALSE),"")</f>
        <v>China Cat Sunflower</v>
      </c>
      <c r="H2958" t="s">
        <v>84</v>
      </c>
    </row>
    <row r="2959" spans="1:8" x14ac:dyDescent="0.25">
      <c r="A2959">
        <v>2958</v>
      </c>
      <c r="B2959" t="s">
        <v>3725</v>
      </c>
      <c r="C2959" t="s">
        <v>86</v>
      </c>
      <c r="D2959" t="str">
        <f t="shared" si="99"/>
        <v/>
      </c>
      <c r="E2959" t="str">
        <f t="shared" si="98"/>
        <v>i know you rider</v>
      </c>
      <c r="F2959" t="s">
        <v>6020</v>
      </c>
      <c r="G2959" t="str">
        <f>_xlfn.IFNA(VLOOKUP(F2959,songs!$B$1:$C$1539, 2, FALSE),"")</f>
        <v>I Know You Rider</v>
      </c>
      <c r="H2959" t="s">
        <v>86</v>
      </c>
    </row>
    <row r="2960" spans="1:8" x14ac:dyDescent="0.25">
      <c r="A2960">
        <v>2959</v>
      </c>
      <c r="B2960" t="s">
        <v>3726</v>
      </c>
      <c r="C2960" t="s">
        <v>1340</v>
      </c>
      <c r="D2960" t="str">
        <f t="shared" si="99"/>
        <v/>
      </c>
      <c r="E2960" t="str">
        <f t="shared" si="98"/>
        <v>me and bobby mcgee</v>
      </c>
      <c r="F2960" t="s">
        <v>6483</v>
      </c>
      <c r="G2960" t="str">
        <f>_xlfn.IFNA(VLOOKUP(F2960,songs!$B$1:$C$1539, 2, FALSE),"")</f>
        <v>Me And Bobby McGee</v>
      </c>
      <c r="H2960" t="s">
        <v>1228</v>
      </c>
    </row>
    <row r="2961" spans="1:8" x14ac:dyDescent="0.25">
      <c r="A2961">
        <v>2960</v>
      </c>
      <c r="B2961" t="s">
        <v>3727</v>
      </c>
      <c r="C2961" t="s">
        <v>242</v>
      </c>
      <c r="D2961" t="str">
        <f t="shared" si="99"/>
        <v/>
      </c>
      <c r="E2961" t="str">
        <f t="shared" si="98"/>
        <v>good lovin'</v>
      </c>
      <c r="F2961" t="s">
        <v>5810</v>
      </c>
      <c r="G2961" t="str">
        <f>_xlfn.IFNA(VLOOKUP(F2961,songs!$B$1:$C$1539, 2, FALSE),"")</f>
        <v>Good Lovin'</v>
      </c>
      <c r="H2961" t="s">
        <v>242</v>
      </c>
    </row>
    <row r="2962" spans="1:8" x14ac:dyDescent="0.25">
      <c r="A2962">
        <v>2961</v>
      </c>
      <c r="B2962" t="s">
        <v>3728</v>
      </c>
      <c r="C2962" t="s">
        <v>11</v>
      </c>
      <c r="D2962" t="str">
        <f t="shared" si="99"/>
        <v/>
      </c>
      <c r="E2962" t="str">
        <f t="shared" si="98"/>
        <v>playing in the band</v>
      </c>
      <c r="F2962" t="s">
        <v>6769</v>
      </c>
      <c r="G2962" t="str">
        <f>_xlfn.IFNA(VLOOKUP(F2962,songs!$B$1:$C$1539, 2, FALSE),"")</f>
        <v>Playing In The Band</v>
      </c>
      <c r="H2962" t="s">
        <v>419</v>
      </c>
    </row>
    <row r="2963" spans="1:8" x14ac:dyDescent="0.25">
      <c r="A2963">
        <v>2962</v>
      </c>
      <c r="B2963" t="s">
        <v>3729</v>
      </c>
      <c r="C2963" t="s">
        <v>145</v>
      </c>
      <c r="D2963" t="str">
        <f t="shared" si="99"/>
        <v/>
      </c>
      <c r="E2963" t="str">
        <f t="shared" si="98"/>
        <v>brokedown palace</v>
      </c>
      <c r="F2963" t="s">
        <v>5250</v>
      </c>
      <c r="G2963" t="str">
        <f>_xlfn.IFNA(VLOOKUP(F2963,songs!$B$1:$C$1539, 2, FALSE),"")</f>
        <v>Brokedown Palace</v>
      </c>
      <c r="H2963" t="s">
        <v>145</v>
      </c>
    </row>
    <row r="2964" spans="1:8" x14ac:dyDescent="0.25">
      <c r="A2964">
        <v>2963</v>
      </c>
      <c r="B2964" t="s">
        <v>3730</v>
      </c>
      <c r="C2964" t="s">
        <v>81</v>
      </c>
      <c r="D2964" t="str">
        <f t="shared" si="99"/>
        <v/>
      </c>
      <c r="E2964" t="str">
        <f t="shared" si="98"/>
        <v>casey jones</v>
      </c>
      <c r="F2964" t="s">
        <v>5290</v>
      </c>
      <c r="G2964" t="str">
        <f>_xlfn.IFNA(VLOOKUP(F2964,songs!$B$1:$C$1539, 2, FALSE),"")</f>
        <v>Casey Jones</v>
      </c>
      <c r="H2964" t="s">
        <v>81</v>
      </c>
    </row>
    <row r="2965" spans="1:8" x14ac:dyDescent="0.25">
      <c r="A2965">
        <v>2964</v>
      </c>
      <c r="B2965" t="s">
        <v>3731</v>
      </c>
      <c r="C2965" t="s">
        <v>595</v>
      </c>
      <c r="D2965" t="str">
        <f t="shared" si="99"/>
        <v/>
      </c>
      <c r="E2965" t="str">
        <f t="shared" si="98"/>
        <v>me and my uncle</v>
      </c>
      <c r="F2965" t="s">
        <v>6486</v>
      </c>
      <c r="G2965" t="str">
        <f>_xlfn.IFNA(VLOOKUP(F2965,songs!$B$1:$C$1539, 2, FALSE),"")</f>
        <v>Me And My Uncle</v>
      </c>
      <c r="H2965" t="s">
        <v>903</v>
      </c>
    </row>
    <row r="2966" spans="1:8" x14ac:dyDescent="0.25">
      <c r="A2966">
        <v>2965</v>
      </c>
      <c r="B2966" t="s">
        <v>3732</v>
      </c>
      <c r="C2966" t="s">
        <v>9</v>
      </c>
      <c r="D2966" t="str">
        <f t="shared" si="99"/>
        <v/>
      </c>
      <c r="E2966" t="str">
        <f t="shared" si="98"/>
        <v>big railroad blues</v>
      </c>
      <c r="F2966" t="s">
        <v>5174</v>
      </c>
      <c r="G2966" t="str">
        <f>_xlfn.IFNA(VLOOKUP(F2966,songs!$B$1:$C$1539, 2, FALSE),"")</f>
        <v>Big Railroad Blues</v>
      </c>
      <c r="H2966" t="s">
        <v>9</v>
      </c>
    </row>
    <row r="2967" spans="1:8" x14ac:dyDescent="0.25">
      <c r="A2967">
        <v>2966</v>
      </c>
      <c r="B2967" t="s">
        <v>3733</v>
      </c>
      <c r="C2967" t="s">
        <v>1008</v>
      </c>
      <c r="D2967" t="str">
        <f t="shared" si="99"/>
        <v/>
      </c>
      <c r="E2967" t="str">
        <f t="shared" si="98"/>
        <v>chinatown shuffle</v>
      </c>
      <c r="F2967" t="s">
        <v>5321</v>
      </c>
      <c r="G2967" t="str">
        <f>_xlfn.IFNA(VLOOKUP(F2967,songs!$B$1:$C$1539, 2, FALSE),"")</f>
        <v>Chinatown Shuffle</v>
      </c>
      <c r="H2967" t="s">
        <v>1008</v>
      </c>
    </row>
    <row r="2968" spans="1:8" x14ac:dyDescent="0.25">
      <c r="A2968">
        <v>2967</v>
      </c>
      <c r="B2968" t="s">
        <v>3734</v>
      </c>
      <c r="C2968" t="s">
        <v>336</v>
      </c>
      <c r="D2968" t="str">
        <f t="shared" si="99"/>
        <v/>
      </c>
      <c r="E2968" t="str">
        <f t="shared" si="98"/>
        <v>ramble on rose</v>
      </c>
      <c r="F2968" t="s">
        <v>6827</v>
      </c>
      <c r="G2968" t="str">
        <f>_xlfn.IFNA(VLOOKUP(F2968,songs!$B$1:$C$1539, 2, FALSE),"")</f>
        <v>Ramble On Rose</v>
      </c>
      <c r="H2968" t="s">
        <v>436</v>
      </c>
    </row>
    <row r="2969" spans="1:8" x14ac:dyDescent="0.25">
      <c r="A2969">
        <v>2968</v>
      </c>
      <c r="B2969" t="s">
        <v>3735</v>
      </c>
      <c r="C2969" t="s">
        <v>133</v>
      </c>
      <c r="D2969" t="str">
        <f t="shared" si="99"/>
        <v/>
      </c>
      <c r="E2969" t="str">
        <f t="shared" si="98"/>
        <v>uncle john's band</v>
      </c>
      <c r="F2969" t="s">
        <v>7466</v>
      </c>
      <c r="G2969" t="str">
        <f>_xlfn.IFNA(VLOOKUP(F2969,songs!$B$1:$C$1539, 2, FALSE),"")</f>
        <v>Uncle John's Band</v>
      </c>
      <c r="H2969" t="s">
        <v>133</v>
      </c>
    </row>
    <row r="2970" spans="1:8" x14ac:dyDescent="0.25">
      <c r="A2970">
        <v>2969</v>
      </c>
      <c r="B2970" t="s">
        <v>3736</v>
      </c>
      <c r="C2970" t="s">
        <v>73</v>
      </c>
      <c r="D2970" t="str">
        <f t="shared" si="99"/>
        <v/>
      </c>
      <c r="E2970" t="str">
        <f t="shared" si="98"/>
        <v>wharf rat</v>
      </c>
      <c r="F2970" t="s">
        <v>7664</v>
      </c>
      <c r="G2970" t="str">
        <f>_xlfn.IFNA(VLOOKUP(F2970,songs!$B$1:$C$1539, 2, FALSE),"")</f>
        <v>Wharf Rat</v>
      </c>
      <c r="H2970" t="s">
        <v>73</v>
      </c>
    </row>
    <row r="2971" spans="1:8" x14ac:dyDescent="0.25">
      <c r="A2971">
        <v>2970</v>
      </c>
      <c r="B2971" t="s">
        <v>3737</v>
      </c>
      <c r="C2971" t="s">
        <v>92</v>
      </c>
      <c r="D2971" t="str">
        <f t="shared" si="99"/>
        <v/>
      </c>
      <c r="E2971" t="str">
        <f t="shared" si="98"/>
        <v>dark star</v>
      </c>
      <c r="F2971" t="s">
        <v>5428</v>
      </c>
      <c r="G2971" t="str">
        <f>_xlfn.IFNA(VLOOKUP(F2971,songs!$B$1:$C$1539, 2, FALSE),"")</f>
        <v>Dark Star</v>
      </c>
      <c r="H2971" t="s">
        <v>92</v>
      </c>
    </row>
    <row r="2972" spans="1:8" x14ac:dyDescent="0.25">
      <c r="A2972">
        <v>2971</v>
      </c>
      <c r="B2972" t="s">
        <v>3738</v>
      </c>
      <c r="C2972" t="s">
        <v>30</v>
      </c>
      <c r="D2972" t="str">
        <f t="shared" si="99"/>
        <v/>
      </c>
      <c r="E2972" t="str">
        <f t="shared" si="98"/>
        <v>sugar magnolia</v>
      </c>
      <c r="F2972" t="s">
        <v>7150</v>
      </c>
      <c r="G2972" t="str">
        <f>_xlfn.IFNA(VLOOKUP(F2972,songs!$B$1:$C$1539, 2, FALSE),"")</f>
        <v>Sugar Magnolia</v>
      </c>
      <c r="H2972" t="s">
        <v>30</v>
      </c>
    </row>
    <row r="2973" spans="1:8" x14ac:dyDescent="0.25">
      <c r="A2973">
        <v>2972</v>
      </c>
      <c r="B2973" t="s">
        <v>3739</v>
      </c>
      <c r="C2973" t="s">
        <v>653</v>
      </c>
      <c r="D2973" t="str">
        <f t="shared" si="99"/>
        <v/>
      </c>
      <c r="E2973" t="str">
        <f t="shared" si="98"/>
        <v>comes a time</v>
      </c>
      <c r="F2973" t="s">
        <v>5360</v>
      </c>
      <c r="G2973" t="str">
        <f>_xlfn.IFNA(VLOOKUP(F2973,songs!$B$1:$C$1539, 2, FALSE),"")</f>
        <v>Comes A Time</v>
      </c>
      <c r="H2973" t="s">
        <v>1731</v>
      </c>
    </row>
    <row r="2974" spans="1:8" x14ac:dyDescent="0.25">
      <c r="A2974">
        <v>2973</v>
      </c>
      <c r="B2974" t="s">
        <v>3740</v>
      </c>
      <c r="C2974" t="s">
        <v>327</v>
      </c>
      <c r="D2974" t="str">
        <f t="shared" si="99"/>
        <v/>
      </c>
      <c r="E2974" t="str">
        <f t="shared" si="98"/>
        <v>el paso</v>
      </c>
      <c r="F2974" t="s">
        <v>5600</v>
      </c>
      <c r="G2974" t="str">
        <f>_xlfn.IFNA(VLOOKUP(F2974,songs!$B$1:$C$1539, 2, FALSE),"")</f>
        <v>El Paso</v>
      </c>
      <c r="H2974" t="s">
        <v>327</v>
      </c>
    </row>
    <row r="2975" spans="1:8" x14ac:dyDescent="0.25">
      <c r="A2975">
        <v>2974</v>
      </c>
      <c r="B2975" t="s">
        <v>3741</v>
      </c>
      <c r="C2975" t="s">
        <v>3670</v>
      </c>
      <c r="D2975" t="str">
        <f t="shared" si="99"/>
        <v/>
      </c>
      <c r="E2975" t="str">
        <f t="shared" si="98"/>
        <v>sitting on top of the world</v>
      </c>
      <c r="F2975" t="s">
        <v>7024</v>
      </c>
      <c r="G2975" t="str">
        <f>_xlfn.IFNA(VLOOKUP(F2975,songs!$B$1:$C$1539, 2, FALSE),"")</f>
        <v>Sitting On Top Of The World</v>
      </c>
      <c r="H2975" t="s">
        <v>843</v>
      </c>
    </row>
    <row r="2976" spans="1:8" x14ac:dyDescent="0.25">
      <c r="A2976">
        <v>2992</v>
      </c>
      <c r="B2976" t="s">
        <v>3759</v>
      </c>
      <c r="C2976" t="s">
        <v>3760</v>
      </c>
      <c r="D2976" t="str">
        <f t="shared" si="99"/>
        <v/>
      </c>
      <c r="E2976" t="str">
        <f t="shared" si="98"/>
        <v>the other one pt 1</v>
      </c>
      <c r="F2976" t="s">
        <v>7325</v>
      </c>
      <c r="G2976" t="str">
        <f>_xlfn.IFNA(VLOOKUP(F2976,songs!$B$1:$C$1539, 2, FALSE),"")</f>
        <v>The Other One</v>
      </c>
      <c r="H2976" t="s">
        <v>7867</v>
      </c>
    </row>
    <row r="2977" spans="1:8" x14ac:dyDescent="0.25">
      <c r="A2977">
        <v>2976</v>
      </c>
      <c r="B2977" t="s">
        <v>3743</v>
      </c>
      <c r="C2977" t="s">
        <v>956</v>
      </c>
      <c r="D2977" t="str">
        <f t="shared" si="99"/>
        <v/>
      </c>
      <c r="E2977" t="str">
        <f t="shared" si="98"/>
        <v>one more saturday night</v>
      </c>
      <c r="F2977" t="s">
        <v>6702</v>
      </c>
      <c r="G2977" t="str">
        <f>_xlfn.IFNA(VLOOKUP(F2977,songs!$B$1:$C$1539, 2, FALSE),"")</f>
        <v>One More Saturday Night</v>
      </c>
      <c r="H2977" t="s">
        <v>956</v>
      </c>
    </row>
    <row r="2978" spans="1:8" x14ac:dyDescent="0.25">
      <c r="A2978">
        <v>2977</v>
      </c>
      <c r="B2978" t="s">
        <v>3744</v>
      </c>
      <c r="C2978" t="s">
        <v>130</v>
      </c>
      <c r="D2978" t="str">
        <f t="shared" si="99"/>
        <v/>
      </c>
      <c r="E2978" t="str">
        <f t="shared" si="98"/>
        <v>promised land</v>
      </c>
      <c r="F2978" t="s">
        <v>6797</v>
      </c>
      <c r="G2978" t="str">
        <f>_xlfn.IFNA(VLOOKUP(F2978,songs!$B$1:$C$1539, 2, FALSE),"")</f>
        <v>Promised Land</v>
      </c>
      <c r="H2978" t="s">
        <v>130</v>
      </c>
    </row>
    <row r="2979" spans="1:8" x14ac:dyDescent="0.25">
      <c r="A2979">
        <v>2978</v>
      </c>
      <c r="B2979" t="s">
        <v>3745</v>
      </c>
      <c r="C2979" t="s">
        <v>51</v>
      </c>
      <c r="D2979" t="str">
        <f t="shared" si="99"/>
        <v/>
      </c>
      <c r="E2979" t="str">
        <f t="shared" si="98"/>
        <v>sugaree</v>
      </c>
      <c r="F2979" t="s">
        <v>7151</v>
      </c>
      <c r="G2979" t="str">
        <f>_xlfn.IFNA(VLOOKUP(F2979,songs!$B$1:$C$1539, 2, FALSE),"")</f>
        <v>Sugaree</v>
      </c>
      <c r="H2979" t="s">
        <v>51</v>
      </c>
    </row>
    <row r="2980" spans="1:8" x14ac:dyDescent="0.25">
      <c r="A2980">
        <v>2979</v>
      </c>
      <c r="B2980" t="s">
        <v>3746</v>
      </c>
      <c r="C2980" t="s">
        <v>1013</v>
      </c>
      <c r="D2980" t="str">
        <f t="shared" si="99"/>
        <v/>
      </c>
      <c r="E2980" t="str">
        <f t="shared" si="98"/>
        <v>mr. charlie</v>
      </c>
      <c r="F2980" t="s">
        <v>6571</v>
      </c>
      <c r="G2980" t="str">
        <f>_xlfn.IFNA(VLOOKUP(F2980,songs!$B$1:$C$1539, 2, FALSE),"")</f>
        <v>Mr. Charlie</v>
      </c>
      <c r="H2980" t="s">
        <v>1013</v>
      </c>
    </row>
    <row r="2981" spans="1:8" x14ac:dyDescent="0.25">
      <c r="A2981">
        <v>2994</v>
      </c>
      <c r="B2981" t="s">
        <v>3762</v>
      </c>
      <c r="C2981" t="s">
        <v>3763</v>
      </c>
      <c r="D2981" t="str">
        <f t="shared" si="99"/>
        <v/>
      </c>
      <c r="E2981" t="str">
        <f t="shared" si="98"/>
        <v>the other one pt 2</v>
      </c>
      <c r="F2981" t="s">
        <v>7325</v>
      </c>
      <c r="G2981" t="str">
        <f>_xlfn.IFNA(VLOOKUP(F2981,songs!$B$1:$C$1539, 2, FALSE),"")</f>
        <v>The Other One</v>
      </c>
      <c r="H2981" t="s">
        <v>7867</v>
      </c>
    </row>
    <row r="2982" spans="1:8" x14ac:dyDescent="0.25">
      <c r="A2982">
        <v>2981</v>
      </c>
      <c r="B2982" t="s">
        <v>3748</v>
      </c>
      <c r="C2982" t="s">
        <v>327</v>
      </c>
      <c r="D2982" t="str">
        <f t="shared" si="99"/>
        <v/>
      </c>
      <c r="E2982" t="str">
        <f t="shared" si="98"/>
        <v>el paso</v>
      </c>
      <c r="F2982" t="s">
        <v>5600</v>
      </c>
      <c r="G2982" t="str">
        <f>_xlfn.IFNA(VLOOKUP(F2982,songs!$B$1:$C$1539, 2, FALSE),"")</f>
        <v>El Paso</v>
      </c>
      <c r="H2982" t="s">
        <v>327</v>
      </c>
    </row>
    <row r="2983" spans="1:8" x14ac:dyDescent="0.25">
      <c r="A2983">
        <v>2982</v>
      </c>
      <c r="B2983" t="s">
        <v>3749</v>
      </c>
      <c r="C2983" t="s">
        <v>90</v>
      </c>
      <c r="D2983" t="str">
        <f t="shared" si="99"/>
        <v/>
      </c>
      <c r="E2983" t="str">
        <f t="shared" si="98"/>
        <v>dire wolf</v>
      </c>
      <c r="F2983" t="s">
        <v>5497</v>
      </c>
      <c r="G2983" t="str">
        <f>_xlfn.IFNA(VLOOKUP(F2983,songs!$B$1:$C$1539, 2, FALSE),"")</f>
        <v>Dire Wolf</v>
      </c>
      <c r="H2983" t="s">
        <v>90</v>
      </c>
    </row>
    <row r="2984" spans="1:8" x14ac:dyDescent="0.25">
      <c r="A2984">
        <v>2996</v>
      </c>
      <c r="B2984" t="s">
        <v>3765</v>
      </c>
      <c r="C2984" t="s">
        <v>3766</v>
      </c>
      <c r="D2984" t="str">
        <f t="shared" si="99"/>
        <v/>
      </c>
      <c r="E2984" t="str">
        <f t="shared" si="98"/>
        <v>the other one pt 3</v>
      </c>
      <c r="F2984" t="s">
        <v>7325</v>
      </c>
      <c r="G2984" t="str">
        <f>_xlfn.IFNA(VLOOKUP(F2984,songs!$B$1:$C$1539, 2, FALSE),"")</f>
        <v>The Other One</v>
      </c>
      <c r="H2984" t="s">
        <v>7867</v>
      </c>
    </row>
    <row r="2985" spans="1:8" x14ac:dyDescent="0.25">
      <c r="A2985">
        <v>2984</v>
      </c>
      <c r="B2985" t="s">
        <v>3751</v>
      </c>
      <c r="C2985" t="s">
        <v>11</v>
      </c>
      <c r="D2985" t="str">
        <f t="shared" si="99"/>
        <v/>
      </c>
      <c r="E2985" t="str">
        <f t="shared" si="98"/>
        <v>playing in the band</v>
      </c>
      <c r="F2985" t="s">
        <v>6769</v>
      </c>
      <c r="G2985" t="str">
        <f>_xlfn.IFNA(VLOOKUP(F2985,songs!$B$1:$C$1539, 2, FALSE),"")</f>
        <v>Playing In The Band</v>
      </c>
      <c r="H2985" t="s">
        <v>419</v>
      </c>
    </row>
    <row r="2986" spans="1:8" x14ac:dyDescent="0.25">
      <c r="A2986">
        <v>2985</v>
      </c>
      <c r="B2986" t="s">
        <v>3752</v>
      </c>
      <c r="C2986" t="s">
        <v>13</v>
      </c>
      <c r="D2986" t="str">
        <f t="shared" si="99"/>
        <v/>
      </c>
      <c r="E2986" t="str">
        <f t="shared" si="98"/>
        <v>he's gone</v>
      </c>
      <c r="F2986" t="s">
        <v>5903</v>
      </c>
      <c r="G2986" t="str">
        <f>_xlfn.IFNA(VLOOKUP(F2986,songs!$B$1:$C$1539, 2, FALSE),"")</f>
        <v>He's Gone</v>
      </c>
      <c r="H2986" t="s">
        <v>13</v>
      </c>
    </row>
    <row r="2987" spans="1:8" x14ac:dyDescent="0.25">
      <c r="A2987">
        <v>2986</v>
      </c>
      <c r="B2987" t="s">
        <v>3753</v>
      </c>
      <c r="C2987" t="s">
        <v>225</v>
      </c>
      <c r="D2987" t="str">
        <f t="shared" si="99"/>
        <v/>
      </c>
      <c r="E2987" t="str">
        <f t="shared" si="98"/>
        <v>cumberland blues</v>
      </c>
      <c r="F2987" t="s">
        <v>5411</v>
      </c>
      <c r="G2987" t="str">
        <f>_xlfn.IFNA(VLOOKUP(F2987,songs!$B$1:$C$1539, 2, FALSE),"")</f>
        <v>Cumberland Blues</v>
      </c>
      <c r="H2987" t="s">
        <v>225</v>
      </c>
    </row>
    <row r="2988" spans="1:8" x14ac:dyDescent="0.25">
      <c r="A2988">
        <v>2987</v>
      </c>
      <c r="B2988" t="s">
        <v>3754</v>
      </c>
      <c r="C2988" t="s">
        <v>1008</v>
      </c>
      <c r="D2988" t="str">
        <f t="shared" si="99"/>
        <v/>
      </c>
      <c r="E2988" t="str">
        <f t="shared" si="98"/>
        <v>chinatown shuffle</v>
      </c>
      <c r="F2988" t="s">
        <v>5321</v>
      </c>
      <c r="G2988" t="str">
        <f>_xlfn.IFNA(VLOOKUP(F2988,songs!$B$1:$C$1539, 2, FALSE),"")</f>
        <v>Chinatown Shuffle</v>
      </c>
      <c r="H2988" t="s">
        <v>1008</v>
      </c>
    </row>
    <row r="2989" spans="1:8" x14ac:dyDescent="0.25">
      <c r="A2989">
        <v>2988</v>
      </c>
      <c r="B2989" t="s">
        <v>3755</v>
      </c>
      <c r="C2989" t="s">
        <v>84</v>
      </c>
      <c r="D2989" t="str">
        <f t="shared" si="99"/>
        <v/>
      </c>
      <c r="E2989" t="str">
        <f t="shared" si="98"/>
        <v>china cat sunflower</v>
      </c>
      <c r="F2989" t="s">
        <v>5319</v>
      </c>
      <c r="G2989" t="str">
        <f>_xlfn.IFNA(VLOOKUP(F2989,songs!$B$1:$C$1539, 2, FALSE),"")</f>
        <v>China Cat Sunflower</v>
      </c>
      <c r="H2989" t="s">
        <v>84</v>
      </c>
    </row>
    <row r="2990" spans="1:8" x14ac:dyDescent="0.25">
      <c r="A2990">
        <v>2989</v>
      </c>
      <c r="B2990" t="s">
        <v>3756</v>
      </c>
      <c r="C2990" t="s">
        <v>86</v>
      </c>
      <c r="D2990" t="str">
        <f t="shared" si="99"/>
        <v/>
      </c>
      <c r="E2990" t="str">
        <f t="shared" si="98"/>
        <v>i know you rider</v>
      </c>
      <c r="F2990" t="s">
        <v>6020</v>
      </c>
      <c r="G2990" t="str">
        <f>_xlfn.IFNA(VLOOKUP(F2990,songs!$B$1:$C$1539, 2, FALSE),"")</f>
        <v>I Know You Rider</v>
      </c>
      <c r="H2990" t="s">
        <v>86</v>
      </c>
    </row>
    <row r="2991" spans="1:8" x14ac:dyDescent="0.25">
      <c r="A2991">
        <v>3001</v>
      </c>
      <c r="B2991" t="s">
        <v>3771</v>
      </c>
      <c r="C2991" t="s">
        <v>3772</v>
      </c>
      <c r="D2991" t="str">
        <f t="shared" si="99"/>
        <v/>
      </c>
      <c r="E2991" t="str">
        <f t="shared" si="98"/>
        <v>katie mae (live at the fillmore east, san francisco, ca 2/13/70)</v>
      </c>
      <c r="F2991" t="s">
        <v>6227</v>
      </c>
      <c r="G2991" t="str">
        <f>_xlfn.IFNA(VLOOKUP(F2991,songs!$B$1:$C$1539, 2, FALSE),"")</f>
        <v>Katie Mae</v>
      </c>
      <c r="H2991" t="s">
        <v>7867</v>
      </c>
    </row>
    <row r="2992" spans="1:8" x14ac:dyDescent="0.25">
      <c r="A2992">
        <v>2991</v>
      </c>
      <c r="B2992" t="s">
        <v>3758</v>
      </c>
      <c r="C2992" t="s">
        <v>15</v>
      </c>
      <c r="D2992" t="str">
        <f t="shared" si="99"/>
        <v/>
      </c>
      <c r="E2992" t="str">
        <f t="shared" si="98"/>
        <v>truckin'</v>
      </c>
      <c r="F2992" t="s">
        <v>7436</v>
      </c>
      <c r="G2992" t="str">
        <f>_xlfn.IFNA(VLOOKUP(F2992,songs!$B$1:$C$1539, 2, FALSE),"")</f>
        <v>Truckin'</v>
      </c>
      <c r="H2992" t="s">
        <v>15</v>
      </c>
    </row>
    <row r="2993" spans="1:8" x14ac:dyDescent="0.25">
      <c r="A2993">
        <v>3002</v>
      </c>
      <c r="B2993" t="s">
        <v>3773</v>
      </c>
      <c r="C2993" t="s">
        <v>3774</v>
      </c>
      <c r="D2993" t="str">
        <f t="shared" si="99"/>
        <v/>
      </c>
      <c r="E2993" t="str">
        <f t="shared" si="98"/>
        <v>dark hollow (live at the fillmore east, san francisco, ca 2/14/70)</v>
      </c>
      <c r="F2993" t="s">
        <v>5427</v>
      </c>
      <c r="G2993" t="str">
        <f>_xlfn.IFNA(VLOOKUP(F2993,songs!$B$1:$C$1539, 2, FALSE),"")</f>
        <v>Dark Hollow</v>
      </c>
      <c r="H2993" t="s">
        <v>7867</v>
      </c>
    </row>
    <row r="2994" spans="1:8" x14ac:dyDescent="0.25">
      <c r="A2994">
        <v>2993</v>
      </c>
      <c r="B2994" t="s">
        <v>3761</v>
      </c>
      <c r="C2994" t="s">
        <v>100</v>
      </c>
      <c r="D2994" t="str">
        <f t="shared" si="99"/>
        <v/>
      </c>
      <c r="E2994" t="str">
        <f t="shared" si="98"/>
        <v>drums</v>
      </c>
      <c r="F2994" t="s">
        <v>5568</v>
      </c>
      <c r="G2994" t="str">
        <f>_xlfn.IFNA(VLOOKUP(F2994,songs!$B$1:$C$1539, 2, FALSE),"")</f>
        <v>Drums</v>
      </c>
      <c r="H2994" t="s">
        <v>100</v>
      </c>
    </row>
    <row r="2995" spans="1:8" x14ac:dyDescent="0.25">
      <c r="A2995">
        <v>3003</v>
      </c>
      <c r="B2995" t="s">
        <v>3775</v>
      </c>
      <c r="C2995" t="s">
        <v>3776</v>
      </c>
      <c r="D2995" t="str">
        <f t="shared" si="99"/>
        <v/>
      </c>
      <c r="E2995" t="str">
        <f t="shared" si="98"/>
        <v>i've been all around this world (live at the fillmore east, san francisco, ca 2/14/70)</v>
      </c>
      <c r="F2995" t="s">
        <v>6147</v>
      </c>
      <c r="G2995" t="str">
        <f>_xlfn.IFNA(VLOOKUP(F2995,songs!$B$1:$C$1539, 2, FALSE),"")</f>
        <v>I've Been All Around This World</v>
      </c>
      <c r="H2995" t="s">
        <v>7867</v>
      </c>
    </row>
    <row r="2996" spans="1:8" x14ac:dyDescent="0.25">
      <c r="A2996">
        <v>2995</v>
      </c>
      <c r="B2996" t="s">
        <v>3764</v>
      </c>
      <c r="C2996" t="s">
        <v>212</v>
      </c>
      <c r="D2996" t="str">
        <f t="shared" si="99"/>
        <v/>
      </c>
      <c r="E2996" t="str">
        <f t="shared" si="98"/>
        <v>morning dew</v>
      </c>
      <c r="F2996" t="s">
        <v>6555</v>
      </c>
      <c r="G2996" t="str">
        <f>_xlfn.IFNA(VLOOKUP(F2996,songs!$B$1:$C$1539, 2, FALSE),"")</f>
        <v>Morning Dew</v>
      </c>
      <c r="H2996" t="s">
        <v>212</v>
      </c>
    </row>
    <row r="2997" spans="1:8" x14ac:dyDescent="0.25">
      <c r="A2997">
        <v>3004</v>
      </c>
      <c r="B2997" t="s">
        <v>3777</v>
      </c>
      <c r="C2997" t="s">
        <v>3778</v>
      </c>
      <c r="D2997" t="str">
        <f t="shared" si="99"/>
        <v/>
      </c>
      <c r="E2997" t="str">
        <f t="shared" si="98"/>
        <v>wake up little susie (live at the fillmore east, san francisco, ca 2/13/70)</v>
      </c>
      <c r="F2997" t="s">
        <v>7604</v>
      </c>
      <c r="G2997" t="str">
        <f>_xlfn.IFNA(VLOOKUP(F2997,songs!$B$1:$C$1539, 2, FALSE),"")</f>
        <v>Wake Up Little Susie</v>
      </c>
      <c r="H2997" t="s">
        <v>7867</v>
      </c>
    </row>
    <row r="2998" spans="1:8" x14ac:dyDescent="0.25">
      <c r="A2998">
        <v>2997</v>
      </c>
      <c r="B2998" t="s">
        <v>3767</v>
      </c>
      <c r="C2998" t="s">
        <v>595</v>
      </c>
      <c r="D2998" t="str">
        <f t="shared" si="99"/>
        <v/>
      </c>
      <c r="E2998" t="str">
        <f t="shared" si="98"/>
        <v>me and my uncle</v>
      </c>
      <c r="F2998" t="s">
        <v>6486</v>
      </c>
      <c r="G2998" t="str">
        <f>_xlfn.IFNA(VLOOKUP(F2998,songs!$B$1:$C$1539, 2, FALSE),"")</f>
        <v>Me And My Uncle</v>
      </c>
      <c r="H2998" t="s">
        <v>903</v>
      </c>
    </row>
    <row r="2999" spans="1:8" x14ac:dyDescent="0.25">
      <c r="A2999">
        <v>2998</v>
      </c>
      <c r="B2999" t="s">
        <v>3768</v>
      </c>
      <c r="C2999" t="s">
        <v>336</v>
      </c>
      <c r="D2999" t="str">
        <f t="shared" si="99"/>
        <v/>
      </c>
      <c r="E2999" t="str">
        <f t="shared" si="98"/>
        <v>ramble on rose</v>
      </c>
      <c r="F2999" t="s">
        <v>6827</v>
      </c>
      <c r="G2999" t="str">
        <f>_xlfn.IFNA(VLOOKUP(F2999,songs!$B$1:$C$1539, 2, FALSE),"")</f>
        <v>Ramble On Rose</v>
      </c>
      <c r="H2999" t="s">
        <v>436</v>
      </c>
    </row>
    <row r="3000" spans="1:8" x14ac:dyDescent="0.25">
      <c r="A3000">
        <v>2999</v>
      </c>
      <c r="B3000" t="s">
        <v>3769</v>
      </c>
      <c r="C3000" t="s">
        <v>81</v>
      </c>
      <c r="D3000" t="str">
        <f t="shared" si="99"/>
        <v/>
      </c>
      <c r="E3000" t="str">
        <f t="shared" si="98"/>
        <v>casey jones</v>
      </c>
      <c r="F3000" t="s">
        <v>5290</v>
      </c>
      <c r="G3000" t="str">
        <f>_xlfn.IFNA(VLOOKUP(F3000,songs!$B$1:$C$1539, 2, FALSE),"")</f>
        <v>Casey Jones</v>
      </c>
      <c r="H3000" t="s">
        <v>81</v>
      </c>
    </row>
    <row r="3001" spans="1:8" x14ac:dyDescent="0.25">
      <c r="A3001">
        <v>3000</v>
      </c>
      <c r="B3001" t="s">
        <v>3770</v>
      </c>
      <c r="C3001" t="s">
        <v>956</v>
      </c>
      <c r="D3001" t="str">
        <f t="shared" si="99"/>
        <v/>
      </c>
      <c r="E3001" t="str">
        <f t="shared" si="98"/>
        <v>one more saturday night</v>
      </c>
      <c r="F3001" t="s">
        <v>6702</v>
      </c>
      <c r="G3001" t="str">
        <f>_xlfn.IFNA(VLOOKUP(F3001,songs!$B$1:$C$1539, 2, FALSE),"")</f>
        <v>One More Saturday Night</v>
      </c>
      <c r="H3001" t="s">
        <v>956</v>
      </c>
    </row>
    <row r="3002" spans="1:8" x14ac:dyDescent="0.25">
      <c r="A3002">
        <v>3005</v>
      </c>
      <c r="B3002" t="s">
        <v>3779</v>
      </c>
      <c r="C3002" t="s">
        <v>3780</v>
      </c>
      <c r="D3002" t="str">
        <f t="shared" si="99"/>
        <v/>
      </c>
      <c r="E3002" t="str">
        <f t="shared" si="98"/>
        <v>black peter (live at the fillmore east, san francisco, ca 2/13/70)</v>
      </c>
      <c r="F3002" t="s">
        <v>5190</v>
      </c>
      <c r="G3002" t="str">
        <f>_xlfn.IFNA(VLOOKUP(F3002,songs!$B$1:$C$1539, 2, FALSE),"")</f>
        <v>Black Peter</v>
      </c>
      <c r="H3002" t="s">
        <v>7867</v>
      </c>
    </row>
    <row r="3003" spans="1:8" x14ac:dyDescent="0.25">
      <c r="A3003">
        <v>3006</v>
      </c>
      <c r="B3003" t="s">
        <v>3781</v>
      </c>
      <c r="C3003" t="s">
        <v>3782</v>
      </c>
      <c r="D3003" t="str">
        <f t="shared" si="99"/>
        <v/>
      </c>
      <c r="E3003" t="str">
        <f t="shared" si="98"/>
        <v>smokestack lightnin' (live at the fillmore east, san francisco, ca 2/13/70)</v>
      </c>
      <c r="F3003" t="s">
        <v>7050</v>
      </c>
      <c r="G3003" t="str">
        <f>_xlfn.IFNA(VLOOKUP(F3003,songs!$B$1:$C$1539, 2, FALSE),"")</f>
        <v>Smokestack Lightning</v>
      </c>
      <c r="H3003" t="s">
        <v>7867</v>
      </c>
    </row>
    <row r="3004" spans="1:8" x14ac:dyDescent="0.25">
      <c r="A3004">
        <v>3007</v>
      </c>
      <c r="B3004" t="s">
        <v>3783</v>
      </c>
      <c r="C3004" t="s">
        <v>3784</v>
      </c>
      <c r="D3004" t="str">
        <f t="shared" si="99"/>
        <v/>
      </c>
      <c r="E3004" t="str">
        <f t="shared" si="98"/>
        <v>hard to handle (live at the fillmore east, san francisco, ca 2/14/70)</v>
      </c>
      <c r="F3004" t="s">
        <v>5861</v>
      </c>
      <c r="G3004" t="str">
        <f>_xlfn.IFNA(VLOOKUP(F3004,songs!$B$1:$C$1539, 2, FALSE),"")</f>
        <v>Hard To Handle</v>
      </c>
      <c r="H3004" t="s">
        <v>7867</v>
      </c>
    </row>
    <row r="3005" spans="1:8" x14ac:dyDescent="0.25">
      <c r="A3005">
        <v>3008</v>
      </c>
      <c r="B3005" t="s">
        <v>3785</v>
      </c>
      <c r="C3005" t="s">
        <v>3786</v>
      </c>
      <c r="D3005" t="str">
        <f t="shared" si="99"/>
        <v/>
      </c>
      <c r="E3005" t="str">
        <f t="shared" si="98"/>
        <v>mississippi half-step uptown toodeloo (2023 remaster)</v>
      </c>
      <c r="F3005" t="s">
        <v>6531</v>
      </c>
      <c r="G3005" t="str">
        <f>_xlfn.IFNA(VLOOKUP(F3005,songs!$B$1:$C$1539, 2, FALSE),"")</f>
        <v>Mississippi Half-Step Uptown Toodeloo</v>
      </c>
      <c r="H3005" t="s">
        <v>7867</v>
      </c>
    </row>
    <row r="3006" spans="1:8" x14ac:dyDescent="0.25">
      <c r="A3006">
        <v>3009</v>
      </c>
      <c r="B3006" t="s">
        <v>3787</v>
      </c>
      <c r="C3006" t="s">
        <v>3788</v>
      </c>
      <c r="D3006" t="str">
        <f t="shared" si="99"/>
        <v/>
      </c>
      <c r="E3006" t="str">
        <f t="shared" si="98"/>
        <v>let me sing your blues away (2023 remaster)</v>
      </c>
      <c r="F3006" t="s">
        <v>6314</v>
      </c>
      <c r="G3006" t="str">
        <f>_xlfn.IFNA(VLOOKUP(F3006,songs!$B$1:$C$1539, 2, FALSE),"")</f>
        <v>Let Me Sing Your Blues Away</v>
      </c>
      <c r="H3006" t="s">
        <v>7867</v>
      </c>
    </row>
    <row r="3007" spans="1:8" x14ac:dyDescent="0.25">
      <c r="A3007">
        <v>3010</v>
      </c>
      <c r="B3007" t="s">
        <v>3789</v>
      </c>
      <c r="C3007" t="s">
        <v>3790</v>
      </c>
      <c r="D3007" t="str">
        <f t="shared" si="99"/>
        <v/>
      </c>
      <c r="E3007" t="str">
        <f t="shared" si="98"/>
        <v>row jimmy (2023 remaster)</v>
      </c>
      <c r="F3007" t="s">
        <v>6893</v>
      </c>
      <c r="G3007" t="str">
        <f>_xlfn.IFNA(VLOOKUP(F3007,songs!$B$1:$C$1539, 2, FALSE),"")</f>
        <v>Row Jimmy</v>
      </c>
      <c r="H3007" t="s">
        <v>7867</v>
      </c>
    </row>
    <row r="3008" spans="1:8" x14ac:dyDescent="0.25">
      <c r="A3008">
        <v>3011</v>
      </c>
      <c r="B3008" t="s">
        <v>3791</v>
      </c>
      <c r="C3008" t="s">
        <v>3792</v>
      </c>
      <c r="D3008" t="str">
        <f t="shared" si="99"/>
        <v/>
      </c>
      <c r="E3008" t="str">
        <f t="shared" si="98"/>
        <v>stella blue (2023 remaster)</v>
      </c>
      <c r="F3008" t="s">
        <v>7123</v>
      </c>
      <c r="G3008" t="str">
        <f>_xlfn.IFNA(VLOOKUP(F3008,songs!$B$1:$C$1539, 2, FALSE),"")</f>
        <v>Stella Blue</v>
      </c>
      <c r="H3008" t="s">
        <v>7867</v>
      </c>
    </row>
    <row r="3009" spans="1:8" x14ac:dyDescent="0.25">
      <c r="A3009">
        <v>3012</v>
      </c>
      <c r="B3009" t="s">
        <v>3793</v>
      </c>
      <c r="C3009" t="s">
        <v>3794</v>
      </c>
      <c r="D3009" t="str">
        <f t="shared" si="99"/>
        <v/>
      </c>
      <c r="E3009" t="str">
        <f t="shared" si="98"/>
        <v>here comes sunshine (2023 remaster)</v>
      </c>
      <c r="F3009" t="s">
        <v>5898</v>
      </c>
      <c r="G3009" t="str">
        <f>_xlfn.IFNA(VLOOKUP(F3009,songs!$B$1:$C$1539, 2, FALSE),"")</f>
        <v>Here Comes Sunshine</v>
      </c>
      <c r="H3009" t="s">
        <v>7867</v>
      </c>
    </row>
    <row r="3010" spans="1:8" x14ac:dyDescent="0.25">
      <c r="A3010">
        <v>3013</v>
      </c>
      <c r="B3010" t="s">
        <v>3795</v>
      </c>
      <c r="C3010" t="s">
        <v>3796</v>
      </c>
      <c r="D3010" t="str">
        <f t="shared" si="99"/>
        <v/>
      </c>
      <c r="E3010" t="str">
        <f t="shared" si="98"/>
        <v>eyes of the world (2023 remaster)</v>
      </c>
      <c r="F3010" t="s">
        <v>5633</v>
      </c>
      <c r="G3010" t="str">
        <f>_xlfn.IFNA(VLOOKUP(F3010,songs!$B$1:$C$1539, 2, FALSE),"")</f>
        <v>Eyes Of The World</v>
      </c>
      <c r="H3010" t="s">
        <v>7867</v>
      </c>
    </row>
    <row r="3011" spans="1:8" x14ac:dyDescent="0.25">
      <c r="A3011">
        <v>3014</v>
      </c>
      <c r="B3011" t="s">
        <v>3797</v>
      </c>
      <c r="C3011" t="s">
        <v>3798</v>
      </c>
      <c r="D3011" t="str">
        <f t="shared" si="99"/>
        <v/>
      </c>
      <c r="E3011" t="str">
        <f t="shared" si="98"/>
        <v>weather report suite (2023 remaster)</v>
      </c>
      <c r="F3011" t="s">
        <v>7846</v>
      </c>
      <c r="G3011" t="s">
        <v>7879</v>
      </c>
      <c r="H3011" t="s">
        <v>7867</v>
      </c>
    </row>
    <row r="3012" spans="1:8" x14ac:dyDescent="0.25">
      <c r="A3012">
        <v>3015</v>
      </c>
      <c r="B3012" t="s">
        <v>3799</v>
      </c>
      <c r="C3012" t="s">
        <v>3800</v>
      </c>
      <c r="D3012" t="str">
        <f t="shared" si="99"/>
        <v/>
      </c>
      <c r="E3012" t="str">
        <f t="shared" ref="E3012:E3075" si="100">LOWER(TRIM(SUBSTITUTE(IF(RIGHT(TRIM(C3012),2)="-&gt;",LEFT(TRIM(C3012),LEN(TRIM(C3012))-2),IF(RIGHT(TRIM(C3012),1)="&gt;",LEFT(TRIM(C3012),LEN(TRIM(C3012))-1),C3012)),"//","")))</f>
        <v>eyes of the world (demo)</v>
      </c>
      <c r="F3012" t="s">
        <v>5633</v>
      </c>
      <c r="G3012" t="str">
        <f>_xlfn.IFNA(VLOOKUP(F3012,songs!$B$1:$C$1539, 2, FALSE),"")</f>
        <v>Eyes Of The World</v>
      </c>
      <c r="H3012" t="s">
        <v>7867</v>
      </c>
    </row>
    <row r="3013" spans="1:8" x14ac:dyDescent="0.25">
      <c r="A3013">
        <v>3016</v>
      </c>
      <c r="B3013" t="s">
        <v>3801</v>
      </c>
      <c r="C3013" t="s">
        <v>3802</v>
      </c>
      <c r="D3013" t="str">
        <f t="shared" si="99"/>
        <v/>
      </c>
      <c r="E3013" t="str">
        <f t="shared" si="100"/>
        <v>here comes sunshine (demo)</v>
      </c>
      <c r="F3013" t="s">
        <v>5898</v>
      </c>
      <c r="G3013" t="str">
        <f>_xlfn.IFNA(VLOOKUP(F3013,songs!$B$1:$C$1539, 2, FALSE),"")</f>
        <v>Here Comes Sunshine</v>
      </c>
      <c r="H3013" t="s">
        <v>7867</v>
      </c>
    </row>
    <row r="3014" spans="1:8" x14ac:dyDescent="0.25">
      <c r="A3014">
        <v>3017</v>
      </c>
      <c r="B3014" t="s">
        <v>3803</v>
      </c>
      <c r="C3014" t="s">
        <v>3804</v>
      </c>
      <c r="D3014" t="str">
        <f t="shared" si="99"/>
        <v/>
      </c>
      <c r="E3014" t="str">
        <f t="shared" si="100"/>
        <v>mississippi half-step uptown toodeloo (take 9) [not slated] (8/6/73)</v>
      </c>
      <c r="F3014" t="s">
        <v>6531</v>
      </c>
      <c r="G3014" t="str">
        <f>_xlfn.IFNA(VLOOKUP(F3014,songs!$B$1:$C$1539, 2, FALSE),"")</f>
        <v>Mississippi Half-Step Uptown Toodeloo</v>
      </c>
      <c r="H3014" t="s">
        <v>7867</v>
      </c>
    </row>
    <row r="3015" spans="1:8" x14ac:dyDescent="0.25">
      <c r="A3015">
        <v>189</v>
      </c>
      <c r="B3015" t="s">
        <v>305</v>
      </c>
      <c r="C3015" t="s">
        <v>306</v>
      </c>
      <c r="D3015" t="str">
        <f t="shared" si="99"/>
        <v/>
      </c>
      <c r="E3015" t="str">
        <f t="shared" si="100"/>
        <v>playing jam</v>
      </c>
      <c r="F3015" t="s">
        <v>7822</v>
      </c>
      <c r="G3015" t="str">
        <f>_xlfn.IFNA(VLOOKUP(F3015,songs!$B$1:$C$1539, 2, FALSE),"")</f>
        <v/>
      </c>
      <c r="H3015" t="s">
        <v>7867</v>
      </c>
    </row>
    <row r="3016" spans="1:8" x14ac:dyDescent="0.25">
      <c r="A3016">
        <v>2891</v>
      </c>
      <c r="B3016" t="s">
        <v>3650</v>
      </c>
      <c r="C3016" t="s">
        <v>3651</v>
      </c>
      <c r="D3016" t="str">
        <f t="shared" si="99"/>
        <v/>
      </c>
      <c r="E3016" t="str">
        <f t="shared" si="100"/>
        <v>prelude</v>
      </c>
      <c r="F3016" t="s">
        <v>7842</v>
      </c>
      <c r="G3016" t="str">
        <f>_xlfn.IFNA(VLOOKUP(F3016,songs!$B$1:$C$1539, 2, FALSE),"")</f>
        <v/>
      </c>
      <c r="H3016" t="s">
        <v>7867</v>
      </c>
    </row>
    <row r="3017" spans="1:8" x14ac:dyDescent="0.25">
      <c r="A3017">
        <v>3233</v>
      </c>
      <c r="B3017" t="s">
        <v>4097</v>
      </c>
      <c r="C3017" t="s">
        <v>3651</v>
      </c>
      <c r="D3017" t="str">
        <f t="shared" ref="D3017:D3080" si="101">IF(RIGHT(TRIM(C3017),2)="-&gt;","&gt;",IF(RIGHT(TRIM(C3017),1)="&gt;","&gt;",""))</f>
        <v/>
      </c>
      <c r="E3017" t="str">
        <f t="shared" si="100"/>
        <v>prelude</v>
      </c>
      <c r="F3017" t="s">
        <v>7842</v>
      </c>
      <c r="G3017" t="str">
        <f>_xlfn.IFNA(VLOOKUP(F3017,songs!$B$1:$C$1539, 2, FALSE),"")</f>
        <v/>
      </c>
      <c r="H3017" t="s">
        <v>7867</v>
      </c>
    </row>
    <row r="3018" spans="1:8" x14ac:dyDescent="0.25">
      <c r="A3018">
        <v>3709</v>
      </c>
      <c r="B3018" t="s">
        <v>4726</v>
      </c>
      <c r="C3018" t="s">
        <v>3651</v>
      </c>
      <c r="D3018" t="str">
        <f t="shared" si="101"/>
        <v/>
      </c>
      <c r="E3018" t="str">
        <f t="shared" si="100"/>
        <v>prelude</v>
      </c>
      <c r="F3018" t="s">
        <v>7842</v>
      </c>
      <c r="G3018" t="str">
        <f>_xlfn.IFNA(VLOOKUP(F3018,songs!$B$1:$C$1539, 2, FALSE),"")</f>
        <v/>
      </c>
      <c r="H3018" t="s">
        <v>7867</v>
      </c>
    </row>
    <row r="3019" spans="1:8" x14ac:dyDescent="0.25">
      <c r="A3019">
        <v>3018</v>
      </c>
      <c r="B3019" t="s">
        <v>3805</v>
      </c>
      <c r="C3019" t="s">
        <v>3806</v>
      </c>
      <c r="D3019" t="str">
        <f t="shared" si="101"/>
        <v/>
      </c>
      <c r="E3019" t="str">
        <f t="shared" si="100"/>
        <v>mississippi half-step uptown toodeloo (take 10) [slated] (8/6/73)</v>
      </c>
      <c r="F3019" t="s">
        <v>6531</v>
      </c>
      <c r="G3019" t="str">
        <f>_xlfn.IFNA(VLOOKUP(F3019,songs!$B$1:$C$1539, 2, FALSE),"")</f>
        <v>Mississippi Half-Step Uptown Toodeloo</v>
      </c>
      <c r="H3019" t="s">
        <v>7867</v>
      </c>
    </row>
    <row r="3020" spans="1:8" x14ac:dyDescent="0.25">
      <c r="A3020">
        <v>3019</v>
      </c>
      <c r="B3020" t="s">
        <v>3807</v>
      </c>
      <c r="C3020" t="s">
        <v>3808</v>
      </c>
      <c r="D3020" t="str">
        <f t="shared" si="101"/>
        <v/>
      </c>
      <c r="E3020" t="str">
        <f t="shared" si="100"/>
        <v>mississippi half-step uptown toodeloo (take 11) [slated] (8/6/73)</v>
      </c>
      <c r="F3020" t="s">
        <v>6531</v>
      </c>
      <c r="G3020" t="str">
        <f>_xlfn.IFNA(VLOOKUP(F3020,songs!$B$1:$C$1539, 2, FALSE),"")</f>
        <v>Mississippi Half-Step Uptown Toodeloo</v>
      </c>
      <c r="H3020" t="s">
        <v>7867</v>
      </c>
    </row>
    <row r="3021" spans="1:8" x14ac:dyDescent="0.25">
      <c r="A3021">
        <v>3020</v>
      </c>
      <c r="B3021" t="s">
        <v>3809</v>
      </c>
      <c r="C3021" t="s">
        <v>3810</v>
      </c>
      <c r="D3021" t="str">
        <f t="shared" si="101"/>
        <v/>
      </c>
      <c r="E3021" t="str">
        <f t="shared" si="100"/>
        <v>mississippi half-step uptown toodeloo (take 16) [slated] (8/6/73)</v>
      </c>
      <c r="F3021" t="s">
        <v>6531</v>
      </c>
      <c r="G3021" t="str">
        <f>_xlfn.IFNA(VLOOKUP(F3021,songs!$B$1:$C$1539, 2, FALSE),"")</f>
        <v>Mississippi Half-Step Uptown Toodeloo</v>
      </c>
      <c r="H3021" t="s">
        <v>7867</v>
      </c>
    </row>
    <row r="3022" spans="1:8" x14ac:dyDescent="0.25">
      <c r="A3022">
        <v>3021</v>
      </c>
      <c r="B3022" t="s">
        <v>3811</v>
      </c>
      <c r="C3022" t="s">
        <v>3812</v>
      </c>
      <c r="D3022" t="str">
        <f t="shared" si="101"/>
        <v/>
      </c>
      <c r="E3022" t="str">
        <f t="shared" si="100"/>
        <v>stella blue (take 1) [not slated] (8/7/73)</v>
      </c>
      <c r="F3022" t="s">
        <v>7123</v>
      </c>
      <c r="G3022" t="str">
        <f>_xlfn.IFNA(VLOOKUP(F3022,songs!$B$1:$C$1539, 2, FALSE),"")</f>
        <v>Stella Blue</v>
      </c>
      <c r="H3022" t="s">
        <v>7867</v>
      </c>
    </row>
    <row r="3023" spans="1:8" x14ac:dyDescent="0.25">
      <c r="A3023">
        <v>3022</v>
      </c>
      <c r="B3023" t="s">
        <v>3813</v>
      </c>
      <c r="C3023" t="s">
        <v>3814</v>
      </c>
      <c r="D3023" t="str">
        <f t="shared" si="101"/>
        <v/>
      </c>
      <c r="E3023" t="str">
        <f t="shared" si="100"/>
        <v>stella blue (take 2) [not slated] (8/7/73)</v>
      </c>
      <c r="F3023" t="s">
        <v>7123</v>
      </c>
      <c r="G3023" t="str">
        <f>_xlfn.IFNA(VLOOKUP(F3023,songs!$B$1:$C$1539, 2, FALSE),"")</f>
        <v>Stella Blue</v>
      </c>
      <c r="H3023" t="s">
        <v>7867</v>
      </c>
    </row>
    <row r="3024" spans="1:8" x14ac:dyDescent="0.25">
      <c r="A3024">
        <v>3184</v>
      </c>
      <c r="B3024" t="s">
        <v>4046</v>
      </c>
      <c r="C3024" t="s">
        <v>4047</v>
      </c>
      <c r="D3024" t="str">
        <f t="shared" si="101"/>
        <v/>
      </c>
      <c r="E3024" t="str">
        <f t="shared" si="100"/>
        <v>radio ad</v>
      </c>
      <c r="F3024" t="s">
        <v>7856</v>
      </c>
      <c r="G3024" t="str">
        <f>_xlfn.IFNA(VLOOKUP(F3024,songs!$B$1:$C$1539, 2, FALSE),"")</f>
        <v/>
      </c>
      <c r="H3024" t="s">
        <v>7867</v>
      </c>
    </row>
    <row r="3025" spans="1:8" x14ac:dyDescent="0.25">
      <c r="A3025">
        <v>3023</v>
      </c>
      <c r="B3025" t="s">
        <v>3815</v>
      </c>
      <c r="C3025" t="s">
        <v>3816</v>
      </c>
      <c r="D3025" t="str">
        <f t="shared" si="101"/>
        <v/>
      </c>
      <c r="E3025" t="str">
        <f t="shared" si="100"/>
        <v>stella blue (take 4) [slated] (8/7/73)</v>
      </c>
      <c r="F3025" t="s">
        <v>7123</v>
      </c>
      <c r="G3025" t="str">
        <f>_xlfn.IFNA(VLOOKUP(F3025,songs!$B$1:$C$1539, 2, FALSE),"")</f>
        <v>Stella Blue</v>
      </c>
      <c r="H3025" t="s">
        <v>7867</v>
      </c>
    </row>
    <row r="3026" spans="1:8" x14ac:dyDescent="0.25">
      <c r="A3026">
        <v>3024</v>
      </c>
      <c r="B3026" t="s">
        <v>3817</v>
      </c>
      <c r="C3026" t="s">
        <v>3818</v>
      </c>
      <c r="D3026" t="str">
        <f t="shared" si="101"/>
        <v/>
      </c>
      <c r="E3026" t="str">
        <f t="shared" si="100"/>
        <v>stella blue (take 5) [not slated] (8/7/73)</v>
      </c>
      <c r="F3026" t="s">
        <v>7123</v>
      </c>
      <c r="G3026" t="str">
        <f>_xlfn.IFNA(VLOOKUP(F3026,songs!$B$1:$C$1539, 2, FALSE),"")</f>
        <v>Stella Blue</v>
      </c>
      <c r="H3026" t="s">
        <v>7867</v>
      </c>
    </row>
    <row r="3027" spans="1:8" x14ac:dyDescent="0.25">
      <c r="A3027">
        <v>3025</v>
      </c>
      <c r="B3027" t="s">
        <v>3819</v>
      </c>
      <c r="C3027" t="s">
        <v>3820</v>
      </c>
      <c r="D3027" t="str">
        <f t="shared" si="101"/>
        <v/>
      </c>
      <c r="E3027" t="str">
        <f t="shared" si="100"/>
        <v>i am the rain (weather report suite) [take 2] [slated] (8/7/73)</v>
      </c>
      <c r="F3027" t="s">
        <v>7847</v>
      </c>
      <c r="G3027" t="s">
        <v>7879</v>
      </c>
      <c r="H3027" t="s">
        <v>7867</v>
      </c>
    </row>
    <row r="3028" spans="1:8" x14ac:dyDescent="0.25">
      <c r="A3028">
        <v>3026</v>
      </c>
      <c r="B3028" t="s">
        <v>3821</v>
      </c>
      <c r="C3028" t="s">
        <v>3822</v>
      </c>
      <c r="D3028" t="str">
        <f t="shared" si="101"/>
        <v/>
      </c>
      <c r="E3028" t="str">
        <f t="shared" si="100"/>
        <v>i am the rain (weather report suite) [take 23] [slated] (8/7/73)</v>
      </c>
      <c r="F3028" t="s">
        <v>7848</v>
      </c>
      <c r="G3028" t="s">
        <v>7879</v>
      </c>
      <c r="H3028" t="s">
        <v>7867</v>
      </c>
    </row>
    <row r="3029" spans="1:8" x14ac:dyDescent="0.25">
      <c r="A3029">
        <v>3027</v>
      </c>
      <c r="B3029" t="s">
        <v>3823</v>
      </c>
      <c r="C3029" t="s">
        <v>3824</v>
      </c>
      <c r="D3029" t="str">
        <f t="shared" si="101"/>
        <v/>
      </c>
      <c r="E3029" t="str">
        <f t="shared" si="100"/>
        <v>i am the rain (weather report suite) [take 4] [slated] (8/7/73)</v>
      </c>
      <c r="F3029" t="s">
        <v>7849</v>
      </c>
      <c r="G3029" t="s">
        <v>7879</v>
      </c>
      <c r="H3029" t="s">
        <v>7867</v>
      </c>
    </row>
    <row r="3030" spans="1:8" x14ac:dyDescent="0.25">
      <c r="A3030">
        <v>3028</v>
      </c>
      <c r="B3030" t="s">
        <v>3825</v>
      </c>
      <c r="C3030" t="s">
        <v>3826</v>
      </c>
      <c r="D3030" t="str">
        <f t="shared" si="101"/>
        <v/>
      </c>
      <c r="E3030" t="str">
        <f t="shared" si="100"/>
        <v>pistol shot (china doll) [take 1] [slated] (8/8/73)</v>
      </c>
      <c r="F3030" t="s">
        <v>5320</v>
      </c>
      <c r="G3030" t="str">
        <f>_xlfn.IFNA(VLOOKUP(F3030,songs!$B$1:$C$1539, 2, FALSE),"")</f>
        <v>China Doll</v>
      </c>
      <c r="H3030" t="s">
        <v>7867</v>
      </c>
    </row>
    <row r="3031" spans="1:8" x14ac:dyDescent="0.25">
      <c r="A3031">
        <v>3029</v>
      </c>
      <c r="B3031" t="s">
        <v>3827</v>
      </c>
      <c r="C3031" t="s">
        <v>3828</v>
      </c>
      <c r="D3031" t="str">
        <f t="shared" si="101"/>
        <v/>
      </c>
      <c r="E3031" t="str">
        <f t="shared" si="100"/>
        <v>pistol shot (china doll) [take 2] [slated] (8/8/73)</v>
      </c>
      <c r="F3031" t="s">
        <v>5320</v>
      </c>
      <c r="G3031" t="str">
        <f>_xlfn.IFNA(VLOOKUP(F3031,songs!$B$1:$C$1539, 2, FALSE),"")</f>
        <v>China Doll</v>
      </c>
      <c r="H3031" t="s">
        <v>7867</v>
      </c>
    </row>
    <row r="3032" spans="1:8" x14ac:dyDescent="0.25">
      <c r="A3032">
        <v>3030</v>
      </c>
      <c r="B3032" t="s">
        <v>3829</v>
      </c>
      <c r="C3032" t="s">
        <v>3830</v>
      </c>
      <c r="D3032" t="str">
        <f t="shared" si="101"/>
        <v/>
      </c>
      <c r="E3032" t="str">
        <f t="shared" si="100"/>
        <v>pistol shot (china doll) [take 3] [slated] (8/8/73)</v>
      </c>
      <c r="F3032" t="s">
        <v>5320</v>
      </c>
      <c r="G3032" t="str">
        <f>_xlfn.IFNA(VLOOKUP(F3032,songs!$B$1:$C$1539, 2, FALSE),"")</f>
        <v>China Doll</v>
      </c>
      <c r="H3032" t="s">
        <v>7867</v>
      </c>
    </row>
    <row r="3033" spans="1:8" x14ac:dyDescent="0.25">
      <c r="A3033">
        <v>3031</v>
      </c>
      <c r="B3033" t="s">
        <v>3831</v>
      </c>
      <c r="C3033" t="s">
        <v>3832</v>
      </c>
      <c r="D3033" t="str">
        <f t="shared" si="101"/>
        <v/>
      </c>
      <c r="E3033" t="str">
        <f t="shared" si="100"/>
        <v>pistol shot (china doll) [take 4] [slated] (8/8/73)</v>
      </c>
      <c r="F3033" t="s">
        <v>5320</v>
      </c>
      <c r="G3033" t="str">
        <f>_xlfn.IFNA(VLOOKUP(F3033,songs!$B$1:$C$1539, 2, FALSE),"")</f>
        <v>China Doll</v>
      </c>
      <c r="H3033" t="s">
        <v>7867</v>
      </c>
    </row>
    <row r="3034" spans="1:8" x14ac:dyDescent="0.25">
      <c r="A3034">
        <v>3032</v>
      </c>
      <c r="B3034" t="s">
        <v>3833</v>
      </c>
      <c r="C3034" t="s">
        <v>3834</v>
      </c>
      <c r="D3034" t="str">
        <f t="shared" si="101"/>
        <v/>
      </c>
      <c r="E3034" t="str">
        <f t="shared" si="100"/>
        <v>row jimmy (take 1) [not slated] (8/10/73)</v>
      </c>
      <c r="F3034" t="s">
        <v>6893</v>
      </c>
      <c r="G3034" t="str">
        <f>_xlfn.IFNA(VLOOKUP(F3034,songs!$B$1:$C$1539, 2, FALSE),"")</f>
        <v>Row Jimmy</v>
      </c>
      <c r="H3034" t="s">
        <v>7867</v>
      </c>
    </row>
    <row r="3035" spans="1:8" x14ac:dyDescent="0.25">
      <c r="A3035">
        <v>3033</v>
      </c>
      <c r="B3035" t="s">
        <v>3835</v>
      </c>
      <c r="C3035" t="s">
        <v>3836</v>
      </c>
      <c r="D3035" t="str">
        <f t="shared" si="101"/>
        <v/>
      </c>
      <c r="E3035" t="str">
        <f t="shared" si="100"/>
        <v>eyes of the world (run-through) [not slated] (8/10/73)</v>
      </c>
      <c r="F3035" t="s">
        <v>5633</v>
      </c>
      <c r="G3035" t="str">
        <f>_xlfn.IFNA(VLOOKUP(F3035,songs!$B$1:$C$1539, 2, FALSE),"")</f>
        <v>Eyes Of The World</v>
      </c>
      <c r="H3035" t="s">
        <v>7867</v>
      </c>
    </row>
    <row r="3036" spans="1:8" x14ac:dyDescent="0.25">
      <c r="A3036">
        <v>2908</v>
      </c>
      <c r="B3036" t="s">
        <v>3671</v>
      </c>
      <c r="C3036" t="s">
        <v>3672</v>
      </c>
      <c r="D3036" t="str">
        <f t="shared" si="101"/>
        <v/>
      </c>
      <c r="E3036" t="str">
        <f t="shared" si="100"/>
        <v>rockin pneumonia and the boogie woogie flu</v>
      </c>
      <c r="F3036" t="s">
        <v>7843</v>
      </c>
      <c r="G3036" t="str">
        <f>_xlfn.IFNA(VLOOKUP(F3036,songs!$B$1:$C$1539, 2, FALSE),"")</f>
        <v/>
      </c>
      <c r="H3036" t="s">
        <v>7867</v>
      </c>
    </row>
    <row r="3037" spans="1:8" x14ac:dyDescent="0.25">
      <c r="A3037">
        <v>2938</v>
      </c>
      <c r="B3037" t="s">
        <v>3702</v>
      </c>
      <c r="C3037" t="s">
        <v>3703</v>
      </c>
      <c r="D3037" t="str">
        <f t="shared" si="101"/>
        <v/>
      </c>
      <c r="E3037" t="str">
        <f t="shared" si="100"/>
        <v>rockin' pneumonia and the boogie woogie flu</v>
      </c>
      <c r="F3037" t="s">
        <v>7844</v>
      </c>
      <c r="G3037" t="str">
        <f>_xlfn.IFNA(VLOOKUP(F3037,songs!$B$1:$C$1539, 2, FALSE),"")</f>
        <v/>
      </c>
      <c r="H3037" t="s">
        <v>7867</v>
      </c>
    </row>
    <row r="3038" spans="1:8" x14ac:dyDescent="0.25">
      <c r="A3038">
        <v>3034</v>
      </c>
      <c r="B3038" t="s">
        <v>3837</v>
      </c>
      <c r="C3038" t="s">
        <v>3838</v>
      </c>
      <c r="D3038" t="str">
        <f t="shared" si="101"/>
        <v/>
      </c>
      <c r="E3038" t="str">
        <f t="shared" si="100"/>
        <v>eyes of the world (take 1) [slated] (8/10/73)</v>
      </c>
      <c r="F3038" t="s">
        <v>5633</v>
      </c>
      <c r="G3038" t="str">
        <f>_xlfn.IFNA(VLOOKUP(F3038,songs!$B$1:$C$1539, 2, FALSE),"")</f>
        <v>Eyes Of The World</v>
      </c>
      <c r="H3038" t="s">
        <v>7867</v>
      </c>
    </row>
    <row r="3039" spans="1:8" x14ac:dyDescent="0.25">
      <c r="A3039">
        <v>3035</v>
      </c>
      <c r="B3039" t="s">
        <v>3839</v>
      </c>
      <c r="C3039" t="s">
        <v>3840</v>
      </c>
      <c r="D3039" t="str">
        <f t="shared" si="101"/>
        <v/>
      </c>
      <c r="E3039" t="str">
        <f t="shared" si="100"/>
        <v>eyes of the world (take 6) [not slated] (8/10/73)</v>
      </c>
      <c r="F3039" t="s">
        <v>5633</v>
      </c>
      <c r="G3039" t="str">
        <f>_xlfn.IFNA(VLOOKUP(F3039,songs!$B$1:$C$1539, 2, FALSE),"")</f>
        <v>Eyes Of The World</v>
      </c>
      <c r="H3039" t="s">
        <v>7867</v>
      </c>
    </row>
    <row r="3040" spans="1:8" x14ac:dyDescent="0.25">
      <c r="A3040">
        <v>2599</v>
      </c>
      <c r="B3040" t="s">
        <v>3147</v>
      </c>
      <c r="C3040" t="s">
        <v>3148</v>
      </c>
      <c r="D3040" t="str">
        <f t="shared" si="101"/>
        <v/>
      </c>
      <c r="E3040" t="str">
        <f t="shared" si="100"/>
        <v>rosemary (1971 mix)</v>
      </c>
      <c r="F3040" t="s">
        <v>7839</v>
      </c>
      <c r="G3040" t="str">
        <f>_xlfn.IFNA(VLOOKUP(F3040,songs!$B$1:$C$1539, 2, FALSE),"")</f>
        <v/>
      </c>
      <c r="H3040" t="s">
        <v>7867</v>
      </c>
    </row>
    <row r="3041" spans="1:8" x14ac:dyDescent="0.25">
      <c r="A3041">
        <v>3036</v>
      </c>
      <c r="B3041" t="s">
        <v>3841</v>
      </c>
      <c r="C3041" t="s">
        <v>3842</v>
      </c>
      <c r="D3041" t="str">
        <f t="shared" si="101"/>
        <v/>
      </c>
      <c r="E3041" t="str">
        <f t="shared" si="100"/>
        <v>eyes of the world (take 15) [not slated] (8/10/73)</v>
      </c>
      <c r="F3041" t="s">
        <v>5633</v>
      </c>
      <c r="G3041" t="str">
        <f>_xlfn.IFNA(VLOOKUP(F3041,songs!$B$1:$C$1539, 2, FALSE),"")</f>
        <v>Eyes Of The World</v>
      </c>
      <c r="H3041" t="s">
        <v>7867</v>
      </c>
    </row>
    <row r="3042" spans="1:8" x14ac:dyDescent="0.25">
      <c r="A3042">
        <v>3037</v>
      </c>
      <c r="B3042" t="s">
        <v>3843</v>
      </c>
      <c r="C3042" t="s">
        <v>3844</v>
      </c>
      <c r="D3042" t="str">
        <f t="shared" si="101"/>
        <v/>
      </c>
      <c r="E3042" t="str">
        <f t="shared" si="100"/>
        <v>eyes of the world (take 16) [not slated] (8/10/73)</v>
      </c>
      <c r="F3042" t="s">
        <v>5633</v>
      </c>
      <c r="G3042" t="str">
        <f>_xlfn.IFNA(VLOOKUP(F3042,songs!$B$1:$C$1539, 2, FALSE),"")</f>
        <v>Eyes Of The World</v>
      </c>
      <c r="H3042" t="s">
        <v>7867</v>
      </c>
    </row>
    <row r="3043" spans="1:8" x14ac:dyDescent="0.25">
      <c r="A3043">
        <v>3038</v>
      </c>
      <c r="B3043" t="s">
        <v>3845</v>
      </c>
      <c r="C3043" t="s">
        <v>3846</v>
      </c>
      <c r="D3043" t="str">
        <f t="shared" si="101"/>
        <v/>
      </c>
      <c r="E3043" t="str">
        <f t="shared" si="100"/>
        <v>let me sing your blues away (take 1) [not slated] (8/15/73)</v>
      </c>
      <c r="F3043" t="s">
        <v>6314</v>
      </c>
      <c r="G3043" t="str">
        <f>_xlfn.IFNA(VLOOKUP(F3043,songs!$B$1:$C$1539, 2, FALSE),"")</f>
        <v>Let Me Sing Your Blues Away</v>
      </c>
      <c r="H3043" t="s">
        <v>7867</v>
      </c>
    </row>
    <row r="3044" spans="1:8" x14ac:dyDescent="0.25">
      <c r="A3044">
        <v>3039</v>
      </c>
      <c r="B3044" t="s">
        <v>3847</v>
      </c>
      <c r="C3044" t="s">
        <v>3848</v>
      </c>
      <c r="D3044" t="str">
        <f t="shared" si="101"/>
        <v/>
      </c>
      <c r="E3044" t="str">
        <f t="shared" si="100"/>
        <v>let me sing your blues away (take 2) [slated] (8/15/73)</v>
      </c>
      <c r="F3044" t="s">
        <v>6314</v>
      </c>
      <c r="G3044" t="str">
        <f>_xlfn.IFNA(VLOOKUP(F3044,songs!$B$1:$C$1539, 2, FALSE),"")</f>
        <v>Let Me Sing Your Blues Away</v>
      </c>
      <c r="H3044" t="s">
        <v>7867</v>
      </c>
    </row>
    <row r="3045" spans="1:8" x14ac:dyDescent="0.25">
      <c r="A3045">
        <v>3040</v>
      </c>
      <c r="B3045" t="s">
        <v>3849</v>
      </c>
      <c r="C3045" t="s">
        <v>3850</v>
      </c>
      <c r="D3045" t="str">
        <f t="shared" si="101"/>
        <v/>
      </c>
      <c r="E3045" t="str">
        <f t="shared" si="100"/>
        <v>let me sing your blues away (take 3) [slated] (8/15/73)</v>
      </c>
      <c r="F3045" t="s">
        <v>6314</v>
      </c>
      <c r="G3045" t="str">
        <f>_xlfn.IFNA(VLOOKUP(F3045,songs!$B$1:$C$1539, 2, FALSE),"")</f>
        <v>Let Me Sing Your Blues Away</v>
      </c>
      <c r="H3045" t="s">
        <v>7867</v>
      </c>
    </row>
    <row r="3046" spans="1:8" x14ac:dyDescent="0.25">
      <c r="A3046">
        <v>3041</v>
      </c>
      <c r="B3046" t="s">
        <v>3851</v>
      </c>
      <c r="C3046" t="s">
        <v>3852</v>
      </c>
      <c r="D3046" t="str">
        <f t="shared" si="101"/>
        <v/>
      </c>
      <c r="E3046" t="str">
        <f t="shared" si="100"/>
        <v>let me sing your blues away (take 4) [slated] (8/15/73)</v>
      </c>
      <c r="F3046" t="s">
        <v>6314</v>
      </c>
      <c r="G3046" t="str">
        <f>_xlfn.IFNA(VLOOKUP(F3046,songs!$B$1:$C$1539, 2, FALSE),"")</f>
        <v>Let Me Sing Your Blues Away</v>
      </c>
      <c r="H3046" t="s">
        <v>7867</v>
      </c>
    </row>
    <row r="3047" spans="1:8" x14ac:dyDescent="0.25">
      <c r="A3047">
        <v>3042</v>
      </c>
      <c r="B3047" t="s">
        <v>3853</v>
      </c>
      <c r="C3047" t="s">
        <v>3854</v>
      </c>
      <c r="D3047" t="str">
        <f t="shared" si="101"/>
        <v/>
      </c>
      <c r="E3047" t="str">
        <f t="shared" si="100"/>
        <v>let me sing your blues away (take 13) [not slated] (8/15/73)</v>
      </c>
      <c r="F3047" t="s">
        <v>6314</v>
      </c>
      <c r="G3047" t="str">
        <f>_xlfn.IFNA(VLOOKUP(F3047,songs!$B$1:$C$1539, 2, FALSE),"")</f>
        <v>Let Me Sing Your Blues Away</v>
      </c>
      <c r="H3047" t="s">
        <v>7867</v>
      </c>
    </row>
    <row r="3048" spans="1:8" x14ac:dyDescent="0.25">
      <c r="A3048">
        <v>3043</v>
      </c>
      <c r="B3048" t="s">
        <v>3855</v>
      </c>
      <c r="C3048" t="s">
        <v>3856</v>
      </c>
      <c r="D3048" t="str">
        <f t="shared" si="101"/>
        <v/>
      </c>
      <c r="E3048" t="str">
        <f t="shared" si="100"/>
        <v>phil's song (unbroken chain) [take 1] [not slated] (8/16/73)</v>
      </c>
      <c r="F3048" t="s">
        <v>7465</v>
      </c>
      <c r="G3048" t="str">
        <f>_xlfn.IFNA(VLOOKUP(F3048,songs!$B$1:$C$1539, 2, FALSE),"")</f>
        <v>Unbroken Chain</v>
      </c>
      <c r="H3048" t="s">
        <v>7867</v>
      </c>
    </row>
    <row r="3049" spans="1:8" x14ac:dyDescent="0.25">
      <c r="A3049">
        <v>3044</v>
      </c>
      <c r="B3049" t="s">
        <v>3857</v>
      </c>
      <c r="C3049" t="s">
        <v>3858</v>
      </c>
      <c r="D3049" t="str">
        <f t="shared" si="101"/>
        <v/>
      </c>
      <c r="E3049" t="str">
        <f t="shared" si="100"/>
        <v>phil's song (unbroken chain) [take 2] [not slated] (8/16/73)</v>
      </c>
      <c r="F3049" t="s">
        <v>7465</v>
      </c>
      <c r="G3049" t="str">
        <f>_xlfn.IFNA(VLOOKUP(F3049,songs!$B$1:$C$1539, 2, FALSE),"")</f>
        <v>Unbroken Chain</v>
      </c>
      <c r="H3049" t="s">
        <v>7867</v>
      </c>
    </row>
    <row r="3050" spans="1:8" x14ac:dyDescent="0.25">
      <c r="A3050">
        <v>3045</v>
      </c>
      <c r="B3050" t="s">
        <v>3859</v>
      </c>
      <c r="C3050" t="s">
        <v>3860</v>
      </c>
      <c r="D3050" t="str">
        <f t="shared" si="101"/>
        <v/>
      </c>
      <c r="E3050" t="str">
        <f t="shared" si="100"/>
        <v>phil's song (unbroken chain) [take 3] [slated] (8/16/73)</v>
      </c>
      <c r="F3050" t="s">
        <v>7465</v>
      </c>
      <c r="G3050" t="str">
        <f>_xlfn.IFNA(VLOOKUP(F3050,songs!$B$1:$C$1539, 2, FALSE),"")</f>
        <v>Unbroken Chain</v>
      </c>
      <c r="H3050" t="s">
        <v>7867</v>
      </c>
    </row>
    <row r="3051" spans="1:8" x14ac:dyDescent="0.25">
      <c r="A3051">
        <v>3046</v>
      </c>
      <c r="B3051" t="s">
        <v>3861</v>
      </c>
      <c r="C3051" t="s">
        <v>3862</v>
      </c>
      <c r="D3051" t="str">
        <f t="shared" si="101"/>
        <v/>
      </c>
      <c r="E3051" t="str">
        <f t="shared" si="100"/>
        <v>phil's song (unbroken chain) [take 4] [not slated] (8/16/73)</v>
      </c>
      <c r="F3051" t="s">
        <v>7465</v>
      </c>
      <c r="G3051" t="str">
        <f>_xlfn.IFNA(VLOOKUP(F3051,songs!$B$1:$C$1539, 2, FALSE),"")</f>
        <v>Unbroken Chain</v>
      </c>
      <c r="H3051" t="s">
        <v>7867</v>
      </c>
    </row>
    <row r="3052" spans="1:8" x14ac:dyDescent="0.25">
      <c r="A3052">
        <v>3047</v>
      </c>
      <c r="B3052" t="s">
        <v>3863</v>
      </c>
      <c r="C3052" t="s">
        <v>3864</v>
      </c>
      <c r="D3052" t="str">
        <f t="shared" si="101"/>
        <v/>
      </c>
      <c r="E3052" t="str">
        <f t="shared" si="100"/>
        <v>phil's song (unbroken chain) [take 5] [not slated] (8/16/73)</v>
      </c>
      <c r="F3052" t="s">
        <v>7465</v>
      </c>
      <c r="G3052" t="str">
        <f>_xlfn.IFNA(VLOOKUP(F3052,songs!$B$1:$C$1539, 2, FALSE),"")</f>
        <v>Unbroken Chain</v>
      </c>
      <c r="H3052" t="s">
        <v>7867</v>
      </c>
    </row>
    <row r="3053" spans="1:8" x14ac:dyDescent="0.25">
      <c r="A3053">
        <v>3048</v>
      </c>
      <c r="B3053" t="s">
        <v>3865</v>
      </c>
      <c r="C3053" t="s">
        <v>3866</v>
      </c>
      <c r="D3053" t="str">
        <f t="shared" si="101"/>
        <v/>
      </c>
      <c r="E3053" t="str">
        <f t="shared" si="100"/>
        <v>phil's song (unbroken chain) [take 6] [not slated] (8/16/73)</v>
      </c>
      <c r="F3053" t="s">
        <v>7465</v>
      </c>
      <c r="G3053" t="str">
        <f>_xlfn.IFNA(VLOOKUP(F3053,songs!$B$1:$C$1539, 2, FALSE),"")</f>
        <v>Unbroken Chain</v>
      </c>
      <c r="H3053" t="s">
        <v>7867</v>
      </c>
    </row>
    <row r="3054" spans="1:8" x14ac:dyDescent="0.25">
      <c r="A3054">
        <v>3049</v>
      </c>
      <c r="B3054" t="s">
        <v>3867</v>
      </c>
      <c r="C3054" t="s">
        <v>3868</v>
      </c>
      <c r="D3054" t="str">
        <f t="shared" si="101"/>
        <v/>
      </c>
      <c r="E3054" t="str">
        <f t="shared" si="100"/>
        <v>phil's song (unbroken chain) [take 7] [slated] (8/16/73)</v>
      </c>
      <c r="F3054" t="s">
        <v>7465</v>
      </c>
      <c r="G3054" t="str">
        <f>_xlfn.IFNA(VLOOKUP(F3054,songs!$B$1:$C$1539, 2, FALSE),"")</f>
        <v>Unbroken Chain</v>
      </c>
      <c r="H3054" t="s">
        <v>7867</v>
      </c>
    </row>
    <row r="3055" spans="1:8" x14ac:dyDescent="0.25">
      <c r="A3055">
        <v>3050</v>
      </c>
      <c r="B3055" t="s">
        <v>3869</v>
      </c>
      <c r="C3055" t="s">
        <v>3870</v>
      </c>
      <c r="D3055" t="str">
        <f t="shared" si="101"/>
        <v/>
      </c>
      <c r="E3055" t="str">
        <f t="shared" si="100"/>
        <v>phil's song (unbroken chain) [take 8] [slated] (8/16/73)</v>
      </c>
      <c r="F3055" t="s">
        <v>7465</v>
      </c>
      <c r="G3055" t="str">
        <f>_xlfn.IFNA(VLOOKUP(F3055,songs!$B$1:$C$1539, 2, FALSE),"")</f>
        <v>Unbroken Chain</v>
      </c>
      <c r="H3055" t="s">
        <v>7867</v>
      </c>
    </row>
    <row r="3056" spans="1:8" x14ac:dyDescent="0.25">
      <c r="A3056">
        <v>3051</v>
      </c>
      <c r="B3056" t="s">
        <v>3871</v>
      </c>
      <c r="C3056" t="s">
        <v>3872</v>
      </c>
      <c r="D3056" t="str">
        <f t="shared" si="101"/>
        <v/>
      </c>
      <c r="E3056" t="str">
        <f t="shared" si="100"/>
        <v>weather report suite (take 10) [not slated] (8/16/73)</v>
      </c>
      <c r="F3056" t="s">
        <v>7850</v>
      </c>
      <c r="G3056" t="s">
        <v>7879</v>
      </c>
      <c r="H3056" t="s">
        <v>7867</v>
      </c>
    </row>
    <row r="3057" spans="1:8" x14ac:dyDescent="0.25">
      <c r="A3057">
        <v>3056</v>
      </c>
      <c r="B3057" t="s">
        <v>3880</v>
      </c>
      <c r="C3057" t="s">
        <v>212</v>
      </c>
      <c r="D3057" t="str">
        <f t="shared" si="101"/>
        <v/>
      </c>
      <c r="E3057" t="str">
        <f t="shared" si="100"/>
        <v>morning dew</v>
      </c>
      <c r="F3057" t="s">
        <v>6555</v>
      </c>
      <c r="G3057" t="str">
        <f>_xlfn.IFNA(VLOOKUP(F3057,songs!$B$1:$C$1539, 2, FALSE),"")</f>
        <v>Morning Dew</v>
      </c>
      <c r="H3057" t="s">
        <v>212</v>
      </c>
    </row>
    <row r="3058" spans="1:8" x14ac:dyDescent="0.25">
      <c r="A3058">
        <v>3052</v>
      </c>
      <c r="B3058" t="s">
        <v>3873</v>
      </c>
      <c r="C3058" t="s">
        <v>3874</v>
      </c>
      <c r="D3058" t="str">
        <f t="shared" si="101"/>
        <v/>
      </c>
      <c r="E3058" t="str">
        <f t="shared" si="100"/>
        <v>weather report suite (take 11) [not slated] (8/16/73)</v>
      </c>
      <c r="F3058" t="s">
        <v>7851</v>
      </c>
      <c r="G3058" t="s">
        <v>7879</v>
      </c>
      <c r="H3058" t="s">
        <v>7867</v>
      </c>
    </row>
    <row r="3059" spans="1:8" x14ac:dyDescent="0.25">
      <c r="A3059">
        <v>3058</v>
      </c>
      <c r="B3059" t="s">
        <v>3883</v>
      </c>
      <c r="C3059" t="s">
        <v>133</v>
      </c>
      <c r="D3059" t="str">
        <f t="shared" si="101"/>
        <v/>
      </c>
      <c r="E3059" t="str">
        <f t="shared" si="100"/>
        <v>uncle john's band</v>
      </c>
      <c r="F3059" t="s">
        <v>7466</v>
      </c>
      <c r="G3059" t="str">
        <f>_xlfn.IFNA(VLOOKUP(F3059,songs!$B$1:$C$1539, 2, FALSE),"")</f>
        <v>Uncle John's Band</v>
      </c>
      <c r="H3059" t="s">
        <v>133</v>
      </c>
    </row>
    <row r="3060" spans="1:8" x14ac:dyDescent="0.25">
      <c r="A3060">
        <v>3053</v>
      </c>
      <c r="B3060" t="s">
        <v>3875</v>
      </c>
      <c r="C3060" t="s">
        <v>3876</v>
      </c>
      <c r="D3060" t="str">
        <f t="shared" si="101"/>
        <v/>
      </c>
      <c r="E3060" t="str">
        <f t="shared" si="100"/>
        <v>weather report suite (take 16) [not slated] (8/16/73)</v>
      </c>
      <c r="F3060" t="s">
        <v>7852</v>
      </c>
      <c r="G3060" t="s">
        <v>7879</v>
      </c>
      <c r="H3060" t="s">
        <v>7867</v>
      </c>
    </row>
    <row r="3061" spans="1:8" x14ac:dyDescent="0.25">
      <c r="A3061">
        <v>3060</v>
      </c>
      <c r="B3061" t="s">
        <v>3886</v>
      </c>
      <c r="C3061" t="s">
        <v>458</v>
      </c>
      <c r="D3061" t="str">
        <f t="shared" si="101"/>
        <v/>
      </c>
      <c r="E3061" t="str">
        <f t="shared" si="100"/>
        <v>mississippi half-step uptown toodeloo</v>
      </c>
      <c r="F3061" t="s">
        <v>6531</v>
      </c>
      <c r="G3061" t="str">
        <f>_xlfn.IFNA(VLOOKUP(F3061,songs!$B$1:$C$1539, 2, FALSE),"")</f>
        <v>Mississippi Half-Step Uptown Toodeloo</v>
      </c>
      <c r="H3061" t="s">
        <v>458</v>
      </c>
    </row>
    <row r="3062" spans="1:8" x14ac:dyDescent="0.25">
      <c r="A3062">
        <v>3054</v>
      </c>
      <c r="B3062" t="s">
        <v>3877</v>
      </c>
      <c r="C3062" t="s">
        <v>3878</v>
      </c>
      <c r="D3062" t="str">
        <f t="shared" si="101"/>
        <v/>
      </c>
      <c r="E3062" t="str">
        <f t="shared" si="100"/>
        <v>weather report suite (take 8) [slated] (8/17/73)</v>
      </c>
      <c r="F3062" t="s">
        <v>7853</v>
      </c>
      <c r="G3062" t="s">
        <v>7879</v>
      </c>
      <c r="H3062" t="s">
        <v>7867</v>
      </c>
    </row>
    <row r="3063" spans="1:8" x14ac:dyDescent="0.25">
      <c r="A3063">
        <v>3055</v>
      </c>
      <c r="B3063" t="s">
        <v>3879</v>
      </c>
      <c r="C3063" t="s">
        <v>7</v>
      </c>
      <c r="D3063" t="str">
        <f t="shared" si="101"/>
        <v/>
      </c>
      <c r="E3063" t="str">
        <f t="shared" si="100"/>
        <v>weather report suite</v>
      </c>
      <c r="F3063" t="s">
        <v>7816</v>
      </c>
      <c r="G3063" t="s">
        <v>7879</v>
      </c>
      <c r="H3063" t="s">
        <v>7867</v>
      </c>
    </row>
    <row r="3064" spans="1:8" x14ac:dyDescent="0.25">
      <c r="A3064">
        <v>3057</v>
      </c>
      <c r="B3064" t="s">
        <v>3881</v>
      </c>
      <c r="C3064" t="s">
        <v>3882</v>
      </c>
      <c r="D3064" t="str">
        <f t="shared" si="101"/>
        <v/>
      </c>
      <c r="E3064" t="str">
        <f t="shared" si="100"/>
        <v>playing in the band, pt. 1</v>
      </c>
      <c r="F3064" t="s">
        <v>6769</v>
      </c>
      <c r="G3064" t="str">
        <f>_xlfn.IFNA(VLOOKUP(F3064,songs!$B$1:$C$1539, 2, FALSE),"")</f>
        <v>Playing In The Band</v>
      </c>
      <c r="H3064" t="s">
        <v>7867</v>
      </c>
    </row>
    <row r="3065" spans="1:8" x14ac:dyDescent="0.25">
      <c r="A3065">
        <v>3059</v>
      </c>
      <c r="B3065" t="s">
        <v>3884</v>
      </c>
      <c r="C3065" t="s">
        <v>3885</v>
      </c>
      <c r="D3065" t="str">
        <f t="shared" si="101"/>
        <v/>
      </c>
      <c r="E3065" t="str">
        <f t="shared" si="100"/>
        <v>playing in the band, pt. 2</v>
      </c>
      <c r="F3065" t="s">
        <v>6769</v>
      </c>
      <c r="G3065" t="str">
        <f>_xlfn.IFNA(VLOOKUP(F3065,songs!$B$1:$C$1539, 2, FALSE),"")</f>
        <v>Playing In The Band</v>
      </c>
      <c r="H3065" t="s">
        <v>7867</v>
      </c>
    </row>
    <row r="3066" spans="1:8" x14ac:dyDescent="0.25">
      <c r="A3066">
        <v>3061</v>
      </c>
      <c r="B3066" t="s">
        <v>3887</v>
      </c>
      <c r="C3066" t="s">
        <v>3888</v>
      </c>
      <c r="D3066" t="str">
        <f t="shared" si="101"/>
        <v/>
      </c>
      <c r="E3066" t="str">
        <f t="shared" si="100"/>
        <v>scarlet begonias (takes 1 and 2)</v>
      </c>
      <c r="F3066" t="s">
        <v>6944</v>
      </c>
      <c r="G3066" t="str">
        <f>_xlfn.IFNA(VLOOKUP(F3066,songs!$B$1:$C$1539, 2, FALSE),"")</f>
        <v>Scarlet Begonias</v>
      </c>
      <c r="H3066" t="s">
        <v>7867</v>
      </c>
    </row>
    <row r="3067" spans="1:8" x14ac:dyDescent="0.25">
      <c r="A3067">
        <v>3062</v>
      </c>
      <c r="B3067" t="s">
        <v>3889</v>
      </c>
      <c r="C3067" t="s">
        <v>3890</v>
      </c>
      <c r="D3067" t="str">
        <f t="shared" si="101"/>
        <v/>
      </c>
      <c r="E3067" t="str">
        <f t="shared" si="100"/>
        <v>scarlet begonias (alternate mix)</v>
      </c>
      <c r="F3067" t="s">
        <v>6944</v>
      </c>
      <c r="G3067" t="str">
        <f>_xlfn.IFNA(VLOOKUP(F3067,songs!$B$1:$C$1539, 2, FALSE),"")</f>
        <v>Scarlet Begonias</v>
      </c>
      <c r="H3067" t="s">
        <v>7867</v>
      </c>
    </row>
    <row r="3068" spans="1:8" x14ac:dyDescent="0.25">
      <c r="A3068">
        <v>3063</v>
      </c>
      <c r="B3068" t="s">
        <v>3891</v>
      </c>
      <c r="C3068" t="s">
        <v>3892</v>
      </c>
      <c r="D3068" t="str">
        <f t="shared" si="101"/>
        <v/>
      </c>
      <c r="E3068" t="str">
        <f t="shared" si="100"/>
        <v>china doll (acoustic mix)</v>
      </c>
      <c r="F3068" t="s">
        <v>5320</v>
      </c>
      <c r="G3068" t="str">
        <f>_xlfn.IFNA(VLOOKUP(F3068,songs!$B$1:$C$1539, 2, FALSE),"")</f>
        <v>China Doll</v>
      </c>
      <c r="H3068" t="s">
        <v>7867</v>
      </c>
    </row>
    <row r="3069" spans="1:8" x14ac:dyDescent="0.25">
      <c r="A3069">
        <v>3064</v>
      </c>
      <c r="B3069" t="s">
        <v>3893</v>
      </c>
      <c r="C3069" t="s">
        <v>3894</v>
      </c>
      <c r="D3069" t="str">
        <f t="shared" si="101"/>
        <v/>
      </c>
      <c r="E3069" t="str">
        <f t="shared" si="100"/>
        <v>money money (alternate version)</v>
      </c>
      <c r="F3069" t="s">
        <v>6543</v>
      </c>
      <c r="G3069" t="str">
        <f>_xlfn.IFNA(VLOOKUP(F3069,songs!$B$1:$C$1539, 2, FALSE),"")</f>
        <v>Money Money</v>
      </c>
      <c r="H3069" t="s">
        <v>7867</v>
      </c>
    </row>
    <row r="3070" spans="1:8" x14ac:dyDescent="0.25">
      <c r="A3070">
        <v>3065</v>
      </c>
      <c r="B3070" t="s">
        <v>3895</v>
      </c>
      <c r="C3070" t="s">
        <v>3896</v>
      </c>
      <c r="D3070" t="str">
        <f t="shared" si="101"/>
        <v/>
      </c>
      <c r="E3070" t="str">
        <f t="shared" si="100"/>
        <v>loose lucy (alternate mix)</v>
      </c>
      <c r="F3070" t="s">
        <v>6399</v>
      </c>
      <c r="G3070" t="str">
        <f>_xlfn.IFNA(VLOOKUP(F3070,songs!$B$1:$C$1539, 2, FALSE),"")</f>
        <v>Loose Lucy</v>
      </c>
      <c r="H3070" t="s">
        <v>7867</v>
      </c>
    </row>
    <row r="3071" spans="1:8" x14ac:dyDescent="0.25">
      <c r="A3071">
        <v>3066</v>
      </c>
      <c r="B3071" t="s">
        <v>3897</v>
      </c>
      <c r="C3071" t="s">
        <v>3898</v>
      </c>
      <c r="D3071" t="str">
        <f t="shared" si="101"/>
        <v/>
      </c>
      <c r="E3071" t="str">
        <f t="shared" si="100"/>
        <v>ship of fools (take 7)</v>
      </c>
      <c r="F3071" t="s">
        <v>6999</v>
      </c>
      <c r="G3071" t="str">
        <f>_xlfn.IFNA(VLOOKUP(F3071,songs!$B$1:$C$1539, 2, FALSE),"")</f>
        <v>Ship Of Fools</v>
      </c>
      <c r="H3071" t="s">
        <v>7867</v>
      </c>
    </row>
    <row r="3072" spans="1:8" x14ac:dyDescent="0.25">
      <c r="A3072">
        <v>3067</v>
      </c>
      <c r="B3072" t="s">
        <v>3899</v>
      </c>
      <c r="C3072" t="s">
        <v>3900</v>
      </c>
      <c r="D3072" t="str">
        <f t="shared" si="101"/>
        <v/>
      </c>
      <c r="E3072" t="str">
        <f t="shared" si="100"/>
        <v>ship of fools (alternate mix)</v>
      </c>
      <c r="F3072" t="s">
        <v>6999</v>
      </c>
      <c r="G3072" t="str">
        <f>_xlfn.IFNA(VLOOKUP(F3072,songs!$B$1:$C$1539, 2, FALSE),"")</f>
        <v>Ship Of Fools</v>
      </c>
      <c r="H3072" t="s">
        <v>7867</v>
      </c>
    </row>
    <row r="3073" spans="1:8" x14ac:dyDescent="0.25">
      <c r="A3073">
        <v>3068</v>
      </c>
      <c r="B3073" t="s">
        <v>3901</v>
      </c>
      <c r="C3073" t="s">
        <v>3902</v>
      </c>
      <c r="D3073" t="str">
        <f t="shared" si="101"/>
        <v/>
      </c>
      <c r="E3073" t="str">
        <f t="shared" si="100"/>
        <v>u.s. blues (takes 1 and 2)</v>
      </c>
      <c r="F3073" t="s">
        <v>7464</v>
      </c>
      <c r="G3073" t="str">
        <f>_xlfn.IFNA(VLOOKUP(F3073,songs!$B$1:$C$1539, 2, FALSE),"")</f>
        <v>U.S. Blues</v>
      </c>
      <c r="H3073" t="s">
        <v>7867</v>
      </c>
    </row>
    <row r="3074" spans="1:8" x14ac:dyDescent="0.25">
      <c r="A3074">
        <v>3069</v>
      </c>
      <c r="B3074" t="s">
        <v>3903</v>
      </c>
      <c r="C3074" t="s">
        <v>3904</v>
      </c>
      <c r="D3074" t="str">
        <f t="shared" si="101"/>
        <v/>
      </c>
      <c r="E3074" t="str">
        <f t="shared" si="100"/>
        <v>u.s. blues (take 4)</v>
      </c>
      <c r="F3074" t="s">
        <v>7464</v>
      </c>
      <c r="G3074" t="str">
        <f>_xlfn.IFNA(VLOOKUP(F3074,songs!$B$1:$C$1539, 2, FALSE),"")</f>
        <v>U.S. Blues</v>
      </c>
      <c r="H3074" t="s">
        <v>7867</v>
      </c>
    </row>
    <row r="3075" spans="1:8" x14ac:dyDescent="0.25">
      <c r="A3075">
        <v>3070</v>
      </c>
      <c r="B3075" t="s">
        <v>3905</v>
      </c>
      <c r="C3075" t="s">
        <v>3906</v>
      </c>
      <c r="D3075" t="str">
        <f t="shared" si="101"/>
        <v/>
      </c>
      <c r="E3075" t="str">
        <f t="shared" si="100"/>
        <v>u.s. blues (take 8)</v>
      </c>
      <c r="F3075" t="s">
        <v>7464</v>
      </c>
      <c r="G3075" t="str">
        <f>_xlfn.IFNA(VLOOKUP(F3075,songs!$B$1:$C$1539, 2, FALSE),"")</f>
        <v>U.S. Blues</v>
      </c>
      <c r="H3075" t="s">
        <v>7867</v>
      </c>
    </row>
    <row r="3076" spans="1:8" x14ac:dyDescent="0.25">
      <c r="A3076">
        <v>3071</v>
      </c>
      <c r="B3076" t="s">
        <v>3907</v>
      </c>
      <c r="C3076" t="s">
        <v>3908</v>
      </c>
      <c r="D3076" t="str">
        <f t="shared" si="101"/>
        <v/>
      </c>
      <c r="E3076" t="str">
        <f t="shared" ref="E3076:E3139" si="102">LOWER(TRIM(SUBSTITUTE(IF(RIGHT(TRIM(C3076),2)="-&gt;",LEFT(TRIM(C3076),LEN(TRIM(C3076))-2),IF(RIGHT(TRIM(C3076),1)="&gt;",LEFT(TRIM(C3076),LEN(TRIM(C3076))-1),C3076)),"//","")))</f>
        <v>pride of cucamonga (take 1)</v>
      </c>
      <c r="F3076" t="s">
        <v>6794</v>
      </c>
      <c r="G3076" t="str">
        <f>_xlfn.IFNA(VLOOKUP(F3076,songs!$B$1:$C$1539, 2, FALSE),"")</f>
        <v>Pride Of Cucamonga</v>
      </c>
      <c r="H3076" t="s">
        <v>7867</v>
      </c>
    </row>
    <row r="3077" spans="1:8" x14ac:dyDescent="0.25">
      <c r="A3077">
        <v>3311</v>
      </c>
      <c r="B3077" t="s">
        <v>4190</v>
      </c>
      <c r="C3077" t="s">
        <v>4191</v>
      </c>
      <c r="D3077" t="str">
        <f t="shared" si="101"/>
        <v/>
      </c>
      <c r="E3077" t="str">
        <f t="shared" si="102"/>
        <v>serengetti</v>
      </c>
      <c r="F3077" t="s">
        <v>7860</v>
      </c>
      <c r="G3077" t="str">
        <f>_xlfn.IFNA(VLOOKUP(F3077,songs!$B$1:$C$1539, 2, FALSE),"")</f>
        <v/>
      </c>
      <c r="H3077" t="s">
        <v>7867</v>
      </c>
    </row>
    <row r="3078" spans="1:8" x14ac:dyDescent="0.25">
      <c r="A3078">
        <v>3498</v>
      </c>
      <c r="B3078" t="s">
        <v>4445</v>
      </c>
      <c r="C3078" t="s">
        <v>4191</v>
      </c>
      <c r="D3078" t="str">
        <f t="shared" si="101"/>
        <v/>
      </c>
      <c r="E3078" t="str">
        <f t="shared" si="102"/>
        <v>serengetti</v>
      </c>
      <c r="F3078" t="s">
        <v>7860</v>
      </c>
      <c r="G3078" t="str">
        <f>_xlfn.IFNA(VLOOKUP(F3078,songs!$B$1:$C$1539, 2, FALSE),"")</f>
        <v/>
      </c>
      <c r="H3078" t="s">
        <v>7867</v>
      </c>
    </row>
    <row r="3079" spans="1:8" x14ac:dyDescent="0.25">
      <c r="A3079">
        <v>3078</v>
      </c>
      <c r="B3079" t="s">
        <v>3920</v>
      </c>
      <c r="C3079" t="s">
        <v>304</v>
      </c>
      <c r="D3079" t="str">
        <f t="shared" si="101"/>
        <v/>
      </c>
      <c r="E3079" t="str">
        <f t="shared" si="102"/>
        <v>china doll</v>
      </c>
      <c r="F3079" t="s">
        <v>5320</v>
      </c>
      <c r="G3079" t="str">
        <f>_xlfn.IFNA(VLOOKUP(F3079,songs!$B$1:$C$1539, 2, FALSE),"")</f>
        <v>China Doll</v>
      </c>
      <c r="H3079" t="s">
        <v>304</v>
      </c>
    </row>
    <row r="3080" spans="1:8" x14ac:dyDescent="0.25">
      <c r="A3080">
        <v>3079</v>
      </c>
      <c r="B3080" t="s">
        <v>3921</v>
      </c>
      <c r="C3080" t="s">
        <v>3922</v>
      </c>
      <c r="D3080" t="str">
        <f t="shared" si="101"/>
        <v/>
      </c>
      <c r="E3080" t="str">
        <f t="shared" si="102"/>
        <v>unbroken chain</v>
      </c>
      <c r="F3080" t="s">
        <v>7465</v>
      </c>
      <c r="G3080" t="str">
        <f>_xlfn.IFNA(VLOOKUP(F3080,songs!$B$1:$C$1539, 2, FALSE),"")</f>
        <v>Unbroken Chain</v>
      </c>
      <c r="H3080" t="s">
        <v>3922</v>
      </c>
    </row>
    <row r="3081" spans="1:8" x14ac:dyDescent="0.25">
      <c r="A3081">
        <v>3080</v>
      </c>
      <c r="B3081" t="s">
        <v>3923</v>
      </c>
      <c r="C3081" t="s">
        <v>858</v>
      </c>
      <c r="D3081" t="str">
        <f t="shared" ref="D3081:D3144" si="103">IF(RIGHT(TRIM(C3081),2)="-&gt;","&gt;",IF(RIGHT(TRIM(C3081),1)="&gt;","&gt;",""))</f>
        <v/>
      </c>
      <c r="E3081" t="str">
        <f t="shared" si="102"/>
        <v>loose lucy</v>
      </c>
      <c r="F3081" t="s">
        <v>6399</v>
      </c>
      <c r="G3081" t="str">
        <f>_xlfn.IFNA(VLOOKUP(F3081,songs!$B$1:$C$1539, 2, FALSE),"")</f>
        <v>Loose Lucy</v>
      </c>
      <c r="H3081" t="s">
        <v>858</v>
      </c>
    </row>
    <row r="3082" spans="1:8" x14ac:dyDescent="0.25">
      <c r="A3082">
        <v>3081</v>
      </c>
      <c r="B3082" t="s">
        <v>3924</v>
      </c>
      <c r="C3082" t="s">
        <v>170</v>
      </c>
      <c r="D3082" t="str">
        <f t="shared" si="103"/>
        <v/>
      </c>
      <c r="E3082" t="str">
        <f t="shared" si="102"/>
        <v>scarlet begonias</v>
      </c>
      <c r="F3082" t="s">
        <v>6944</v>
      </c>
      <c r="G3082" t="str">
        <f>_xlfn.IFNA(VLOOKUP(F3082,songs!$B$1:$C$1539, 2, FALSE),"")</f>
        <v>Scarlet Begonias</v>
      </c>
      <c r="H3082" t="s">
        <v>170</v>
      </c>
    </row>
    <row r="3083" spans="1:8" x14ac:dyDescent="0.25">
      <c r="A3083">
        <v>3082</v>
      </c>
      <c r="B3083" t="s">
        <v>3925</v>
      </c>
      <c r="C3083" t="s">
        <v>3926</v>
      </c>
      <c r="D3083" t="str">
        <f t="shared" si="103"/>
        <v/>
      </c>
      <c r="E3083" t="str">
        <f t="shared" si="102"/>
        <v>pride of cucamonga</v>
      </c>
      <c r="F3083" t="s">
        <v>6794</v>
      </c>
      <c r="G3083" t="str">
        <f>_xlfn.IFNA(VLOOKUP(F3083,songs!$B$1:$C$1539, 2, FALSE),"")</f>
        <v>Pride Of Cucamonga</v>
      </c>
      <c r="H3083" t="s">
        <v>4144</v>
      </c>
    </row>
    <row r="3084" spans="1:8" x14ac:dyDescent="0.25">
      <c r="A3084">
        <v>3083</v>
      </c>
      <c r="B3084" t="s">
        <v>3927</v>
      </c>
      <c r="C3084" t="s">
        <v>3928</v>
      </c>
      <c r="D3084" t="str">
        <f t="shared" si="103"/>
        <v/>
      </c>
      <c r="E3084" t="str">
        <f t="shared" si="102"/>
        <v>money money</v>
      </c>
      <c r="F3084" t="s">
        <v>6543</v>
      </c>
      <c r="G3084" t="str">
        <f>_xlfn.IFNA(VLOOKUP(F3084,songs!$B$1:$C$1539, 2, FALSE),"")</f>
        <v>Money Money</v>
      </c>
      <c r="H3084" t="s">
        <v>3928</v>
      </c>
    </row>
    <row r="3085" spans="1:8" x14ac:dyDescent="0.25">
      <c r="A3085">
        <v>3084</v>
      </c>
      <c r="B3085" t="s">
        <v>3929</v>
      </c>
      <c r="C3085" t="s">
        <v>377</v>
      </c>
      <c r="D3085" t="str">
        <f t="shared" si="103"/>
        <v/>
      </c>
      <c r="E3085" t="str">
        <f t="shared" si="102"/>
        <v>ship of fools</v>
      </c>
      <c r="F3085" t="s">
        <v>6999</v>
      </c>
      <c r="G3085" t="str">
        <f>_xlfn.IFNA(VLOOKUP(F3085,songs!$B$1:$C$1539, 2, FALSE),"")</f>
        <v>Ship Of Fools</v>
      </c>
      <c r="H3085" t="s">
        <v>866</v>
      </c>
    </row>
    <row r="3086" spans="1:8" x14ac:dyDescent="0.25">
      <c r="A3086">
        <v>3072</v>
      </c>
      <c r="B3086" t="s">
        <v>3909</v>
      </c>
      <c r="C3086" t="s">
        <v>3910</v>
      </c>
      <c r="D3086" t="str">
        <f t="shared" si="103"/>
        <v/>
      </c>
      <c r="E3086" t="str">
        <f t="shared" si="102"/>
        <v>pride of cucamonga (alternate mix)</v>
      </c>
      <c r="F3086" t="s">
        <v>6794</v>
      </c>
      <c r="G3086" t="str">
        <f>_xlfn.IFNA(VLOOKUP(F3086,songs!$B$1:$C$1539, 2, FALSE),"")</f>
        <v>Pride Of Cucamonga</v>
      </c>
      <c r="H3086" t="s">
        <v>7867</v>
      </c>
    </row>
    <row r="3087" spans="1:8" x14ac:dyDescent="0.25">
      <c r="A3087">
        <v>3073</v>
      </c>
      <c r="B3087" t="s">
        <v>3911</v>
      </c>
      <c r="C3087" t="s">
        <v>3912</v>
      </c>
      <c r="D3087" t="str">
        <f t="shared" si="103"/>
        <v/>
      </c>
      <c r="E3087" t="str">
        <f t="shared" si="102"/>
        <v>unbroken chain (take 1)</v>
      </c>
      <c r="F3087" t="s">
        <v>7465</v>
      </c>
      <c r="G3087" t="str">
        <f>_xlfn.IFNA(VLOOKUP(F3087,songs!$B$1:$C$1539, 2, FALSE),"")</f>
        <v>Unbroken Chain</v>
      </c>
      <c r="H3087" t="s">
        <v>7867</v>
      </c>
    </row>
    <row r="3088" spans="1:8" x14ac:dyDescent="0.25">
      <c r="A3088">
        <v>3087</v>
      </c>
      <c r="B3088" t="s">
        <v>3934</v>
      </c>
      <c r="C3088" t="s">
        <v>51</v>
      </c>
      <c r="D3088" t="str">
        <f t="shared" si="103"/>
        <v/>
      </c>
      <c r="E3088" t="str">
        <f t="shared" si="102"/>
        <v>sugaree</v>
      </c>
      <c r="F3088" t="s">
        <v>7151</v>
      </c>
      <c r="G3088" t="str">
        <f>_xlfn.IFNA(VLOOKUP(F3088,songs!$B$1:$C$1539, 2, FALSE),"")</f>
        <v>Sugaree</v>
      </c>
      <c r="H3088" t="s">
        <v>51</v>
      </c>
    </row>
    <row r="3089" spans="1:8" x14ac:dyDescent="0.25">
      <c r="A3089">
        <v>3088</v>
      </c>
      <c r="B3089" t="s">
        <v>3935</v>
      </c>
      <c r="C3089" t="s">
        <v>186</v>
      </c>
      <c r="D3089" t="str">
        <f t="shared" si="103"/>
        <v/>
      </c>
      <c r="E3089" t="str">
        <f t="shared" si="102"/>
        <v>mexicali blues</v>
      </c>
      <c r="F3089" t="s">
        <v>6499</v>
      </c>
      <c r="G3089" t="str">
        <f>_xlfn.IFNA(VLOOKUP(F3089,songs!$B$1:$C$1539, 2, FALSE),"")</f>
        <v>Mexicali Blues</v>
      </c>
      <c r="H3089" t="s">
        <v>186</v>
      </c>
    </row>
    <row r="3090" spans="1:8" x14ac:dyDescent="0.25">
      <c r="A3090">
        <v>3089</v>
      </c>
      <c r="B3090" t="s">
        <v>3936</v>
      </c>
      <c r="C3090" t="s">
        <v>164</v>
      </c>
      <c r="D3090" t="str">
        <f t="shared" si="103"/>
        <v/>
      </c>
      <c r="E3090" t="str">
        <f t="shared" si="102"/>
        <v>tennessee jed</v>
      </c>
      <c r="F3090" t="s">
        <v>7234</v>
      </c>
      <c r="G3090" t="str">
        <f>_xlfn.IFNA(VLOOKUP(F3090,songs!$B$1:$C$1539, 2, FALSE),"")</f>
        <v>Tennessee Jed</v>
      </c>
      <c r="H3090" t="s">
        <v>164</v>
      </c>
    </row>
    <row r="3091" spans="1:8" x14ac:dyDescent="0.25">
      <c r="A3091">
        <v>3090</v>
      </c>
      <c r="B3091" t="s">
        <v>3937</v>
      </c>
      <c r="C3091" t="s">
        <v>199</v>
      </c>
      <c r="D3091" t="str">
        <f t="shared" si="103"/>
        <v/>
      </c>
      <c r="E3091" t="str">
        <f t="shared" si="102"/>
        <v>jack straw</v>
      </c>
      <c r="F3091" t="s">
        <v>6161</v>
      </c>
      <c r="G3091" t="str">
        <f>_xlfn.IFNA(VLOOKUP(F3091,songs!$B$1:$C$1539, 2, FALSE),"")</f>
        <v>Jack Straw</v>
      </c>
      <c r="H3091" t="s">
        <v>199</v>
      </c>
    </row>
    <row r="3092" spans="1:8" x14ac:dyDescent="0.25">
      <c r="A3092">
        <v>3074</v>
      </c>
      <c r="B3092" t="s">
        <v>3913</v>
      </c>
      <c r="C3092" t="s">
        <v>3914</v>
      </c>
      <c r="D3092" t="str">
        <f t="shared" si="103"/>
        <v/>
      </c>
      <c r="E3092" t="str">
        <f t="shared" si="102"/>
        <v>unbroken chain (take 5)</v>
      </c>
      <c r="F3092" t="s">
        <v>7465</v>
      </c>
      <c r="G3092" t="str">
        <f>_xlfn.IFNA(VLOOKUP(F3092,songs!$B$1:$C$1539, 2, FALSE),"")</f>
        <v>Unbroken Chain</v>
      </c>
      <c r="H3092" t="s">
        <v>7867</v>
      </c>
    </row>
    <row r="3093" spans="1:8" x14ac:dyDescent="0.25">
      <c r="A3093">
        <v>3092</v>
      </c>
      <c r="B3093" t="s">
        <v>3939</v>
      </c>
      <c r="C3093" t="s">
        <v>1594</v>
      </c>
      <c r="D3093" t="str">
        <f t="shared" si="103"/>
        <v/>
      </c>
      <c r="E3093" t="str">
        <f t="shared" si="102"/>
        <v>beat it on down the line</v>
      </c>
      <c r="F3093" t="s">
        <v>5149</v>
      </c>
      <c r="G3093" t="str">
        <f>_xlfn.IFNA(VLOOKUP(F3093,songs!$B$1:$C$1539, 2, FALSE),"")</f>
        <v>Beat It On Down The Line</v>
      </c>
      <c r="H3093" t="s">
        <v>431</v>
      </c>
    </row>
    <row r="3094" spans="1:8" x14ac:dyDescent="0.25">
      <c r="A3094">
        <v>3093</v>
      </c>
      <c r="B3094" t="s">
        <v>3940</v>
      </c>
      <c r="C3094" t="s">
        <v>84</v>
      </c>
      <c r="D3094" t="str">
        <f t="shared" si="103"/>
        <v/>
      </c>
      <c r="E3094" t="str">
        <f t="shared" si="102"/>
        <v>china cat sunflower</v>
      </c>
      <c r="F3094" t="s">
        <v>5319</v>
      </c>
      <c r="G3094" t="str">
        <f>_xlfn.IFNA(VLOOKUP(F3094,songs!$B$1:$C$1539, 2, FALSE),"")</f>
        <v>China Cat Sunflower</v>
      </c>
      <c r="H3094" t="s">
        <v>84</v>
      </c>
    </row>
    <row r="3095" spans="1:8" x14ac:dyDescent="0.25">
      <c r="A3095">
        <v>3094</v>
      </c>
      <c r="B3095" t="s">
        <v>3941</v>
      </c>
      <c r="C3095" t="s">
        <v>86</v>
      </c>
      <c r="D3095" t="str">
        <f t="shared" si="103"/>
        <v/>
      </c>
      <c r="E3095" t="str">
        <f t="shared" si="102"/>
        <v>i know you rider</v>
      </c>
      <c r="F3095" t="s">
        <v>6020</v>
      </c>
      <c r="G3095" t="str">
        <f>_xlfn.IFNA(VLOOKUP(F3095,songs!$B$1:$C$1539, 2, FALSE),"")</f>
        <v>I Know You Rider</v>
      </c>
      <c r="H3095" t="s">
        <v>86</v>
      </c>
    </row>
    <row r="3096" spans="1:8" x14ac:dyDescent="0.25">
      <c r="A3096">
        <v>3095</v>
      </c>
      <c r="B3096" t="s">
        <v>3942</v>
      </c>
      <c r="C3096" t="s">
        <v>327</v>
      </c>
      <c r="D3096" t="str">
        <f t="shared" si="103"/>
        <v/>
      </c>
      <c r="E3096" t="str">
        <f t="shared" si="102"/>
        <v>el paso</v>
      </c>
      <c r="F3096" t="s">
        <v>5600</v>
      </c>
      <c r="G3096" t="str">
        <f>_xlfn.IFNA(VLOOKUP(F3096,songs!$B$1:$C$1539, 2, FALSE),"")</f>
        <v>El Paso</v>
      </c>
      <c r="H3096" t="s">
        <v>327</v>
      </c>
    </row>
    <row r="3097" spans="1:8" x14ac:dyDescent="0.25">
      <c r="A3097">
        <v>3075</v>
      </c>
      <c r="B3097" t="s">
        <v>3915</v>
      </c>
      <c r="C3097" t="s">
        <v>3916</v>
      </c>
      <c r="D3097" t="str">
        <f t="shared" si="103"/>
        <v/>
      </c>
      <c r="E3097" t="str">
        <f t="shared" si="102"/>
        <v>unbroken chain (take 6)</v>
      </c>
      <c r="F3097" t="s">
        <v>7465</v>
      </c>
      <c r="G3097" t="str">
        <f>_xlfn.IFNA(VLOOKUP(F3097,songs!$B$1:$C$1539, 2, FALSE),"")</f>
        <v>Unbroken Chain</v>
      </c>
      <c r="H3097" t="s">
        <v>7867</v>
      </c>
    </row>
    <row r="3098" spans="1:8" x14ac:dyDescent="0.25">
      <c r="A3098">
        <v>3097</v>
      </c>
      <c r="B3098" t="s">
        <v>3944</v>
      </c>
      <c r="C3098" t="s">
        <v>154</v>
      </c>
      <c r="D3098" t="str">
        <f t="shared" si="103"/>
        <v/>
      </c>
      <c r="E3098" t="str">
        <f t="shared" si="102"/>
        <v>greatest story ever told</v>
      </c>
      <c r="F3098" t="s">
        <v>5826</v>
      </c>
      <c r="G3098" t="str">
        <f>_xlfn.IFNA(VLOOKUP(F3098,songs!$B$1:$C$1539, 2, FALSE),"")</f>
        <v>Greatest Story Ever Told</v>
      </c>
      <c r="H3098" t="s">
        <v>154</v>
      </c>
    </row>
    <row r="3099" spans="1:8" x14ac:dyDescent="0.25">
      <c r="A3099">
        <v>3098</v>
      </c>
      <c r="B3099" t="s">
        <v>3945</v>
      </c>
      <c r="C3099" t="s">
        <v>1463</v>
      </c>
      <c r="D3099" t="str">
        <f t="shared" si="103"/>
        <v/>
      </c>
      <c r="E3099" t="str">
        <f t="shared" si="102"/>
        <v>it must have been the roses</v>
      </c>
      <c r="F3099" t="s">
        <v>6128</v>
      </c>
      <c r="G3099" t="str">
        <f>_xlfn.IFNA(VLOOKUP(F3099,songs!$B$1:$C$1539, 2, FALSE),"")</f>
        <v>It Must Have Been The Roses</v>
      </c>
      <c r="H3099" t="s">
        <v>1057</v>
      </c>
    </row>
    <row r="3100" spans="1:8" x14ac:dyDescent="0.25">
      <c r="A3100">
        <v>3099</v>
      </c>
      <c r="B3100" t="s">
        <v>3946</v>
      </c>
      <c r="C3100" t="s">
        <v>1340</v>
      </c>
      <c r="D3100" t="str">
        <f t="shared" si="103"/>
        <v/>
      </c>
      <c r="E3100" t="str">
        <f t="shared" si="102"/>
        <v>me and bobby mcgee</v>
      </c>
      <c r="F3100" t="s">
        <v>6483</v>
      </c>
      <c r="G3100" t="str">
        <f>_xlfn.IFNA(VLOOKUP(F3100,songs!$B$1:$C$1539, 2, FALSE),"")</f>
        <v>Me And Bobby McGee</v>
      </c>
      <c r="H3100" t="s">
        <v>1228</v>
      </c>
    </row>
    <row r="3101" spans="1:8" x14ac:dyDescent="0.25">
      <c r="A3101">
        <v>3100</v>
      </c>
      <c r="B3101" t="s">
        <v>3947</v>
      </c>
      <c r="C3101" t="s">
        <v>264</v>
      </c>
      <c r="D3101" t="str">
        <f t="shared" si="103"/>
        <v/>
      </c>
      <c r="E3101" t="str">
        <f t="shared" si="102"/>
        <v>deal</v>
      </c>
      <c r="F3101" t="s">
        <v>5461</v>
      </c>
      <c r="G3101" t="str">
        <f>_xlfn.IFNA(VLOOKUP(F3101,songs!$B$1:$C$1539, 2, FALSE),"")</f>
        <v>Deal</v>
      </c>
      <c r="H3101" t="s">
        <v>264</v>
      </c>
    </row>
    <row r="3102" spans="1:8" x14ac:dyDescent="0.25">
      <c r="A3102">
        <v>3101</v>
      </c>
      <c r="B3102" t="s">
        <v>3948</v>
      </c>
      <c r="C3102" t="s">
        <v>26</v>
      </c>
      <c r="D3102" t="str">
        <f t="shared" si="103"/>
        <v/>
      </c>
      <c r="E3102" t="str">
        <f t="shared" si="102"/>
        <v>around and around</v>
      </c>
      <c r="F3102" t="s">
        <v>5103</v>
      </c>
      <c r="G3102" t="str">
        <f>_xlfn.IFNA(VLOOKUP(F3102,songs!$B$1:$C$1539, 2, FALSE),"")</f>
        <v>Around And Around</v>
      </c>
      <c r="H3102" t="s">
        <v>579</v>
      </c>
    </row>
    <row r="3103" spans="1:8" x14ac:dyDescent="0.25">
      <c r="A3103">
        <v>3102</v>
      </c>
      <c r="B3103" t="s">
        <v>3949</v>
      </c>
      <c r="C3103" t="s">
        <v>458</v>
      </c>
      <c r="D3103" t="str">
        <f t="shared" si="103"/>
        <v/>
      </c>
      <c r="E3103" t="str">
        <f t="shared" si="102"/>
        <v>mississippi half-step uptown toodeloo</v>
      </c>
      <c r="F3103" t="s">
        <v>6531</v>
      </c>
      <c r="G3103" t="str">
        <f>_xlfn.IFNA(VLOOKUP(F3103,songs!$B$1:$C$1539, 2, FALSE),"")</f>
        <v>Mississippi Half-Step Uptown Toodeloo</v>
      </c>
      <c r="H3103" t="s">
        <v>458</v>
      </c>
    </row>
    <row r="3104" spans="1:8" x14ac:dyDescent="0.25">
      <c r="A3104">
        <v>3103</v>
      </c>
      <c r="B3104" t="s">
        <v>3950</v>
      </c>
      <c r="C3104" t="s">
        <v>15</v>
      </c>
      <c r="D3104" t="str">
        <f t="shared" si="103"/>
        <v/>
      </c>
      <c r="E3104" t="str">
        <f t="shared" si="102"/>
        <v>truckin'</v>
      </c>
      <c r="F3104" t="s">
        <v>7436</v>
      </c>
      <c r="G3104" t="str">
        <f>_xlfn.IFNA(VLOOKUP(F3104,songs!$B$1:$C$1539, 2, FALSE),"")</f>
        <v>Truckin'</v>
      </c>
      <c r="H3104" t="s">
        <v>15</v>
      </c>
    </row>
    <row r="3105" spans="1:8" x14ac:dyDescent="0.25">
      <c r="A3105">
        <v>3104</v>
      </c>
      <c r="B3105" t="s">
        <v>3951</v>
      </c>
      <c r="C3105" t="s">
        <v>139</v>
      </c>
      <c r="D3105" t="str">
        <f t="shared" si="103"/>
        <v/>
      </c>
      <c r="E3105" t="str">
        <f t="shared" si="102"/>
        <v>the other one</v>
      </c>
      <c r="F3105" t="s">
        <v>7325</v>
      </c>
      <c r="G3105" t="str">
        <f>_xlfn.IFNA(VLOOKUP(F3105,songs!$B$1:$C$1539, 2, FALSE),"")</f>
        <v>The Other One</v>
      </c>
      <c r="H3105" t="s">
        <v>139</v>
      </c>
    </row>
    <row r="3106" spans="1:8" x14ac:dyDescent="0.25">
      <c r="A3106">
        <v>3105</v>
      </c>
      <c r="B3106" t="s">
        <v>3952</v>
      </c>
      <c r="C3106" t="s">
        <v>188</v>
      </c>
      <c r="D3106" t="str">
        <f t="shared" si="103"/>
        <v/>
      </c>
      <c r="E3106" t="str">
        <f t="shared" si="102"/>
        <v>row jimmy</v>
      </c>
      <c r="F3106" t="s">
        <v>6893</v>
      </c>
      <c r="G3106" t="str">
        <f>_xlfn.IFNA(VLOOKUP(F3106,songs!$B$1:$C$1539, 2, FALSE),"")</f>
        <v>Row Jimmy</v>
      </c>
      <c r="H3106" t="s">
        <v>188</v>
      </c>
    </row>
    <row r="3107" spans="1:8" x14ac:dyDescent="0.25">
      <c r="A3107">
        <v>3106</v>
      </c>
      <c r="B3107" t="s">
        <v>3953</v>
      </c>
      <c r="C3107" t="s">
        <v>3</v>
      </c>
      <c r="D3107" t="str">
        <f t="shared" si="103"/>
        <v/>
      </c>
      <c r="E3107" t="str">
        <f t="shared" si="102"/>
        <v>big river</v>
      </c>
      <c r="F3107" t="s">
        <v>5175</v>
      </c>
      <c r="G3107" t="str">
        <f>_xlfn.IFNA(VLOOKUP(F3107,songs!$B$1:$C$1539, 2, FALSE),"")</f>
        <v>Big River</v>
      </c>
      <c r="H3107" t="s">
        <v>3</v>
      </c>
    </row>
    <row r="3108" spans="1:8" x14ac:dyDescent="0.25">
      <c r="A3108">
        <v>3107</v>
      </c>
      <c r="B3108" t="s">
        <v>3954</v>
      </c>
      <c r="C3108" t="s">
        <v>377</v>
      </c>
      <c r="D3108" t="str">
        <f t="shared" si="103"/>
        <v/>
      </c>
      <c r="E3108" t="str">
        <f t="shared" si="102"/>
        <v>ship of fools</v>
      </c>
      <c r="F3108" t="s">
        <v>6999</v>
      </c>
      <c r="G3108" t="str">
        <f>_xlfn.IFNA(VLOOKUP(F3108,songs!$B$1:$C$1539, 2, FALSE),"")</f>
        <v>Ship Of Fools</v>
      </c>
      <c r="H3108" t="s">
        <v>866</v>
      </c>
    </row>
    <row r="3109" spans="1:8" x14ac:dyDescent="0.25">
      <c r="A3109">
        <v>3108</v>
      </c>
      <c r="B3109" t="s">
        <v>3955</v>
      </c>
      <c r="C3109" t="s">
        <v>30</v>
      </c>
      <c r="D3109" t="str">
        <f t="shared" si="103"/>
        <v/>
      </c>
      <c r="E3109" t="str">
        <f t="shared" si="102"/>
        <v>sugar magnolia</v>
      </c>
      <c r="F3109" t="s">
        <v>7150</v>
      </c>
      <c r="G3109" t="str">
        <f>_xlfn.IFNA(VLOOKUP(F3109,songs!$B$1:$C$1539, 2, FALSE),"")</f>
        <v>Sugar Magnolia</v>
      </c>
      <c r="H3109" t="s">
        <v>30</v>
      </c>
    </row>
    <row r="3110" spans="1:8" x14ac:dyDescent="0.25">
      <c r="A3110">
        <v>3076</v>
      </c>
      <c r="B3110" t="s">
        <v>3917</v>
      </c>
      <c r="C3110" t="s">
        <v>3918</v>
      </c>
      <c r="D3110" t="str">
        <f t="shared" si="103"/>
        <v/>
      </c>
      <c r="E3110" t="str">
        <f t="shared" si="102"/>
        <v>unbroken chain (alternate mix)</v>
      </c>
      <c r="F3110" t="s">
        <v>7465</v>
      </c>
      <c r="G3110" t="str">
        <f>_xlfn.IFNA(VLOOKUP(F3110,songs!$B$1:$C$1539, 2, FALSE),"")</f>
        <v>Unbroken Chain</v>
      </c>
      <c r="H3110" t="s">
        <v>7867</v>
      </c>
    </row>
    <row r="3111" spans="1:8" x14ac:dyDescent="0.25">
      <c r="A3111">
        <v>3077</v>
      </c>
      <c r="B3111" t="s">
        <v>3919</v>
      </c>
      <c r="C3111" t="s">
        <v>1392</v>
      </c>
      <c r="D3111" t="str">
        <f t="shared" si="103"/>
        <v/>
      </c>
      <c r="E3111" t="str">
        <f t="shared" si="102"/>
        <v>us blues</v>
      </c>
      <c r="F3111" t="s">
        <v>7464</v>
      </c>
      <c r="G3111" t="str">
        <f>_xlfn.IFNA(VLOOKUP(F3111,songs!$B$1:$C$1539, 2, FALSE),"")</f>
        <v>U.S. Blues</v>
      </c>
      <c r="H3111" t="s">
        <v>7867</v>
      </c>
    </row>
    <row r="3112" spans="1:8" x14ac:dyDescent="0.25">
      <c r="A3112">
        <v>3111</v>
      </c>
      <c r="B3112" t="s">
        <v>3959</v>
      </c>
      <c r="C3112" t="s">
        <v>3105</v>
      </c>
      <c r="D3112" t="str">
        <f t="shared" si="103"/>
        <v/>
      </c>
      <c r="E3112" t="str">
        <f t="shared" si="102"/>
        <v>born cross-eyed</v>
      </c>
      <c r="F3112" t="s">
        <v>5228</v>
      </c>
      <c r="G3112" t="str">
        <f>_xlfn.IFNA(VLOOKUP(F3112,songs!$B$1:$C$1539, 2, FALSE),"")</f>
        <v>Born Cross-Eyed</v>
      </c>
      <c r="H3112" t="s">
        <v>3105</v>
      </c>
    </row>
    <row r="3113" spans="1:8" x14ac:dyDescent="0.25">
      <c r="A3113">
        <v>3112</v>
      </c>
      <c r="B3113" t="s">
        <v>3960</v>
      </c>
      <c r="C3113" t="s">
        <v>98</v>
      </c>
      <c r="D3113" t="str">
        <f t="shared" si="103"/>
        <v/>
      </c>
      <c r="E3113" t="str">
        <f t="shared" si="102"/>
        <v>alligator</v>
      </c>
      <c r="F3113" t="s">
        <v>5072</v>
      </c>
      <c r="G3113" t="str">
        <f>_xlfn.IFNA(VLOOKUP(F3113,songs!$B$1:$C$1539, 2, FALSE),"")</f>
        <v>Alligator</v>
      </c>
      <c r="H3113" t="s">
        <v>98</v>
      </c>
    </row>
    <row r="3114" spans="1:8" x14ac:dyDescent="0.25">
      <c r="A3114">
        <v>3113</v>
      </c>
      <c r="B3114" t="s">
        <v>3961</v>
      </c>
      <c r="C3114" t="s">
        <v>3962</v>
      </c>
      <c r="D3114" t="str">
        <f t="shared" si="103"/>
        <v/>
      </c>
      <c r="E3114" t="str">
        <f t="shared" si="102"/>
        <v>caution (do not stop on tracks)</v>
      </c>
      <c r="F3114" t="s">
        <v>5300</v>
      </c>
      <c r="G3114" t="str">
        <f>_xlfn.IFNA(VLOOKUP(F3114,songs!$B$1:$C$1539, 2, FALSE),"")</f>
        <v>Caution (Do Not Stop On Tracks)</v>
      </c>
      <c r="H3114" t="s">
        <v>3962</v>
      </c>
    </row>
    <row r="3115" spans="1:8" x14ac:dyDescent="0.25">
      <c r="A3115">
        <v>3085</v>
      </c>
      <c r="B3115" t="s">
        <v>3930</v>
      </c>
      <c r="C3115" t="s">
        <v>3931</v>
      </c>
      <c r="D3115" t="str">
        <f t="shared" si="103"/>
        <v/>
      </c>
      <c r="E3115" t="str">
        <f t="shared" si="102"/>
        <v>china doll (demo)</v>
      </c>
      <c r="F3115" t="s">
        <v>5320</v>
      </c>
      <c r="G3115" t="str">
        <f>_xlfn.IFNA(VLOOKUP(F3115,songs!$B$1:$C$1539, 2, FALSE),"")</f>
        <v>China Doll</v>
      </c>
      <c r="H3115" t="s">
        <v>7867</v>
      </c>
    </row>
    <row r="3116" spans="1:8" x14ac:dyDescent="0.25">
      <c r="A3116">
        <v>3115</v>
      </c>
      <c r="B3116" t="s">
        <v>3964</v>
      </c>
      <c r="C3116" t="s">
        <v>717</v>
      </c>
      <c r="D3116" t="str">
        <f t="shared" si="103"/>
        <v/>
      </c>
      <c r="E3116" t="str">
        <f t="shared" si="102"/>
        <v>new potato caboose</v>
      </c>
      <c r="F3116" t="s">
        <v>6621</v>
      </c>
      <c r="G3116" t="str">
        <f>_xlfn.IFNA(VLOOKUP(F3116,songs!$B$1:$C$1539, 2, FALSE),"")</f>
        <v>New Potato Caboose</v>
      </c>
      <c r="H3116" t="s">
        <v>717</v>
      </c>
    </row>
    <row r="3117" spans="1:8" x14ac:dyDescent="0.25">
      <c r="A3117">
        <v>3116</v>
      </c>
      <c r="B3117" t="s">
        <v>3965</v>
      </c>
      <c r="C3117" t="s">
        <v>3105</v>
      </c>
      <c r="D3117" t="str">
        <f t="shared" si="103"/>
        <v/>
      </c>
      <c r="E3117" t="str">
        <f t="shared" si="102"/>
        <v>born cross-eyed</v>
      </c>
      <c r="F3117" t="s">
        <v>5228</v>
      </c>
      <c r="G3117" t="str">
        <f>_xlfn.IFNA(VLOOKUP(F3117,songs!$B$1:$C$1539, 2, FALSE),"")</f>
        <v>Born Cross-Eyed</v>
      </c>
      <c r="H3117" t="s">
        <v>3105</v>
      </c>
    </row>
    <row r="3118" spans="1:8" x14ac:dyDescent="0.25">
      <c r="A3118">
        <v>3117</v>
      </c>
      <c r="B3118" t="s">
        <v>3966</v>
      </c>
      <c r="C3118" t="s">
        <v>98</v>
      </c>
      <c r="D3118" t="str">
        <f t="shared" si="103"/>
        <v/>
      </c>
      <c r="E3118" t="str">
        <f t="shared" si="102"/>
        <v>alligator</v>
      </c>
      <c r="F3118" t="s">
        <v>5072</v>
      </c>
      <c r="G3118" t="str">
        <f>_xlfn.IFNA(VLOOKUP(F3118,songs!$B$1:$C$1539, 2, FALSE),"")</f>
        <v>Alligator</v>
      </c>
      <c r="H3118" t="s">
        <v>98</v>
      </c>
    </row>
    <row r="3119" spans="1:8" x14ac:dyDescent="0.25">
      <c r="A3119">
        <v>3086</v>
      </c>
      <c r="B3119" t="s">
        <v>3932</v>
      </c>
      <c r="C3119" t="s">
        <v>3933</v>
      </c>
      <c r="D3119" t="str">
        <f t="shared" si="103"/>
        <v/>
      </c>
      <c r="E3119" t="str">
        <f t="shared" si="102"/>
        <v>wave that flag (demo)</v>
      </c>
      <c r="F3119" t="s">
        <v>7645</v>
      </c>
      <c r="G3119" t="str">
        <f>_xlfn.IFNA(VLOOKUP(F3119,songs!$B$1:$C$1539, 2, FALSE),"")</f>
        <v>Wave That Flag</v>
      </c>
      <c r="H3119" t="s">
        <v>7867</v>
      </c>
    </row>
    <row r="3120" spans="1:8" x14ac:dyDescent="0.25">
      <c r="A3120">
        <v>3091</v>
      </c>
      <c r="B3120" t="s">
        <v>3938</v>
      </c>
      <c r="C3120" t="s">
        <v>615</v>
      </c>
      <c r="D3120" t="str">
        <f t="shared" si="103"/>
        <v/>
      </c>
      <c r="E3120" t="str">
        <f t="shared" si="102"/>
        <v>brown-eyed women</v>
      </c>
      <c r="F3120" t="s">
        <v>5255</v>
      </c>
      <c r="G3120" t="str">
        <f>_xlfn.IFNA(VLOOKUP(F3120,songs!$B$1:$C$1539, 2, FALSE),"")</f>
        <v>Brown Eyed Women</v>
      </c>
      <c r="H3120" t="s">
        <v>7867</v>
      </c>
    </row>
    <row r="3121" spans="1:8" x14ac:dyDescent="0.25">
      <c r="A3121">
        <v>3096</v>
      </c>
      <c r="B3121" t="s">
        <v>3943</v>
      </c>
      <c r="C3121" t="s">
        <v>1392</v>
      </c>
      <c r="D3121" t="str">
        <f t="shared" si="103"/>
        <v/>
      </c>
      <c r="E3121" t="str">
        <f t="shared" si="102"/>
        <v>us blues</v>
      </c>
      <c r="F3121" t="s">
        <v>7464</v>
      </c>
      <c r="G3121" t="str">
        <f>_xlfn.IFNA(VLOOKUP(F3121,songs!$B$1:$C$1539, 2, FALSE),"")</f>
        <v>U.S. Blues</v>
      </c>
      <c r="H3121" t="s">
        <v>7867</v>
      </c>
    </row>
    <row r="3122" spans="1:8" x14ac:dyDescent="0.25">
      <c r="A3122">
        <v>3121</v>
      </c>
      <c r="B3122" t="s">
        <v>3970</v>
      </c>
      <c r="C3122" t="s">
        <v>3105</v>
      </c>
      <c r="D3122" t="str">
        <f t="shared" si="103"/>
        <v/>
      </c>
      <c r="E3122" t="str">
        <f t="shared" si="102"/>
        <v>born cross-eyed</v>
      </c>
      <c r="F3122" t="s">
        <v>5228</v>
      </c>
      <c r="G3122" t="str">
        <f>_xlfn.IFNA(VLOOKUP(F3122,songs!$B$1:$C$1539, 2, FALSE),"")</f>
        <v>Born Cross-Eyed</v>
      </c>
      <c r="H3122" t="s">
        <v>3105</v>
      </c>
    </row>
    <row r="3123" spans="1:8" x14ac:dyDescent="0.25">
      <c r="A3123">
        <v>3122</v>
      </c>
      <c r="B3123" t="s">
        <v>3971</v>
      </c>
      <c r="C3123" t="s">
        <v>98</v>
      </c>
      <c r="D3123" t="str">
        <f t="shared" si="103"/>
        <v/>
      </c>
      <c r="E3123" t="str">
        <f t="shared" si="102"/>
        <v>alligator</v>
      </c>
      <c r="F3123" t="s">
        <v>5072</v>
      </c>
      <c r="G3123" t="str">
        <f>_xlfn.IFNA(VLOOKUP(F3123,songs!$B$1:$C$1539, 2, FALSE),"")</f>
        <v>Alligator</v>
      </c>
      <c r="H3123" t="s">
        <v>98</v>
      </c>
    </row>
    <row r="3124" spans="1:8" x14ac:dyDescent="0.25">
      <c r="A3124">
        <v>3123</v>
      </c>
      <c r="B3124" t="s">
        <v>3972</v>
      </c>
      <c r="C3124" t="s">
        <v>3962</v>
      </c>
      <c r="D3124" t="str">
        <f t="shared" si="103"/>
        <v/>
      </c>
      <c r="E3124" t="str">
        <f t="shared" si="102"/>
        <v>caution (do not stop on tracks)</v>
      </c>
      <c r="F3124" t="s">
        <v>5300</v>
      </c>
      <c r="G3124" t="str">
        <f>_xlfn.IFNA(VLOOKUP(F3124,songs!$B$1:$C$1539, 2, FALSE),"")</f>
        <v>Caution (Do Not Stop On Tracks)</v>
      </c>
      <c r="H3124" t="s">
        <v>3962</v>
      </c>
    </row>
    <row r="3125" spans="1:8" x14ac:dyDescent="0.25">
      <c r="A3125">
        <v>3109</v>
      </c>
      <c r="B3125" t="s">
        <v>3956</v>
      </c>
      <c r="C3125" t="s">
        <v>2047</v>
      </c>
      <c r="D3125" t="str">
        <f t="shared" si="103"/>
        <v/>
      </c>
      <c r="E3125" t="str">
        <f t="shared" si="102"/>
        <v>that's it for the other one</v>
      </c>
      <c r="F3125" t="s">
        <v>7325</v>
      </c>
      <c r="G3125" t="str">
        <f>_xlfn.IFNA(VLOOKUP(F3125,songs!$B$1:$C$1539, 2, FALSE),"")</f>
        <v>The Other One</v>
      </c>
      <c r="H3125" t="s">
        <v>7867</v>
      </c>
    </row>
    <row r="3126" spans="1:8" x14ac:dyDescent="0.25">
      <c r="A3126">
        <v>3125</v>
      </c>
      <c r="B3126" t="s">
        <v>3974</v>
      </c>
      <c r="C3126" t="s">
        <v>717</v>
      </c>
      <c r="D3126" t="str">
        <f t="shared" si="103"/>
        <v/>
      </c>
      <c r="E3126" t="str">
        <f t="shared" si="102"/>
        <v>new potato caboose</v>
      </c>
      <c r="F3126" t="s">
        <v>6621</v>
      </c>
      <c r="G3126" t="str">
        <f>_xlfn.IFNA(VLOOKUP(F3126,songs!$B$1:$C$1539, 2, FALSE),"")</f>
        <v>New Potato Caboose</v>
      </c>
      <c r="H3126" t="s">
        <v>717</v>
      </c>
    </row>
    <row r="3127" spans="1:8" x14ac:dyDescent="0.25">
      <c r="A3127">
        <v>3126</v>
      </c>
      <c r="B3127" t="s">
        <v>3975</v>
      </c>
      <c r="C3127" t="s">
        <v>3105</v>
      </c>
      <c r="D3127" t="str">
        <f t="shared" si="103"/>
        <v/>
      </c>
      <c r="E3127" t="str">
        <f t="shared" si="102"/>
        <v>born cross-eyed</v>
      </c>
      <c r="F3127" t="s">
        <v>5228</v>
      </c>
      <c r="G3127" t="str">
        <f>_xlfn.IFNA(VLOOKUP(F3127,songs!$B$1:$C$1539, 2, FALSE),"")</f>
        <v>Born Cross-Eyed</v>
      </c>
      <c r="H3127" t="s">
        <v>3105</v>
      </c>
    </row>
    <row r="3128" spans="1:8" x14ac:dyDescent="0.25">
      <c r="A3128">
        <v>3127</v>
      </c>
      <c r="B3128" t="s">
        <v>3976</v>
      </c>
      <c r="C3128" t="s">
        <v>98</v>
      </c>
      <c r="D3128" t="str">
        <f t="shared" si="103"/>
        <v/>
      </c>
      <c r="E3128" t="str">
        <f t="shared" si="102"/>
        <v>alligator</v>
      </c>
      <c r="F3128" t="s">
        <v>5072</v>
      </c>
      <c r="G3128" t="str">
        <f>_xlfn.IFNA(VLOOKUP(F3128,songs!$B$1:$C$1539, 2, FALSE),"")</f>
        <v>Alligator</v>
      </c>
      <c r="H3128" t="s">
        <v>98</v>
      </c>
    </row>
    <row r="3129" spans="1:8" x14ac:dyDescent="0.25">
      <c r="A3129">
        <v>3128</v>
      </c>
      <c r="B3129" t="s">
        <v>3977</v>
      </c>
      <c r="C3129" t="s">
        <v>107</v>
      </c>
      <c r="D3129" t="str">
        <f t="shared" si="103"/>
        <v/>
      </c>
      <c r="E3129" t="str">
        <f t="shared" si="102"/>
        <v>caution (do not stop on tracks)</v>
      </c>
      <c r="F3129" t="s">
        <v>5300</v>
      </c>
      <c r="G3129" t="str">
        <f>_xlfn.IFNA(VLOOKUP(F3129,songs!$B$1:$C$1539, 2, FALSE),"")</f>
        <v>Caution (Do Not Stop On Tracks)</v>
      </c>
      <c r="H3129" t="s">
        <v>3962</v>
      </c>
    </row>
    <row r="3130" spans="1:8" x14ac:dyDescent="0.25">
      <c r="A3130">
        <v>3110</v>
      </c>
      <c r="B3130" t="s">
        <v>3957</v>
      </c>
      <c r="C3130" t="s">
        <v>3958</v>
      </c>
      <c r="D3130" t="str">
        <f t="shared" si="103"/>
        <v/>
      </c>
      <c r="E3130" t="str">
        <f t="shared" si="102"/>
        <v>new potatoe caboose</v>
      </c>
      <c r="F3130" t="s">
        <v>6621</v>
      </c>
      <c r="G3130" t="str">
        <f>_xlfn.IFNA(VLOOKUP(F3130,songs!$B$1:$C$1539, 2, FALSE),"")</f>
        <v>New Potato Caboose</v>
      </c>
      <c r="H3130" t="s">
        <v>7867</v>
      </c>
    </row>
    <row r="3131" spans="1:8" x14ac:dyDescent="0.25">
      <c r="A3131">
        <v>3130</v>
      </c>
      <c r="B3131" t="s">
        <v>3979</v>
      </c>
      <c r="C3131" t="s">
        <v>556</v>
      </c>
      <c r="D3131" t="str">
        <f t="shared" si="103"/>
        <v/>
      </c>
      <c r="E3131" t="str">
        <f t="shared" si="102"/>
        <v>dupree's diamond blues</v>
      </c>
      <c r="F3131" t="s">
        <v>5573</v>
      </c>
      <c r="G3131" t="str">
        <f>_xlfn.IFNA(VLOOKUP(F3131,songs!$B$1:$C$1539, 2, FALSE),"")</f>
        <v>Dupree's Diamond Blues</v>
      </c>
      <c r="H3131" t="s">
        <v>556</v>
      </c>
    </row>
    <row r="3132" spans="1:8" x14ac:dyDescent="0.25">
      <c r="A3132">
        <v>3131</v>
      </c>
      <c r="B3132" t="s">
        <v>3980</v>
      </c>
      <c r="C3132" t="s">
        <v>3119</v>
      </c>
      <c r="D3132" t="str">
        <f t="shared" si="103"/>
        <v/>
      </c>
      <c r="E3132" t="str">
        <f t="shared" si="102"/>
        <v>rosemary</v>
      </c>
      <c r="F3132" t="s">
        <v>6890</v>
      </c>
      <c r="G3132" t="str">
        <f>_xlfn.IFNA(VLOOKUP(F3132,songs!$B$1:$C$1539, 2, FALSE),"")</f>
        <v>Rosemary</v>
      </c>
      <c r="H3132" t="s">
        <v>3119</v>
      </c>
    </row>
    <row r="3133" spans="1:8" x14ac:dyDescent="0.25">
      <c r="A3133">
        <v>3132</v>
      </c>
      <c r="B3133" t="s">
        <v>3981</v>
      </c>
      <c r="C3133" t="s">
        <v>828</v>
      </c>
      <c r="D3133" t="str">
        <f t="shared" si="103"/>
        <v/>
      </c>
      <c r="E3133" t="str">
        <f t="shared" si="102"/>
        <v>doin' that rag</v>
      </c>
      <c r="F3133" t="s">
        <v>5508</v>
      </c>
      <c r="G3133" t="str">
        <f>_xlfn.IFNA(VLOOKUP(F3133,songs!$B$1:$C$1539, 2, FALSE),"")</f>
        <v>Doin' That Rag</v>
      </c>
      <c r="H3133" t="s">
        <v>828</v>
      </c>
    </row>
    <row r="3134" spans="1:8" x14ac:dyDescent="0.25">
      <c r="A3134">
        <v>3133</v>
      </c>
      <c r="B3134" t="s">
        <v>3982</v>
      </c>
      <c r="C3134" t="s">
        <v>3983</v>
      </c>
      <c r="D3134" t="str">
        <f t="shared" si="103"/>
        <v/>
      </c>
      <c r="E3134" t="str">
        <f t="shared" si="102"/>
        <v>mountains of the moon</v>
      </c>
      <c r="F3134" t="s">
        <v>6568</v>
      </c>
      <c r="G3134" t="str">
        <f>_xlfn.IFNA(VLOOKUP(F3134,songs!$B$1:$C$1539, 2, FALSE),"")</f>
        <v>Mountains Of The Moon</v>
      </c>
      <c r="H3134" t="s">
        <v>3983</v>
      </c>
    </row>
    <row r="3135" spans="1:8" x14ac:dyDescent="0.25">
      <c r="A3135">
        <v>3134</v>
      </c>
      <c r="B3135" t="s">
        <v>3984</v>
      </c>
      <c r="C3135" t="s">
        <v>84</v>
      </c>
      <c r="D3135" t="str">
        <f t="shared" si="103"/>
        <v/>
      </c>
      <c r="E3135" t="str">
        <f t="shared" si="102"/>
        <v>china cat sunflower</v>
      </c>
      <c r="F3135" t="s">
        <v>5319</v>
      </c>
      <c r="G3135" t="str">
        <f>_xlfn.IFNA(VLOOKUP(F3135,songs!$B$1:$C$1539, 2, FALSE),"")</f>
        <v>China Cat Sunflower</v>
      </c>
      <c r="H3135" t="s">
        <v>84</v>
      </c>
    </row>
    <row r="3136" spans="1:8" x14ac:dyDescent="0.25">
      <c r="A3136">
        <v>3135</v>
      </c>
      <c r="B3136" t="s">
        <v>3985</v>
      </c>
      <c r="C3136" t="s">
        <v>3986</v>
      </c>
      <c r="D3136" t="str">
        <f t="shared" si="103"/>
        <v/>
      </c>
      <c r="E3136" t="str">
        <f t="shared" si="102"/>
        <v>what's become of the baby</v>
      </c>
      <c r="F3136" t="s">
        <v>7681</v>
      </c>
      <c r="G3136" t="str">
        <f>_xlfn.IFNA(VLOOKUP(F3136,songs!$B$1:$C$1539, 2, FALSE),"")</f>
        <v>What's Become Of The Baby</v>
      </c>
      <c r="H3136" t="s">
        <v>3986</v>
      </c>
    </row>
    <row r="3137" spans="1:8" x14ac:dyDescent="0.25">
      <c r="A3137">
        <v>3136</v>
      </c>
      <c r="B3137" t="s">
        <v>3987</v>
      </c>
      <c r="C3137" t="s">
        <v>239</v>
      </c>
      <c r="D3137" t="str">
        <f t="shared" si="103"/>
        <v/>
      </c>
      <c r="E3137" t="str">
        <f t="shared" si="102"/>
        <v>cosmic charlie</v>
      </c>
      <c r="F3137" t="s">
        <v>5373</v>
      </c>
      <c r="G3137" t="str">
        <f>_xlfn.IFNA(VLOOKUP(F3137,songs!$B$1:$C$1539, 2, FALSE),"")</f>
        <v>Cosmic Charlie</v>
      </c>
      <c r="H3137" t="s">
        <v>239</v>
      </c>
    </row>
    <row r="3138" spans="1:8" x14ac:dyDescent="0.25">
      <c r="A3138">
        <v>3114</v>
      </c>
      <c r="B3138" t="s">
        <v>3963</v>
      </c>
      <c r="C3138" t="s">
        <v>2047</v>
      </c>
      <c r="D3138" t="str">
        <f t="shared" si="103"/>
        <v/>
      </c>
      <c r="E3138" t="str">
        <f t="shared" si="102"/>
        <v>that's it for the other one</v>
      </c>
      <c r="F3138" t="s">
        <v>7325</v>
      </c>
      <c r="G3138" t="str">
        <f>_xlfn.IFNA(VLOOKUP(F3138,songs!$B$1:$C$1539, 2, FALSE),"")</f>
        <v>The Other One</v>
      </c>
      <c r="H3138" t="s">
        <v>7867</v>
      </c>
    </row>
    <row r="3139" spans="1:8" x14ac:dyDescent="0.25">
      <c r="A3139">
        <v>3138</v>
      </c>
      <c r="B3139" t="s">
        <v>3990</v>
      </c>
      <c r="C3139" t="s">
        <v>556</v>
      </c>
      <c r="D3139" t="str">
        <f t="shared" si="103"/>
        <v/>
      </c>
      <c r="E3139" t="str">
        <f t="shared" si="102"/>
        <v>dupree's diamond blues</v>
      </c>
      <c r="F3139" t="s">
        <v>5573</v>
      </c>
      <c r="G3139" t="str">
        <f>_xlfn.IFNA(VLOOKUP(F3139,songs!$B$1:$C$1539, 2, FALSE),"")</f>
        <v>Dupree's Diamond Blues</v>
      </c>
      <c r="H3139" t="s">
        <v>556</v>
      </c>
    </row>
    <row r="3140" spans="1:8" x14ac:dyDescent="0.25">
      <c r="A3140">
        <v>3139</v>
      </c>
      <c r="B3140" t="s">
        <v>3991</v>
      </c>
      <c r="C3140" t="s">
        <v>3119</v>
      </c>
      <c r="D3140" t="str">
        <f t="shared" si="103"/>
        <v/>
      </c>
      <c r="E3140" t="str">
        <f t="shared" ref="E3140:E3203" si="104">LOWER(TRIM(SUBSTITUTE(IF(RIGHT(TRIM(C3140),2)="-&gt;",LEFT(TRIM(C3140),LEN(TRIM(C3140))-2),IF(RIGHT(TRIM(C3140),1)="&gt;",LEFT(TRIM(C3140),LEN(TRIM(C3140))-1),C3140)),"//","")))</f>
        <v>rosemary</v>
      </c>
      <c r="F3140" t="s">
        <v>6890</v>
      </c>
      <c r="G3140" t="str">
        <f>_xlfn.IFNA(VLOOKUP(F3140,songs!$B$1:$C$1539, 2, FALSE),"")</f>
        <v>Rosemary</v>
      </c>
      <c r="H3140" t="s">
        <v>3119</v>
      </c>
    </row>
    <row r="3141" spans="1:8" x14ac:dyDescent="0.25">
      <c r="A3141">
        <v>3140</v>
      </c>
      <c r="B3141" t="s">
        <v>3992</v>
      </c>
      <c r="C3141" t="s">
        <v>828</v>
      </c>
      <c r="D3141" t="str">
        <f t="shared" si="103"/>
        <v/>
      </c>
      <c r="E3141" t="str">
        <f t="shared" si="104"/>
        <v>doin' that rag</v>
      </c>
      <c r="F3141" t="s">
        <v>5508</v>
      </c>
      <c r="G3141" t="str">
        <f>_xlfn.IFNA(VLOOKUP(F3141,songs!$B$1:$C$1539, 2, FALSE),"")</f>
        <v>Doin' That Rag</v>
      </c>
      <c r="H3141" t="s">
        <v>828</v>
      </c>
    </row>
    <row r="3142" spans="1:8" x14ac:dyDescent="0.25">
      <c r="A3142">
        <v>3141</v>
      </c>
      <c r="B3142" t="s">
        <v>3993</v>
      </c>
      <c r="C3142" t="s">
        <v>3983</v>
      </c>
      <c r="D3142" t="str">
        <f t="shared" si="103"/>
        <v/>
      </c>
      <c r="E3142" t="str">
        <f t="shared" si="104"/>
        <v>mountains of the moon</v>
      </c>
      <c r="F3142" t="s">
        <v>6568</v>
      </c>
      <c r="G3142" t="str">
        <f>_xlfn.IFNA(VLOOKUP(F3142,songs!$B$1:$C$1539, 2, FALSE),"")</f>
        <v>Mountains Of The Moon</v>
      </c>
      <c r="H3142" t="s">
        <v>3983</v>
      </c>
    </row>
    <row r="3143" spans="1:8" x14ac:dyDescent="0.25">
      <c r="A3143">
        <v>3142</v>
      </c>
      <c r="B3143" t="s">
        <v>3994</v>
      </c>
      <c r="C3143" t="s">
        <v>84</v>
      </c>
      <c r="D3143" t="str">
        <f t="shared" si="103"/>
        <v/>
      </c>
      <c r="E3143" t="str">
        <f t="shared" si="104"/>
        <v>china cat sunflower</v>
      </c>
      <c r="F3143" t="s">
        <v>5319</v>
      </c>
      <c r="G3143" t="str">
        <f>_xlfn.IFNA(VLOOKUP(F3143,songs!$B$1:$C$1539, 2, FALSE),"")</f>
        <v>China Cat Sunflower</v>
      </c>
      <c r="H3143" t="s">
        <v>84</v>
      </c>
    </row>
    <row r="3144" spans="1:8" x14ac:dyDescent="0.25">
      <c r="A3144">
        <v>3143</v>
      </c>
      <c r="B3144" t="s">
        <v>3995</v>
      </c>
      <c r="C3144" t="s">
        <v>3986</v>
      </c>
      <c r="D3144" t="str">
        <f t="shared" si="103"/>
        <v/>
      </c>
      <c r="E3144" t="str">
        <f t="shared" si="104"/>
        <v>what's become of the baby</v>
      </c>
      <c r="F3144" t="s">
        <v>7681</v>
      </c>
      <c r="G3144" t="str">
        <f>_xlfn.IFNA(VLOOKUP(F3144,songs!$B$1:$C$1539, 2, FALSE),"")</f>
        <v>What's Become Of The Baby</v>
      </c>
      <c r="H3144" t="s">
        <v>3986</v>
      </c>
    </row>
    <row r="3145" spans="1:8" x14ac:dyDescent="0.25">
      <c r="A3145">
        <v>3144</v>
      </c>
      <c r="B3145" t="s">
        <v>3996</v>
      </c>
      <c r="C3145" t="s">
        <v>239</v>
      </c>
      <c r="D3145" t="str">
        <f t="shared" ref="D3145:D3208" si="105">IF(RIGHT(TRIM(C3145),2)="-&gt;","&gt;",IF(RIGHT(TRIM(C3145),1)="&gt;","&gt;",""))</f>
        <v/>
      </c>
      <c r="E3145" t="str">
        <f t="shared" si="104"/>
        <v>cosmic charlie</v>
      </c>
      <c r="F3145" t="s">
        <v>5373</v>
      </c>
      <c r="G3145" t="str">
        <f>_xlfn.IFNA(VLOOKUP(F3145,songs!$B$1:$C$1539, 2, FALSE),"")</f>
        <v>Cosmic Charlie</v>
      </c>
      <c r="H3145" t="s">
        <v>239</v>
      </c>
    </row>
    <row r="3146" spans="1:8" x14ac:dyDescent="0.25">
      <c r="A3146">
        <v>3118</v>
      </c>
      <c r="B3146" t="s">
        <v>3967</v>
      </c>
      <c r="C3146" t="s">
        <v>3109</v>
      </c>
      <c r="D3146" t="str">
        <f t="shared" si="105"/>
        <v/>
      </c>
      <c r="E3146" t="str">
        <f t="shared" si="104"/>
        <v>caution do not stop on tracks</v>
      </c>
      <c r="F3146" t="s">
        <v>5300</v>
      </c>
      <c r="G3146" t="str">
        <f>_xlfn.IFNA(VLOOKUP(F3146,songs!$B$1:$C$1539, 2, FALSE),"")</f>
        <v>Caution (Do Not Stop On Tracks)</v>
      </c>
      <c r="H3146" t="s">
        <v>7867</v>
      </c>
    </row>
    <row r="3147" spans="1:8" x14ac:dyDescent="0.25">
      <c r="A3147">
        <v>3119</v>
      </c>
      <c r="B3147" t="s">
        <v>3968</v>
      </c>
      <c r="C3147" t="s">
        <v>2047</v>
      </c>
      <c r="D3147" t="str">
        <f t="shared" si="105"/>
        <v/>
      </c>
      <c r="E3147" t="str">
        <f t="shared" si="104"/>
        <v>that's it for the other one</v>
      </c>
      <c r="F3147" t="s">
        <v>7325</v>
      </c>
      <c r="G3147" t="str">
        <f>_xlfn.IFNA(VLOOKUP(F3147,songs!$B$1:$C$1539, 2, FALSE),"")</f>
        <v>The Other One</v>
      </c>
      <c r="H3147" t="s">
        <v>7867</v>
      </c>
    </row>
    <row r="3148" spans="1:8" x14ac:dyDescent="0.25">
      <c r="A3148">
        <v>3120</v>
      </c>
      <c r="B3148" t="s">
        <v>3969</v>
      </c>
      <c r="C3148" t="s">
        <v>3958</v>
      </c>
      <c r="D3148" t="str">
        <f t="shared" si="105"/>
        <v/>
      </c>
      <c r="E3148" t="str">
        <f t="shared" si="104"/>
        <v>new potatoe caboose</v>
      </c>
      <c r="F3148" t="s">
        <v>6621</v>
      </c>
      <c r="G3148" t="str">
        <f>_xlfn.IFNA(VLOOKUP(F3148,songs!$B$1:$C$1539, 2, FALSE),"")</f>
        <v>New Potato Caboose</v>
      </c>
      <c r="H3148" t="s">
        <v>7867</v>
      </c>
    </row>
    <row r="3149" spans="1:8" x14ac:dyDescent="0.25">
      <c r="A3149">
        <v>3124</v>
      </c>
      <c r="B3149" t="s">
        <v>3973</v>
      </c>
      <c r="C3149" t="s">
        <v>94</v>
      </c>
      <c r="D3149" t="str">
        <f t="shared" si="105"/>
        <v/>
      </c>
      <c r="E3149" t="str">
        <f t="shared" si="104"/>
        <v>that's it for the other one</v>
      </c>
      <c r="F3149" t="s">
        <v>7325</v>
      </c>
      <c r="G3149" t="str">
        <f>_xlfn.IFNA(VLOOKUP(F3149,songs!$B$1:$C$1539, 2, FALSE),"")</f>
        <v>The Other One</v>
      </c>
      <c r="H3149" t="s">
        <v>7867</v>
      </c>
    </row>
    <row r="3150" spans="1:8" x14ac:dyDescent="0.25">
      <c r="A3150">
        <v>3149</v>
      </c>
      <c r="B3150" t="s">
        <v>4004</v>
      </c>
      <c r="C3150" t="s">
        <v>1881</v>
      </c>
      <c r="D3150" t="str">
        <f t="shared" si="105"/>
        <v/>
      </c>
      <c r="E3150" t="str">
        <f t="shared" si="104"/>
        <v>smokestack lightning</v>
      </c>
      <c r="F3150" t="s">
        <v>7050</v>
      </c>
      <c r="G3150" t="str">
        <f>_xlfn.IFNA(VLOOKUP(F3150,songs!$B$1:$C$1539, 2, FALSE),"")</f>
        <v>Smokestack Lightning</v>
      </c>
      <c r="H3150" t="s">
        <v>1881</v>
      </c>
    </row>
    <row r="3151" spans="1:8" x14ac:dyDescent="0.25">
      <c r="A3151">
        <v>3129</v>
      </c>
      <c r="B3151" t="s">
        <v>3978</v>
      </c>
      <c r="C3151" t="s">
        <v>32</v>
      </c>
      <c r="D3151" t="str">
        <f t="shared" si="105"/>
        <v/>
      </c>
      <c r="E3151" t="str">
        <f t="shared" si="104"/>
        <v>st. stephen</v>
      </c>
      <c r="F3151" t="s">
        <v>6910</v>
      </c>
      <c r="G3151" t="str">
        <f>_xlfn.IFNA(VLOOKUP(F3151,songs!$B$1:$C$1539, 2, FALSE),"")</f>
        <v>Saint Stephen</v>
      </c>
      <c r="H3151" t="s">
        <v>7867</v>
      </c>
    </row>
    <row r="3152" spans="1:8" x14ac:dyDescent="0.25">
      <c r="A3152">
        <v>3137</v>
      </c>
      <c r="B3152" t="s">
        <v>3988</v>
      </c>
      <c r="C3152" t="s">
        <v>3989</v>
      </c>
      <c r="D3152" t="str">
        <f t="shared" si="105"/>
        <v/>
      </c>
      <c r="E3152" t="str">
        <f t="shared" si="104"/>
        <v>st stephen</v>
      </c>
      <c r="F3152" t="s">
        <v>6910</v>
      </c>
      <c r="G3152" t="str">
        <f>_xlfn.IFNA(VLOOKUP(F3152,songs!$B$1:$C$1539, 2, FALSE),"")</f>
        <v>Saint Stephen</v>
      </c>
      <c r="H3152" t="s">
        <v>7867</v>
      </c>
    </row>
    <row r="3153" spans="1:8" x14ac:dyDescent="0.25">
      <c r="A3153">
        <v>3152</v>
      </c>
      <c r="B3153" t="s">
        <v>4009</v>
      </c>
      <c r="C3153" t="s">
        <v>573</v>
      </c>
      <c r="D3153" t="str">
        <f t="shared" si="105"/>
        <v/>
      </c>
      <c r="E3153" t="str">
        <f t="shared" si="104"/>
        <v>fire on the mountain</v>
      </c>
      <c r="F3153" t="s">
        <v>5675</v>
      </c>
      <c r="G3153" t="str">
        <f>_xlfn.IFNA(VLOOKUP(F3153,songs!$B$1:$C$1539, 2, FALSE),"")</f>
        <v>Fire On The Mountain</v>
      </c>
      <c r="H3153" t="s">
        <v>573</v>
      </c>
    </row>
    <row r="3154" spans="1:8" x14ac:dyDescent="0.25">
      <c r="A3154">
        <v>3145</v>
      </c>
      <c r="B3154" t="s">
        <v>3997</v>
      </c>
      <c r="C3154" t="s">
        <v>3998</v>
      </c>
      <c r="D3154" t="str">
        <f t="shared" si="105"/>
        <v/>
      </c>
      <c r="E3154" t="str">
        <f t="shared" si="104"/>
        <v>side one - anthem of the sun remix (1971)</v>
      </c>
      <c r="F3154" t="s">
        <v>7883</v>
      </c>
      <c r="G3154" t="s">
        <v>7884</v>
      </c>
      <c r="H3154" t="s">
        <v>7867</v>
      </c>
    </row>
    <row r="3155" spans="1:8" x14ac:dyDescent="0.25">
      <c r="A3155">
        <v>3146</v>
      </c>
      <c r="B3155" t="s">
        <v>3999</v>
      </c>
      <c r="C3155" t="s">
        <v>4000</v>
      </c>
      <c r="D3155" t="str">
        <f t="shared" si="105"/>
        <v/>
      </c>
      <c r="E3155" t="str">
        <f t="shared" si="104"/>
        <v>side two - anthem of the sun remix (1971)</v>
      </c>
      <c r="F3155" t="s">
        <v>7854</v>
      </c>
      <c r="G3155" t="s">
        <v>7884</v>
      </c>
      <c r="H3155" t="s">
        <v>7867</v>
      </c>
    </row>
    <row r="3156" spans="1:8" x14ac:dyDescent="0.25">
      <c r="A3156">
        <v>3155</v>
      </c>
      <c r="B3156" t="s">
        <v>4014</v>
      </c>
      <c r="C3156" t="s">
        <v>431</v>
      </c>
      <c r="D3156" t="str">
        <f t="shared" si="105"/>
        <v/>
      </c>
      <c r="E3156" t="str">
        <f t="shared" si="104"/>
        <v>beat it on down the line</v>
      </c>
      <c r="F3156" t="s">
        <v>5149</v>
      </c>
      <c r="G3156" t="str">
        <f>_xlfn.IFNA(VLOOKUP(F3156,songs!$B$1:$C$1539, 2, FALSE),"")</f>
        <v>Beat It On Down The Line</v>
      </c>
      <c r="H3156" t="s">
        <v>431</v>
      </c>
    </row>
    <row r="3157" spans="1:8" x14ac:dyDescent="0.25">
      <c r="A3157">
        <v>3147</v>
      </c>
      <c r="B3157" t="s">
        <v>4001</v>
      </c>
      <c r="C3157" t="s">
        <v>4002</v>
      </c>
      <c r="D3157" t="str">
        <f t="shared" si="105"/>
        <v/>
      </c>
      <c r="E3157" t="str">
        <f t="shared" si="104"/>
        <v>terrapin station (listed as inspiration on the cover)</v>
      </c>
      <c r="F3157" t="s">
        <v>7237</v>
      </c>
      <c r="G3157" t="str">
        <f>_xlfn.IFNA(VLOOKUP(F3157,songs!$B$1:$C$1539, 2, FALSE),"")</f>
        <v>Terrapin Station</v>
      </c>
      <c r="H3157" t="s">
        <v>7867</v>
      </c>
    </row>
    <row r="3158" spans="1:8" x14ac:dyDescent="0.25">
      <c r="A3158">
        <v>3157</v>
      </c>
      <c r="B3158" t="s">
        <v>4016</v>
      </c>
      <c r="C3158" t="s">
        <v>429</v>
      </c>
      <c r="D3158" t="str">
        <f t="shared" si="105"/>
        <v/>
      </c>
      <c r="E3158" t="str">
        <f t="shared" si="104"/>
        <v>cold rain and snow</v>
      </c>
      <c r="F3158" t="s">
        <v>5347</v>
      </c>
      <c r="G3158" t="str">
        <f>_xlfn.IFNA(VLOOKUP(F3158,songs!$B$1:$C$1539, 2, FALSE),"")</f>
        <v>Cold Rain And Snow</v>
      </c>
      <c r="H3158" t="s">
        <v>429</v>
      </c>
    </row>
    <row r="3159" spans="1:8" x14ac:dyDescent="0.25">
      <c r="A3159">
        <v>3158</v>
      </c>
      <c r="B3159" t="s">
        <v>4017</v>
      </c>
      <c r="C3159" t="s">
        <v>843</v>
      </c>
      <c r="D3159" t="str">
        <f t="shared" si="105"/>
        <v/>
      </c>
      <c r="E3159" t="str">
        <f t="shared" si="104"/>
        <v>sitting on top of the world</v>
      </c>
      <c r="F3159" t="s">
        <v>7024</v>
      </c>
      <c r="G3159" t="str">
        <f>_xlfn.IFNA(VLOOKUP(F3159,songs!$B$1:$C$1539, 2, FALSE),"")</f>
        <v>Sitting On Top Of The World</v>
      </c>
      <c r="H3159" t="s">
        <v>843</v>
      </c>
    </row>
    <row r="3160" spans="1:8" x14ac:dyDescent="0.25">
      <c r="A3160">
        <v>3159</v>
      </c>
      <c r="B3160" t="s">
        <v>4018</v>
      </c>
      <c r="C3160" t="s">
        <v>3088</v>
      </c>
      <c r="D3160" t="str">
        <f t="shared" si="105"/>
        <v/>
      </c>
      <c r="E3160" t="str">
        <f t="shared" si="104"/>
        <v>cream puff war</v>
      </c>
      <c r="F3160" t="s">
        <v>5395</v>
      </c>
      <c r="G3160" t="str">
        <f>_xlfn.IFNA(VLOOKUP(F3160,songs!$B$1:$C$1539, 2, FALSE),"")</f>
        <v>Cream Puff War</v>
      </c>
      <c r="H3160" t="s">
        <v>3088</v>
      </c>
    </row>
    <row r="3161" spans="1:8" x14ac:dyDescent="0.25">
      <c r="A3161">
        <v>3160</v>
      </c>
      <c r="B3161" t="s">
        <v>4019</v>
      </c>
      <c r="C3161" t="s">
        <v>212</v>
      </c>
      <c r="D3161" t="str">
        <f t="shared" si="105"/>
        <v/>
      </c>
      <c r="E3161" t="str">
        <f t="shared" si="104"/>
        <v>morning dew</v>
      </c>
      <c r="F3161" t="s">
        <v>6555</v>
      </c>
      <c r="G3161" t="str">
        <f>_xlfn.IFNA(VLOOKUP(F3161,songs!$B$1:$C$1539, 2, FALSE),"")</f>
        <v>Morning Dew</v>
      </c>
      <c r="H3161" t="s">
        <v>212</v>
      </c>
    </row>
    <row r="3162" spans="1:8" x14ac:dyDescent="0.25">
      <c r="A3162">
        <v>3148</v>
      </c>
      <c r="B3162" t="s">
        <v>4003</v>
      </c>
      <c r="C3162" t="s">
        <v>1775</v>
      </c>
      <c r="D3162" t="str">
        <f t="shared" si="105"/>
        <v/>
      </c>
      <c r="E3162" t="str">
        <f t="shared" si="104"/>
        <v>dancing in the street</v>
      </c>
      <c r="F3162" t="s">
        <v>5418</v>
      </c>
      <c r="G3162" t="str">
        <f>_xlfn.IFNA(VLOOKUP(F3162,songs!$B$1:$C$1539, 2, FALSE),"")</f>
        <v>Dancin' In The Streets</v>
      </c>
      <c r="H3162" t="s">
        <v>7867</v>
      </c>
    </row>
    <row r="3163" spans="1:8" x14ac:dyDescent="0.25">
      <c r="A3163">
        <v>3162</v>
      </c>
      <c r="B3163" t="s">
        <v>4021</v>
      </c>
      <c r="C3163" t="s">
        <v>250</v>
      </c>
      <c r="D3163" t="str">
        <f t="shared" si="105"/>
        <v/>
      </c>
      <c r="E3163" t="str">
        <f t="shared" si="104"/>
        <v>viola lee blues</v>
      </c>
      <c r="F3163" t="s">
        <v>7595</v>
      </c>
      <c r="G3163" t="str">
        <f>_xlfn.IFNA(VLOOKUP(F3163,songs!$B$1:$C$1539, 2, FALSE),"")</f>
        <v>Viola Lee Blues</v>
      </c>
      <c r="H3163" t="s">
        <v>250</v>
      </c>
    </row>
    <row r="3164" spans="1:8" x14ac:dyDescent="0.25">
      <c r="A3164">
        <v>3151</v>
      </c>
      <c r="B3164" t="s">
        <v>4007</v>
      </c>
      <c r="C3164" t="s">
        <v>4008</v>
      </c>
      <c r="D3164" t="str">
        <f t="shared" si="105"/>
        <v/>
      </c>
      <c r="E3164" t="str">
        <f t="shared" si="104"/>
        <v>estimated prophet (listed as don't worry 'bout me now on the cover)</v>
      </c>
      <c r="F3164" t="s">
        <v>5612</v>
      </c>
      <c r="G3164" t="str">
        <f>_xlfn.IFNA(VLOOKUP(F3164,songs!$B$1:$C$1539, 2, FALSE),"")</f>
        <v>Estimated Prophet</v>
      </c>
      <c r="H3164" t="s">
        <v>7867</v>
      </c>
    </row>
    <row r="3165" spans="1:8" x14ac:dyDescent="0.25">
      <c r="A3165">
        <v>3164</v>
      </c>
      <c r="B3165" t="s">
        <v>4023</v>
      </c>
      <c r="C3165" t="s">
        <v>717</v>
      </c>
      <c r="D3165" t="str">
        <f t="shared" si="105"/>
        <v/>
      </c>
      <c r="E3165" t="str">
        <f t="shared" si="104"/>
        <v>new potato caboose</v>
      </c>
      <c r="F3165" t="s">
        <v>6621</v>
      </c>
      <c r="G3165" t="str">
        <f>_xlfn.IFNA(VLOOKUP(F3165,songs!$B$1:$C$1539, 2, FALSE),"")</f>
        <v>New Potato Caboose</v>
      </c>
      <c r="H3165" t="s">
        <v>717</v>
      </c>
    </row>
    <row r="3166" spans="1:8" x14ac:dyDescent="0.25">
      <c r="A3166">
        <v>3165</v>
      </c>
      <c r="B3166" t="s">
        <v>4024</v>
      </c>
      <c r="C3166" t="s">
        <v>3105</v>
      </c>
      <c r="D3166" t="str">
        <f t="shared" si="105"/>
        <v/>
      </c>
      <c r="E3166" t="str">
        <f t="shared" si="104"/>
        <v>born cross-eyed</v>
      </c>
      <c r="F3166" t="s">
        <v>5228</v>
      </c>
      <c r="G3166" t="str">
        <f>_xlfn.IFNA(VLOOKUP(F3166,songs!$B$1:$C$1539, 2, FALSE),"")</f>
        <v>Born Cross-Eyed</v>
      </c>
      <c r="H3166" t="s">
        <v>3105</v>
      </c>
    </row>
    <row r="3167" spans="1:8" x14ac:dyDescent="0.25">
      <c r="A3167">
        <v>3166</v>
      </c>
      <c r="B3167" t="s">
        <v>4025</v>
      </c>
      <c r="C3167" t="s">
        <v>98</v>
      </c>
      <c r="D3167" t="str">
        <f t="shared" si="105"/>
        <v/>
      </c>
      <c r="E3167" t="str">
        <f t="shared" si="104"/>
        <v>alligator</v>
      </c>
      <c r="F3167" t="s">
        <v>5072</v>
      </c>
      <c r="G3167" t="str">
        <f>_xlfn.IFNA(VLOOKUP(F3167,songs!$B$1:$C$1539, 2, FALSE),"")</f>
        <v>Alligator</v>
      </c>
      <c r="H3167" t="s">
        <v>98</v>
      </c>
    </row>
    <row r="3168" spans="1:8" x14ac:dyDescent="0.25">
      <c r="A3168">
        <v>3167</v>
      </c>
      <c r="B3168" t="s">
        <v>4026</v>
      </c>
      <c r="C3168" t="s">
        <v>3962</v>
      </c>
      <c r="D3168" t="str">
        <f t="shared" si="105"/>
        <v/>
      </c>
      <c r="E3168" t="str">
        <f t="shared" si="104"/>
        <v>caution (do not stop on tracks)</v>
      </c>
      <c r="F3168" t="s">
        <v>5300</v>
      </c>
      <c r="G3168" t="str">
        <f>_xlfn.IFNA(VLOOKUP(F3168,songs!$B$1:$C$1539, 2, FALSE),"")</f>
        <v>Caution (Do Not Stop On Tracks)</v>
      </c>
      <c r="H3168" t="s">
        <v>3962</v>
      </c>
    </row>
    <row r="3169" spans="1:8" x14ac:dyDescent="0.25">
      <c r="A3169">
        <v>3154</v>
      </c>
      <c r="B3169" t="s">
        <v>4012</v>
      </c>
      <c r="C3169" t="s">
        <v>4013</v>
      </c>
      <c r="D3169" t="str">
        <f t="shared" si="105"/>
        <v/>
      </c>
      <c r="E3169" t="str">
        <f t="shared" si="104"/>
        <v>the golden road (to ultimate devotion)</v>
      </c>
      <c r="F3169" t="s">
        <v>5800</v>
      </c>
      <c r="G3169" t="str">
        <f>_xlfn.IFNA(VLOOKUP(F3169,songs!$B$1:$C$1539, 2, FALSE),"")</f>
        <v>Golden Road To Unlimited Devotion</v>
      </c>
      <c r="H3169" t="s">
        <v>7867</v>
      </c>
    </row>
    <row r="3170" spans="1:8" x14ac:dyDescent="0.25">
      <c r="A3170">
        <v>3169</v>
      </c>
      <c r="B3170" t="s">
        <v>4028</v>
      </c>
      <c r="C3170" t="s">
        <v>556</v>
      </c>
      <c r="D3170" t="str">
        <f t="shared" si="105"/>
        <v/>
      </c>
      <c r="E3170" t="str">
        <f t="shared" si="104"/>
        <v>dupree's diamond blues</v>
      </c>
      <c r="F3170" t="s">
        <v>5573</v>
      </c>
      <c r="G3170" t="str">
        <f>_xlfn.IFNA(VLOOKUP(F3170,songs!$B$1:$C$1539, 2, FALSE),"")</f>
        <v>Dupree's Diamond Blues</v>
      </c>
      <c r="H3170" t="s">
        <v>556</v>
      </c>
    </row>
    <row r="3171" spans="1:8" x14ac:dyDescent="0.25">
      <c r="A3171">
        <v>3170</v>
      </c>
      <c r="B3171" t="s">
        <v>4029</v>
      </c>
      <c r="C3171" t="s">
        <v>3119</v>
      </c>
      <c r="D3171" t="str">
        <f t="shared" si="105"/>
        <v/>
      </c>
      <c r="E3171" t="str">
        <f t="shared" si="104"/>
        <v>rosemary</v>
      </c>
      <c r="F3171" t="s">
        <v>6890</v>
      </c>
      <c r="G3171" t="str">
        <f>_xlfn.IFNA(VLOOKUP(F3171,songs!$B$1:$C$1539, 2, FALSE),"")</f>
        <v>Rosemary</v>
      </c>
      <c r="H3171" t="s">
        <v>3119</v>
      </c>
    </row>
    <row r="3172" spans="1:8" x14ac:dyDescent="0.25">
      <c r="A3172">
        <v>3171</v>
      </c>
      <c r="B3172" t="s">
        <v>4030</v>
      </c>
      <c r="C3172" t="s">
        <v>828</v>
      </c>
      <c r="D3172" t="str">
        <f t="shared" si="105"/>
        <v/>
      </c>
      <c r="E3172" t="str">
        <f t="shared" si="104"/>
        <v>doin' that rag</v>
      </c>
      <c r="F3172" t="s">
        <v>5508</v>
      </c>
      <c r="G3172" t="str">
        <f>_xlfn.IFNA(VLOOKUP(F3172,songs!$B$1:$C$1539, 2, FALSE),"")</f>
        <v>Doin' That Rag</v>
      </c>
      <c r="H3172" t="s">
        <v>828</v>
      </c>
    </row>
    <row r="3173" spans="1:8" x14ac:dyDescent="0.25">
      <c r="A3173">
        <v>3172</v>
      </c>
      <c r="B3173" t="s">
        <v>4031</v>
      </c>
      <c r="C3173" t="s">
        <v>3122</v>
      </c>
      <c r="D3173" t="str">
        <f t="shared" si="105"/>
        <v/>
      </c>
      <c r="E3173" t="str">
        <f t="shared" si="104"/>
        <v>mountains of the moon</v>
      </c>
      <c r="F3173" t="s">
        <v>6568</v>
      </c>
      <c r="G3173" t="str">
        <f>_xlfn.IFNA(VLOOKUP(F3173,songs!$B$1:$C$1539, 2, FALSE),"")</f>
        <v>Mountains Of The Moon</v>
      </c>
      <c r="H3173" t="s">
        <v>3983</v>
      </c>
    </row>
    <row r="3174" spans="1:8" x14ac:dyDescent="0.25">
      <c r="A3174">
        <v>3173</v>
      </c>
      <c r="B3174" t="s">
        <v>4032</v>
      </c>
      <c r="C3174" t="s">
        <v>84</v>
      </c>
      <c r="D3174" t="str">
        <f t="shared" si="105"/>
        <v/>
      </c>
      <c r="E3174" t="str">
        <f t="shared" si="104"/>
        <v>china cat sunflower</v>
      </c>
      <c r="F3174" t="s">
        <v>5319</v>
      </c>
      <c r="G3174" t="str">
        <f>_xlfn.IFNA(VLOOKUP(F3174,songs!$B$1:$C$1539, 2, FALSE),"")</f>
        <v>China Cat Sunflower</v>
      </c>
      <c r="H3174" t="s">
        <v>84</v>
      </c>
    </row>
    <row r="3175" spans="1:8" x14ac:dyDescent="0.25">
      <c r="A3175">
        <v>3174</v>
      </c>
      <c r="B3175" t="s">
        <v>4033</v>
      </c>
      <c r="C3175" t="s">
        <v>3125</v>
      </c>
      <c r="D3175" t="str">
        <f t="shared" si="105"/>
        <v/>
      </c>
      <c r="E3175" t="str">
        <f t="shared" si="104"/>
        <v>what's become of the baby</v>
      </c>
      <c r="F3175" t="s">
        <v>7681</v>
      </c>
      <c r="G3175" t="str">
        <f>_xlfn.IFNA(VLOOKUP(F3175,songs!$B$1:$C$1539, 2, FALSE),"")</f>
        <v>What's Become Of The Baby</v>
      </c>
      <c r="H3175" t="s">
        <v>3986</v>
      </c>
    </row>
    <row r="3176" spans="1:8" x14ac:dyDescent="0.25">
      <c r="A3176">
        <v>3175</v>
      </c>
      <c r="B3176" t="s">
        <v>4034</v>
      </c>
      <c r="C3176" t="s">
        <v>239</v>
      </c>
      <c r="D3176" t="str">
        <f t="shared" si="105"/>
        <v/>
      </c>
      <c r="E3176" t="str">
        <f t="shared" si="104"/>
        <v>cosmic charlie</v>
      </c>
      <c r="F3176" t="s">
        <v>5373</v>
      </c>
      <c r="G3176" t="str">
        <f>_xlfn.IFNA(VLOOKUP(F3176,songs!$B$1:$C$1539, 2, FALSE),"")</f>
        <v>Cosmic Charlie</v>
      </c>
      <c r="H3176" t="s">
        <v>239</v>
      </c>
    </row>
    <row r="3177" spans="1:8" x14ac:dyDescent="0.25">
      <c r="A3177">
        <v>3176</v>
      </c>
      <c r="B3177" t="s">
        <v>4035</v>
      </c>
      <c r="C3177" t="s">
        <v>92</v>
      </c>
      <c r="D3177" t="str">
        <f t="shared" si="105"/>
        <v/>
      </c>
      <c r="E3177" t="str">
        <f t="shared" si="104"/>
        <v>dark star</v>
      </c>
      <c r="F3177" t="s">
        <v>5428</v>
      </c>
      <c r="G3177" t="str">
        <f>_xlfn.IFNA(VLOOKUP(F3177,songs!$B$1:$C$1539, 2, FALSE),"")</f>
        <v>Dark Star</v>
      </c>
      <c r="H3177" t="s">
        <v>92</v>
      </c>
    </row>
    <row r="3178" spans="1:8" x14ac:dyDescent="0.25">
      <c r="A3178">
        <v>3156</v>
      </c>
      <c r="B3178" t="s">
        <v>4015</v>
      </c>
      <c r="C3178" t="s">
        <v>713</v>
      </c>
      <c r="D3178" t="str">
        <f t="shared" si="105"/>
        <v/>
      </c>
      <c r="E3178" t="str">
        <f t="shared" si="104"/>
        <v>good morning little school girl</v>
      </c>
      <c r="F3178" t="s">
        <v>5811</v>
      </c>
      <c r="G3178" t="str">
        <f>_xlfn.IFNA(VLOOKUP(F3178,songs!$B$1:$C$1539, 2, FALSE),"")</f>
        <v>Good Morning Little Schoolgirl</v>
      </c>
      <c r="H3178" t="s">
        <v>7867</v>
      </c>
    </row>
    <row r="3179" spans="1:8" x14ac:dyDescent="0.25">
      <c r="A3179">
        <v>3178</v>
      </c>
      <c r="B3179" t="s">
        <v>4037</v>
      </c>
      <c r="C3179" t="s">
        <v>498</v>
      </c>
      <c r="D3179" t="str">
        <f t="shared" si="105"/>
        <v/>
      </c>
      <c r="E3179" t="str">
        <f t="shared" si="104"/>
        <v>the eleven</v>
      </c>
      <c r="F3179" t="s">
        <v>7280</v>
      </c>
      <c r="G3179" t="str">
        <f>_xlfn.IFNA(VLOOKUP(F3179,songs!$B$1:$C$1539, 2, FALSE),"")</f>
        <v>The Eleven</v>
      </c>
      <c r="H3179" t="s">
        <v>498</v>
      </c>
    </row>
    <row r="3180" spans="1:8" x14ac:dyDescent="0.25">
      <c r="A3180">
        <v>3161</v>
      </c>
      <c r="B3180" t="s">
        <v>4020</v>
      </c>
      <c r="C3180" t="s">
        <v>3077</v>
      </c>
      <c r="D3180" t="str">
        <f t="shared" si="105"/>
        <v/>
      </c>
      <c r="E3180" t="str">
        <f t="shared" si="104"/>
        <v>new, new minglewood blues</v>
      </c>
      <c r="F3180" t="s">
        <v>7869</v>
      </c>
      <c r="G3180" t="str">
        <f>_xlfn.IFNA(VLOOKUP(F3180,songs!$B$1:$C$1539, 2, FALSE),"")</f>
        <v>Minglewood Blues</v>
      </c>
      <c r="H3180" t="s">
        <v>7867</v>
      </c>
    </row>
    <row r="3181" spans="1:8" x14ac:dyDescent="0.25">
      <c r="A3181">
        <v>3180</v>
      </c>
      <c r="B3181" t="s">
        <v>4040</v>
      </c>
      <c r="C3181" t="s">
        <v>4041</v>
      </c>
      <c r="D3181" t="str">
        <f t="shared" si="105"/>
        <v/>
      </c>
      <c r="E3181" t="str">
        <f t="shared" si="104"/>
        <v>death don't have no mercy</v>
      </c>
      <c r="F3181" t="s">
        <v>5468</v>
      </c>
      <c r="G3181" t="str">
        <f>_xlfn.IFNA(VLOOKUP(F3181,songs!$B$1:$C$1539, 2, FALSE),"")</f>
        <v>Death Don't Have No Mercy</v>
      </c>
      <c r="H3181" t="s">
        <v>4041</v>
      </c>
    </row>
    <row r="3182" spans="1:8" x14ac:dyDescent="0.25">
      <c r="A3182">
        <v>3181</v>
      </c>
      <c r="B3182" t="s">
        <v>4042</v>
      </c>
      <c r="C3182" t="s">
        <v>109</v>
      </c>
      <c r="D3182" t="str">
        <f t="shared" si="105"/>
        <v/>
      </c>
      <c r="E3182" t="str">
        <f t="shared" si="104"/>
        <v>feedback</v>
      </c>
      <c r="F3182" t="s">
        <v>5657</v>
      </c>
      <c r="G3182" t="str">
        <f>_xlfn.IFNA(VLOOKUP(F3182,songs!$B$1:$C$1539, 2, FALSE),"")</f>
        <v>Feedback</v>
      </c>
      <c r="H3182" t="s">
        <v>109</v>
      </c>
    </row>
    <row r="3183" spans="1:8" x14ac:dyDescent="0.25">
      <c r="A3183">
        <v>3163</v>
      </c>
      <c r="B3183" t="s">
        <v>4022</v>
      </c>
      <c r="C3183" t="s">
        <v>2047</v>
      </c>
      <c r="D3183" t="str">
        <f t="shared" si="105"/>
        <v/>
      </c>
      <c r="E3183" t="str">
        <f t="shared" si="104"/>
        <v>that's it for the other one</v>
      </c>
      <c r="F3183" t="s">
        <v>7325</v>
      </c>
      <c r="G3183" t="str">
        <f>_xlfn.IFNA(VLOOKUP(F3183,songs!$B$1:$C$1539, 2, FALSE),"")</f>
        <v>The Other One</v>
      </c>
      <c r="H3183" t="s">
        <v>7867</v>
      </c>
    </row>
    <row r="3184" spans="1:8" x14ac:dyDescent="0.25">
      <c r="A3184">
        <v>3168</v>
      </c>
      <c r="B3184" t="s">
        <v>4027</v>
      </c>
      <c r="C3184" t="s">
        <v>32</v>
      </c>
      <c r="D3184" t="str">
        <f t="shared" si="105"/>
        <v/>
      </c>
      <c r="E3184" t="str">
        <f t="shared" si="104"/>
        <v>st. stephen</v>
      </c>
      <c r="F3184" t="s">
        <v>6910</v>
      </c>
      <c r="G3184" t="str">
        <f>_xlfn.IFNA(VLOOKUP(F3184,songs!$B$1:$C$1539, 2, FALSE),"")</f>
        <v>Saint Stephen</v>
      </c>
      <c r="H3184" t="s">
        <v>7867</v>
      </c>
    </row>
    <row r="3185" spans="1:8" x14ac:dyDescent="0.25">
      <c r="A3185">
        <v>3177</v>
      </c>
      <c r="B3185" t="s">
        <v>4036</v>
      </c>
      <c r="C3185" t="s">
        <v>32</v>
      </c>
      <c r="D3185" t="str">
        <f t="shared" si="105"/>
        <v/>
      </c>
      <c r="E3185" t="str">
        <f t="shared" si="104"/>
        <v>st. stephen</v>
      </c>
      <c r="F3185" t="s">
        <v>6910</v>
      </c>
      <c r="G3185" t="str">
        <f>_xlfn.IFNA(VLOOKUP(F3185,songs!$B$1:$C$1539, 2, FALSE),"")</f>
        <v>Saint Stephen</v>
      </c>
      <c r="H3185" t="s">
        <v>7867</v>
      </c>
    </row>
    <row r="3186" spans="1:8" x14ac:dyDescent="0.25">
      <c r="A3186">
        <v>3185</v>
      </c>
      <c r="B3186" t="s">
        <v>4048</v>
      </c>
      <c r="C3186" t="s">
        <v>915</v>
      </c>
      <c r="D3186" t="str">
        <f t="shared" si="105"/>
        <v/>
      </c>
      <c r="E3186" t="str">
        <f t="shared" si="104"/>
        <v>box of rain</v>
      </c>
      <c r="F3186" t="s">
        <v>5237</v>
      </c>
      <c r="G3186" t="str">
        <f>_xlfn.IFNA(VLOOKUP(F3186,songs!$B$1:$C$1539, 2, FALSE),"")</f>
        <v>Box Of Rain</v>
      </c>
      <c r="H3186" t="s">
        <v>915</v>
      </c>
    </row>
    <row r="3187" spans="1:8" x14ac:dyDescent="0.25">
      <c r="A3187">
        <v>3186</v>
      </c>
      <c r="B3187" t="s">
        <v>4049</v>
      </c>
      <c r="C3187" t="s">
        <v>464</v>
      </c>
      <c r="D3187" t="str">
        <f t="shared" si="105"/>
        <v/>
      </c>
      <c r="E3187" t="str">
        <f t="shared" si="104"/>
        <v>friend of the devil</v>
      </c>
      <c r="F3187" t="s">
        <v>5721</v>
      </c>
      <c r="G3187" t="str">
        <f>_xlfn.IFNA(VLOOKUP(F3187,songs!$B$1:$C$1539, 2, FALSE),"")</f>
        <v>Friend Of The Devil</v>
      </c>
      <c r="H3187" t="s">
        <v>464</v>
      </c>
    </row>
    <row r="3188" spans="1:8" x14ac:dyDescent="0.25">
      <c r="A3188">
        <v>3187</v>
      </c>
      <c r="B3188" t="s">
        <v>4050</v>
      </c>
      <c r="C3188" t="s">
        <v>30</v>
      </c>
      <c r="D3188" t="str">
        <f t="shared" si="105"/>
        <v/>
      </c>
      <c r="E3188" t="str">
        <f t="shared" si="104"/>
        <v>sugar magnolia</v>
      </c>
      <c r="F3188" t="s">
        <v>7150</v>
      </c>
      <c r="G3188" t="str">
        <f>_xlfn.IFNA(VLOOKUP(F3188,songs!$B$1:$C$1539, 2, FALSE),"")</f>
        <v>Sugar Magnolia</v>
      </c>
      <c r="H3188" t="s">
        <v>30</v>
      </c>
    </row>
    <row r="3189" spans="1:8" x14ac:dyDescent="0.25">
      <c r="A3189">
        <v>3188</v>
      </c>
      <c r="B3189" t="s">
        <v>4051</v>
      </c>
      <c r="C3189" t="s">
        <v>3163</v>
      </c>
      <c r="D3189" t="str">
        <f t="shared" si="105"/>
        <v/>
      </c>
      <c r="E3189" t="str">
        <f t="shared" si="104"/>
        <v>operator</v>
      </c>
      <c r="F3189" t="s">
        <v>6713</v>
      </c>
      <c r="G3189" t="str">
        <f>_xlfn.IFNA(VLOOKUP(F3189,songs!$B$1:$C$1539, 2, FALSE),"")</f>
        <v>Operator</v>
      </c>
      <c r="H3189" t="s">
        <v>3163</v>
      </c>
    </row>
    <row r="3190" spans="1:8" x14ac:dyDescent="0.25">
      <c r="A3190">
        <v>3189</v>
      </c>
      <c r="B3190" t="s">
        <v>4052</v>
      </c>
      <c r="C3190" t="s">
        <v>641</v>
      </c>
      <c r="D3190" t="str">
        <f t="shared" si="105"/>
        <v/>
      </c>
      <c r="E3190" t="str">
        <f t="shared" si="104"/>
        <v>candyman</v>
      </c>
      <c r="F3190" t="s">
        <v>5278</v>
      </c>
      <c r="G3190" t="str">
        <f>_xlfn.IFNA(VLOOKUP(F3190,songs!$B$1:$C$1539, 2, FALSE),"")</f>
        <v>Candyman</v>
      </c>
      <c r="H3190" t="s">
        <v>641</v>
      </c>
    </row>
    <row r="3191" spans="1:8" x14ac:dyDescent="0.25">
      <c r="A3191">
        <v>3190</v>
      </c>
      <c r="B3191" t="s">
        <v>4053</v>
      </c>
      <c r="C3191" t="s">
        <v>3166</v>
      </c>
      <c r="D3191" t="str">
        <f t="shared" si="105"/>
        <v/>
      </c>
      <c r="E3191" t="str">
        <f t="shared" si="104"/>
        <v>ripple</v>
      </c>
      <c r="F3191" t="s">
        <v>6864</v>
      </c>
      <c r="G3191" t="str">
        <f>_xlfn.IFNA(VLOOKUP(F3191,songs!$B$1:$C$1539, 2, FALSE),"")</f>
        <v>Ripple</v>
      </c>
      <c r="H3191" t="s">
        <v>3166</v>
      </c>
    </row>
    <row r="3192" spans="1:8" x14ac:dyDescent="0.25">
      <c r="A3192">
        <v>3191</v>
      </c>
      <c r="B3192" t="s">
        <v>4054</v>
      </c>
      <c r="C3192" t="s">
        <v>145</v>
      </c>
      <c r="D3192" t="str">
        <f t="shared" si="105"/>
        <v/>
      </c>
      <c r="E3192" t="str">
        <f t="shared" si="104"/>
        <v>brokedown palace</v>
      </c>
      <c r="F3192" t="s">
        <v>5250</v>
      </c>
      <c r="G3192" t="str">
        <f>_xlfn.IFNA(VLOOKUP(F3192,songs!$B$1:$C$1539, 2, FALSE),"")</f>
        <v>Brokedown Palace</v>
      </c>
      <c r="H3192" t="s">
        <v>145</v>
      </c>
    </row>
    <row r="3193" spans="1:8" x14ac:dyDescent="0.25">
      <c r="A3193">
        <v>3192</v>
      </c>
      <c r="B3193" t="s">
        <v>4055</v>
      </c>
      <c r="C3193" t="s">
        <v>3169</v>
      </c>
      <c r="D3193" t="str">
        <f t="shared" si="105"/>
        <v/>
      </c>
      <c r="E3193" t="str">
        <f t="shared" si="104"/>
        <v>till the morning comes</v>
      </c>
      <c r="F3193" t="s">
        <v>7392</v>
      </c>
      <c r="G3193" t="str">
        <f>_xlfn.IFNA(VLOOKUP(F3193,songs!$B$1:$C$1539, 2, FALSE),"")</f>
        <v>Till The Morning Comes</v>
      </c>
      <c r="H3193" t="s">
        <v>3169</v>
      </c>
    </row>
    <row r="3194" spans="1:8" x14ac:dyDescent="0.25">
      <c r="A3194">
        <v>3193</v>
      </c>
      <c r="B3194" t="s">
        <v>4056</v>
      </c>
      <c r="C3194" t="s">
        <v>2859</v>
      </c>
      <c r="D3194" t="str">
        <f t="shared" si="105"/>
        <v/>
      </c>
      <c r="E3194" t="str">
        <f t="shared" si="104"/>
        <v>attics of my life</v>
      </c>
      <c r="F3194" t="s">
        <v>5108</v>
      </c>
      <c r="G3194" t="str">
        <f>_xlfn.IFNA(VLOOKUP(F3194,songs!$B$1:$C$1539, 2, FALSE),"")</f>
        <v>Attics Of My Life</v>
      </c>
      <c r="H3194" t="s">
        <v>2859</v>
      </c>
    </row>
    <row r="3195" spans="1:8" x14ac:dyDescent="0.25">
      <c r="A3195">
        <v>3179</v>
      </c>
      <c r="B3195" t="s">
        <v>4038</v>
      </c>
      <c r="C3195" t="s">
        <v>4039</v>
      </c>
      <c r="D3195" t="str">
        <f t="shared" si="105"/>
        <v/>
      </c>
      <c r="E3195" t="str">
        <f t="shared" si="104"/>
        <v>turn on your love light</v>
      </c>
      <c r="F3195" t="s">
        <v>7447</v>
      </c>
      <c r="G3195" t="str">
        <f>_xlfn.IFNA(VLOOKUP(F3195,songs!$B$1:$C$1539, 2, FALSE),"")</f>
        <v>Turn On Your Lovelight</v>
      </c>
      <c r="H3195" t="s">
        <v>7867</v>
      </c>
    </row>
    <row r="3196" spans="1:8" x14ac:dyDescent="0.25">
      <c r="A3196">
        <v>3195</v>
      </c>
      <c r="B3196" t="s">
        <v>4058</v>
      </c>
      <c r="C3196" t="s">
        <v>133</v>
      </c>
      <c r="D3196" t="str">
        <f t="shared" si="105"/>
        <v/>
      </c>
      <c r="E3196" t="str">
        <f t="shared" si="104"/>
        <v>uncle john's band</v>
      </c>
      <c r="F3196" t="s">
        <v>7466</v>
      </c>
      <c r="G3196" t="str">
        <f>_xlfn.IFNA(VLOOKUP(F3196,songs!$B$1:$C$1539, 2, FALSE),"")</f>
        <v>Uncle John's Band</v>
      </c>
      <c r="H3196" t="s">
        <v>133</v>
      </c>
    </row>
    <row r="3197" spans="1:8" x14ac:dyDescent="0.25">
      <c r="A3197">
        <v>3196</v>
      </c>
      <c r="B3197" t="s">
        <v>4059</v>
      </c>
      <c r="C3197" t="s">
        <v>88</v>
      </c>
      <c r="D3197" t="str">
        <f t="shared" si="105"/>
        <v/>
      </c>
      <c r="E3197" t="str">
        <f t="shared" si="104"/>
        <v>high time</v>
      </c>
      <c r="F3197" t="s">
        <v>5920</v>
      </c>
      <c r="G3197" t="str">
        <f>_xlfn.IFNA(VLOOKUP(F3197,songs!$B$1:$C$1539, 2, FALSE),"")</f>
        <v>High Time</v>
      </c>
      <c r="H3197" t="s">
        <v>88</v>
      </c>
    </row>
    <row r="3198" spans="1:8" x14ac:dyDescent="0.25">
      <c r="A3198">
        <v>3197</v>
      </c>
      <c r="B3198" t="s">
        <v>4060</v>
      </c>
      <c r="C3198" t="s">
        <v>90</v>
      </c>
      <c r="D3198" t="str">
        <f t="shared" si="105"/>
        <v/>
      </c>
      <c r="E3198" t="str">
        <f t="shared" si="104"/>
        <v>dire wolf</v>
      </c>
      <c r="F3198" t="s">
        <v>5497</v>
      </c>
      <c r="G3198" t="str">
        <f>_xlfn.IFNA(VLOOKUP(F3198,songs!$B$1:$C$1539, 2, FALSE),"")</f>
        <v>Dire Wolf</v>
      </c>
      <c r="H3198" t="s">
        <v>90</v>
      </c>
    </row>
    <row r="3199" spans="1:8" x14ac:dyDescent="0.25">
      <c r="A3199">
        <v>3198</v>
      </c>
      <c r="B3199" t="s">
        <v>4061</v>
      </c>
      <c r="C3199" t="s">
        <v>1435</v>
      </c>
      <c r="D3199" t="str">
        <f t="shared" si="105"/>
        <v/>
      </c>
      <c r="E3199" t="str">
        <f t="shared" si="104"/>
        <v>new speedway boogie</v>
      </c>
      <c r="F3199" t="s">
        <v>6624</v>
      </c>
      <c r="G3199" t="str">
        <f>_xlfn.IFNA(VLOOKUP(F3199,songs!$B$1:$C$1539, 2, FALSE),"")</f>
        <v>New Speedway Boogie</v>
      </c>
      <c r="H3199" t="s">
        <v>1435</v>
      </c>
    </row>
    <row r="3200" spans="1:8" x14ac:dyDescent="0.25">
      <c r="A3200">
        <v>3199</v>
      </c>
      <c r="B3200" t="s">
        <v>4062</v>
      </c>
      <c r="C3200" t="s">
        <v>225</v>
      </c>
      <c r="D3200" t="str">
        <f t="shared" si="105"/>
        <v/>
      </c>
      <c r="E3200" t="str">
        <f t="shared" si="104"/>
        <v>cumberland blues</v>
      </c>
      <c r="F3200" t="s">
        <v>5411</v>
      </c>
      <c r="G3200" t="str">
        <f>_xlfn.IFNA(VLOOKUP(F3200,songs!$B$1:$C$1539, 2, FALSE),"")</f>
        <v>Cumberland Blues</v>
      </c>
      <c r="H3200" t="s">
        <v>225</v>
      </c>
    </row>
    <row r="3201" spans="1:8" x14ac:dyDescent="0.25">
      <c r="A3201">
        <v>3200</v>
      </c>
      <c r="B3201" t="s">
        <v>4063</v>
      </c>
      <c r="C3201" t="s">
        <v>221</v>
      </c>
      <c r="D3201" t="str">
        <f t="shared" si="105"/>
        <v/>
      </c>
      <c r="E3201" t="str">
        <f t="shared" si="104"/>
        <v>black peter</v>
      </c>
      <c r="F3201" t="s">
        <v>5190</v>
      </c>
      <c r="G3201" t="str">
        <f>_xlfn.IFNA(VLOOKUP(F3201,songs!$B$1:$C$1539, 2, FALSE),"")</f>
        <v>Black Peter</v>
      </c>
      <c r="H3201" t="s">
        <v>221</v>
      </c>
    </row>
    <row r="3202" spans="1:8" x14ac:dyDescent="0.25">
      <c r="A3202">
        <v>3201</v>
      </c>
      <c r="B3202" t="s">
        <v>4064</v>
      </c>
      <c r="C3202" t="s">
        <v>483</v>
      </c>
      <c r="D3202" t="str">
        <f t="shared" si="105"/>
        <v/>
      </c>
      <c r="E3202" t="str">
        <f t="shared" si="104"/>
        <v>easy wind</v>
      </c>
      <c r="F3202" t="s">
        <v>5587</v>
      </c>
      <c r="G3202" t="str">
        <f>_xlfn.IFNA(VLOOKUP(F3202,songs!$B$1:$C$1539, 2, FALSE),"")</f>
        <v>Easy Wind</v>
      </c>
      <c r="H3202" t="s">
        <v>483</v>
      </c>
    </row>
    <row r="3203" spans="1:8" x14ac:dyDescent="0.25">
      <c r="A3203">
        <v>3202</v>
      </c>
      <c r="B3203" t="s">
        <v>4065</v>
      </c>
      <c r="C3203" t="s">
        <v>81</v>
      </c>
      <c r="D3203" t="str">
        <f t="shared" si="105"/>
        <v/>
      </c>
      <c r="E3203" t="str">
        <f t="shared" si="104"/>
        <v>casey jones</v>
      </c>
      <c r="F3203" t="s">
        <v>5290</v>
      </c>
      <c r="G3203" t="str">
        <f>_xlfn.IFNA(VLOOKUP(F3203,songs!$B$1:$C$1539, 2, FALSE),"")</f>
        <v>Casey Jones</v>
      </c>
      <c r="H3203" t="s">
        <v>81</v>
      </c>
    </row>
    <row r="3204" spans="1:8" x14ac:dyDescent="0.25">
      <c r="A3204">
        <v>3203</v>
      </c>
      <c r="B3204" t="s">
        <v>4066</v>
      </c>
      <c r="C3204" t="s">
        <v>298</v>
      </c>
      <c r="D3204" t="str">
        <f t="shared" si="105"/>
        <v/>
      </c>
      <c r="E3204" t="str">
        <f t="shared" ref="E3204:E3267" si="106">LOWER(TRIM(SUBSTITUTE(IF(RIGHT(TRIM(C3204),2)="-&gt;",LEFT(TRIM(C3204),LEN(TRIM(C3204))-2),IF(RIGHT(TRIM(C3204),1)="&gt;",LEFT(TRIM(C3204),LEN(TRIM(C3204))-1),C3204)),"//","")))</f>
        <v>bertha</v>
      </c>
      <c r="F3204" t="s">
        <v>5158</v>
      </c>
      <c r="G3204" t="str">
        <f>_xlfn.IFNA(VLOOKUP(F3204,songs!$B$1:$C$1539, 2, FALSE),"")</f>
        <v>Bertha</v>
      </c>
      <c r="H3204" t="s">
        <v>298</v>
      </c>
    </row>
    <row r="3205" spans="1:8" x14ac:dyDescent="0.25">
      <c r="A3205">
        <v>3204</v>
      </c>
      <c r="B3205" t="s">
        <v>4067</v>
      </c>
      <c r="C3205" t="s">
        <v>158</v>
      </c>
      <c r="D3205" t="str">
        <f t="shared" si="105"/>
        <v/>
      </c>
      <c r="E3205" t="str">
        <f t="shared" si="106"/>
        <v>mama tried</v>
      </c>
      <c r="F3205" t="s">
        <v>6454</v>
      </c>
      <c r="G3205" t="str">
        <f>_xlfn.IFNA(VLOOKUP(F3205,songs!$B$1:$C$1539, 2, FALSE),"")</f>
        <v>Mama Tried</v>
      </c>
      <c r="H3205" t="s">
        <v>158</v>
      </c>
    </row>
    <row r="3206" spans="1:8" x14ac:dyDescent="0.25">
      <c r="A3206">
        <v>3205</v>
      </c>
      <c r="B3206" t="s">
        <v>4068</v>
      </c>
      <c r="C3206" t="s">
        <v>9</v>
      </c>
      <c r="D3206" t="str">
        <f t="shared" si="105"/>
        <v/>
      </c>
      <c r="E3206" t="str">
        <f t="shared" si="106"/>
        <v>big railroad blues</v>
      </c>
      <c r="F3206" t="s">
        <v>5174</v>
      </c>
      <c r="G3206" t="str">
        <f>_xlfn.IFNA(VLOOKUP(F3206,songs!$B$1:$C$1539, 2, FALSE),"")</f>
        <v>Big Railroad Blues</v>
      </c>
      <c r="H3206" t="s">
        <v>9</v>
      </c>
    </row>
    <row r="3207" spans="1:8" x14ac:dyDescent="0.25">
      <c r="A3207">
        <v>3206</v>
      </c>
      <c r="B3207" t="s">
        <v>4069</v>
      </c>
      <c r="C3207" t="s">
        <v>11</v>
      </c>
      <c r="D3207" t="str">
        <f t="shared" si="105"/>
        <v/>
      </c>
      <c r="E3207" t="str">
        <f t="shared" si="106"/>
        <v>playing in the band</v>
      </c>
      <c r="F3207" t="s">
        <v>6769</v>
      </c>
      <c r="G3207" t="str">
        <f>_xlfn.IFNA(VLOOKUP(F3207,songs!$B$1:$C$1539, 2, FALSE),"")</f>
        <v>Playing In The Band</v>
      </c>
      <c r="H3207" t="s">
        <v>419</v>
      </c>
    </row>
    <row r="3208" spans="1:8" x14ac:dyDescent="0.25">
      <c r="A3208">
        <v>3207</v>
      </c>
      <c r="B3208" t="s">
        <v>4070</v>
      </c>
      <c r="C3208" t="s">
        <v>139</v>
      </c>
      <c r="D3208" t="str">
        <f t="shared" si="105"/>
        <v/>
      </c>
      <c r="E3208" t="str">
        <f t="shared" si="106"/>
        <v>the other one</v>
      </c>
      <c r="F3208" t="s">
        <v>7325</v>
      </c>
      <c r="G3208" t="str">
        <f>_xlfn.IFNA(VLOOKUP(F3208,songs!$B$1:$C$1539, 2, FALSE),"")</f>
        <v>The Other One</v>
      </c>
      <c r="H3208" t="s">
        <v>139</v>
      </c>
    </row>
    <row r="3209" spans="1:8" x14ac:dyDescent="0.25">
      <c r="A3209">
        <v>3182</v>
      </c>
      <c r="B3209" t="s">
        <v>4043</v>
      </c>
      <c r="C3209" t="s">
        <v>1452</v>
      </c>
      <c r="D3209" t="str">
        <f t="shared" ref="D3209:D3272" si="107">IF(RIGHT(TRIM(C3209),2)="-&gt;","&gt;",IF(RIGHT(TRIM(C3209),1)="&gt;","&gt;",""))</f>
        <v/>
      </c>
      <c r="E3209" t="str">
        <f t="shared" si="106"/>
        <v>and we bid you goodnight</v>
      </c>
      <c r="F3209" t="s">
        <v>5082</v>
      </c>
      <c r="G3209" t="str">
        <f>_xlfn.IFNA(VLOOKUP(F3209,songs!$B$1:$C$1539, 2, FALSE),"")</f>
        <v>And We Bid You Good Night</v>
      </c>
      <c r="H3209" t="s">
        <v>7867</v>
      </c>
    </row>
    <row r="3210" spans="1:8" x14ac:dyDescent="0.25">
      <c r="A3210">
        <v>3209</v>
      </c>
      <c r="B3210" t="s">
        <v>4072</v>
      </c>
      <c r="C3210" t="s">
        <v>1196</v>
      </c>
      <c r="D3210" t="str">
        <f t="shared" si="107"/>
        <v/>
      </c>
      <c r="E3210" t="str">
        <f t="shared" si="106"/>
        <v>big boss man</v>
      </c>
      <c r="F3210" t="s">
        <v>5163</v>
      </c>
      <c r="G3210" t="str">
        <f>_xlfn.IFNA(VLOOKUP(F3210,songs!$B$1:$C$1539, 2, FALSE),"")</f>
        <v>Big Boss Man</v>
      </c>
      <c r="H3210" t="s">
        <v>1196</v>
      </c>
    </row>
    <row r="3211" spans="1:8" x14ac:dyDescent="0.25">
      <c r="A3211">
        <v>3183</v>
      </c>
      <c r="B3211" t="s">
        <v>4044</v>
      </c>
      <c r="C3211" t="s">
        <v>4045</v>
      </c>
      <c r="D3211" t="str">
        <f t="shared" si="107"/>
        <v/>
      </c>
      <c r="E3211" t="str">
        <f t="shared" si="106"/>
        <v>dark star (studio)</v>
      </c>
      <c r="F3211" t="s">
        <v>5428</v>
      </c>
      <c r="G3211" t="str">
        <f>_xlfn.IFNA(VLOOKUP(F3211,songs!$B$1:$C$1539, 2, FALSE),"")</f>
        <v>Dark Star</v>
      </c>
      <c r="H3211" t="s">
        <v>7867</v>
      </c>
    </row>
    <row r="3212" spans="1:8" x14ac:dyDescent="0.25">
      <c r="A3212">
        <v>3211</v>
      </c>
      <c r="B3212" t="s">
        <v>4074</v>
      </c>
      <c r="C3212" t="s">
        <v>148</v>
      </c>
      <c r="D3212" t="str">
        <f t="shared" si="107"/>
        <v/>
      </c>
      <c r="E3212" t="str">
        <f t="shared" si="106"/>
        <v>johnny b. goode</v>
      </c>
      <c r="F3212" t="s">
        <v>6192</v>
      </c>
      <c r="G3212" t="str">
        <f>_xlfn.IFNA(VLOOKUP(F3212,songs!$B$1:$C$1539, 2, FALSE),"")</f>
        <v>Johnny B. Goode</v>
      </c>
      <c r="H3212" t="s">
        <v>148</v>
      </c>
    </row>
    <row r="3213" spans="1:8" x14ac:dyDescent="0.25">
      <c r="A3213">
        <v>3212</v>
      </c>
      <c r="B3213" t="s">
        <v>4075</v>
      </c>
      <c r="C3213" t="s">
        <v>73</v>
      </c>
      <c r="D3213" t="str">
        <f t="shared" si="107"/>
        <v/>
      </c>
      <c r="E3213" t="str">
        <f t="shared" si="106"/>
        <v>wharf rat</v>
      </c>
      <c r="F3213" t="s">
        <v>7664</v>
      </c>
      <c r="G3213" t="str">
        <f>_xlfn.IFNA(VLOOKUP(F3213,songs!$B$1:$C$1539, 2, FALSE),"")</f>
        <v>Wharf Rat</v>
      </c>
      <c r="H3213" t="s">
        <v>73</v>
      </c>
    </row>
    <row r="3214" spans="1:8" x14ac:dyDescent="0.25">
      <c r="A3214">
        <v>3194</v>
      </c>
      <c r="B3214" t="s">
        <v>4057</v>
      </c>
      <c r="C3214" t="s">
        <v>1925</v>
      </c>
      <c r="D3214" t="str">
        <f t="shared" si="107"/>
        <v/>
      </c>
      <c r="E3214" t="str">
        <f t="shared" si="106"/>
        <v>truckin</v>
      </c>
      <c r="F3214" t="s">
        <v>7436</v>
      </c>
      <c r="G3214" t="str">
        <f>_xlfn.IFNA(VLOOKUP(F3214,songs!$B$1:$C$1539, 2, FALSE),"")</f>
        <v>Truckin'</v>
      </c>
      <c r="H3214" t="s">
        <v>7867</v>
      </c>
    </row>
    <row r="3215" spans="1:8" x14ac:dyDescent="0.25">
      <c r="A3215">
        <v>3214</v>
      </c>
      <c r="B3215" t="s">
        <v>4078</v>
      </c>
      <c r="C3215" t="s">
        <v>225</v>
      </c>
      <c r="D3215" t="str">
        <f t="shared" si="107"/>
        <v/>
      </c>
      <c r="E3215" t="str">
        <f t="shared" si="106"/>
        <v>cumberland blues</v>
      </c>
      <c r="F3215" t="s">
        <v>5411</v>
      </c>
      <c r="G3215" t="str">
        <f>_xlfn.IFNA(VLOOKUP(F3215,songs!$B$1:$C$1539, 2, FALSE),"")</f>
        <v>Cumberland Blues</v>
      </c>
      <c r="H3215" t="s">
        <v>225</v>
      </c>
    </row>
    <row r="3216" spans="1:8" x14ac:dyDescent="0.25">
      <c r="A3216">
        <v>3215</v>
      </c>
      <c r="B3216" t="s">
        <v>4079</v>
      </c>
      <c r="C3216" t="s">
        <v>13</v>
      </c>
      <c r="D3216" t="str">
        <f t="shared" si="107"/>
        <v/>
      </c>
      <c r="E3216" t="str">
        <f t="shared" si="106"/>
        <v>he's gone</v>
      </c>
      <c r="F3216" t="s">
        <v>5903</v>
      </c>
      <c r="G3216" t="str">
        <f>_xlfn.IFNA(VLOOKUP(F3216,songs!$B$1:$C$1539, 2, FALSE),"")</f>
        <v>He's Gone</v>
      </c>
      <c r="H3216" t="s">
        <v>13</v>
      </c>
    </row>
    <row r="3217" spans="1:8" x14ac:dyDescent="0.25">
      <c r="A3217">
        <v>3216</v>
      </c>
      <c r="B3217" t="s">
        <v>4080</v>
      </c>
      <c r="C3217" t="s">
        <v>956</v>
      </c>
      <c r="D3217" t="str">
        <f t="shared" si="107"/>
        <v/>
      </c>
      <c r="E3217" t="str">
        <f t="shared" si="106"/>
        <v>one more saturday night</v>
      </c>
      <c r="F3217" t="s">
        <v>6702</v>
      </c>
      <c r="G3217" t="str">
        <f>_xlfn.IFNA(VLOOKUP(F3217,songs!$B$1:$C$1539, 2, FALSE),"")</f>
        <v>One More Saturday Night</v>
      </c>
      <c r="H3217" t="s">
        <v>956</v>
      </c>
    </row>
    <row r="3218" spans="1:8" x14ac:dyDescent="0.25">
      <c r="A3218">
        <v>3217</v>
      </c>
      <c r="B3218" t="s">
        <v>4081</v>
      </c>
      <c r="C3218" t="s">
        <v>199</v>
      </c>
      <c r="D3218" t="str">
        <f t="shared" si="107"/>
        <v/>
      </c>
      <c r="E3218" t="str">
        <f t="shared" si="106"/>
        <v>jack straw</v>
      </c>
      <c r="F3218" t="s">
        <v>6161</v>
      </c>
      <c r="G3218" t="str">
        <f>_xlfn.IFNA(VLOOKUP(F3218,songs!$B$1:$C$1539, 2, FALSE),"")</f>
        <v>Jack Straw</v>
      </c>
      <c r="H3218" t="s">
        <v>199</v>
      </c>
    </row>
    <row r="3219" spans="1:8" x14ac:dyDescent="0.25">
      <c r="A3219">
        <v>3218</v>
      </c>
      <c r="B3219" t="s">
        <v>4082</v>
      </c>
      <c r="C3219" t="s">
        <v>1011</v>
      </c>
      <c r="D3219" t="str">
        <f t="shared" si="107"/>
        <v/>
      </c>
      <c r="E3219" t="str">
        <f t="shared" si="106"/>
        <v>you win again</v>
      </c>
      <c r="F3219" t="s">
        <v>7793</v>
      </c>
      <c r="G3219" t="str">
        <f>_xlfn.IFNA(VLOOKUP(F3219,songs!$B$1:$C$1539, 2, FALSE),"")</f>
        <v>You Win Again</v>
      </c>
      <c r="H3219" t="s">
        <v>1011</v>
      </c>
    </row>
    <row r="3220" spans="1:8" x14ac:dyDescent="0.25">
      <c r="A3220">
        <v>3219</v>
      </c>
      <c r="B3220" t="s">
        <v>4083</v>
      </c>
      <c r="C3220" t="s">
        <v>84</v>
      </c>
      <c r="D3220" t="str">
        <f t="shared" si="107"/>
        <v/>
      </c>
      <c r="E3220" t="str">
        <f t="shared" si="106"/>
        <v>china cat sunflower</v>
      </c>
      <c r="F3220" t="s">
        <v>5319</v>
      </c>
      <c r="G3220" t="str">
        <f>_xlfn.IFNA(VLOOKUP(F3220,songs!$B$1:$C$1539, 2, FALSE),"")</f>
        <v>China Cat Sunflower</v>
      </c>
      <c r="H3220" t="s">
        <v>84</v>
      </c>
    </row>
    <row r="3221" spans="1:8" x14ac:dyDescent="0.25">
      <c r="A3221">
        <v>3220</v>
      </c>
      <c r="B3221" t="s">
        <v>4084</v>
      </c>
      <c r="C3221" t="s">
        <v>86</v>
      </c>
      <c r="D3221" t="str">
        <f t="shared" si="107"/>
        <v/>
      </c>
      <c r="E3221" t="str">
        <f t="shared" si="106"/>
        <v>i know you rider</v>
      </c>
      <c r="F3221" t="s">
        <v>6020</v>
      </c>
      <c r="G3221" t="str">
        <f>_xlfn.IFNA(VLOOKUP(F3221,songs!$B$1:$C$1539, 2, FALSE),"")</f>
        <v>I Know You Rider</v>
      </c>
      <c r="H3221" t="s">
        <v>86</v>
      </c>
    </row>
    <row r="3222" spans="1:8" x14ac:dyDescent="0.25">
      <c r="A3222">
        <v>3208</v>
      </c>
      <c r="B3222" t="s">
        <v>4071</v>
      </c>
      <c r="C3222" t="s">
        <v>102</v>
      </c>
      <c r="D3222" t="str">
        <f t="shared" si="107"/>
        <v/>
      </c>
      <c r="E3222" t="str">
        <f t="shared" si="106"/>
        <v>me &amp; my uncle</v>
      </c>
      <c r="F3222" t="s">
        <v>6486</v>
      </c>
      <c r="G3222" t="str">
        <f>_xlfn.IFNA(VLOOKUP(F3222,songs!$B$1:$C$1539, 2, FALSE),"")</f>
        <v>Me And My Uncle</v>
      </c>
      <c r="H3222" t="s">
        <v>7867</v>
      </c>
    </row>
    <row r="3223" spans="1:8" x14ac:dyDescent="0.25">
      <c r="A3223">
        <v>3222</v>
      </c>
      <c r="B3223" t="s">
        <v>4086</v>
      </c>
      <c r="C3223" t="s">
        <v>701</v>
      </c>
      <c r="D3223" t="str">
        <f t="shared" si="107"/>
        <v/>
      </c>
      <c r="E3223" t="str">
        <f t="shared" si="106"/>
        <v>hurts me too</v>
      </c>
      <c r="F3223" t="s">
        <v>5979</v>
      </c>
      <c r="G3223" t="str">
        <f>_xlfn.IFNA(VLOOKUP(F3223,songs!$B$1:$C$1539, 2, FALSE),"")</f>
        <v>Hurts Me Too</v>
      </c>
      <c r="H3223" t="s">
        <v>701</v>
      </c>
    </row>
    <row r="3224" spans="1:8" x14ac:dyDescent="0.25">
      <c r="A3224">
        <v>3223</v>
      </c>
      <c r="B3224" t="s">
        <v>4087</v>
      </c>
      <c r="C3224" t="s">
        <v>336</v>
      </c>
      <c r="D3224" t="str">
        <f t="shared" si="107"/>
        <v/>
      </c>
      <c r="E3224" t="str">
        <f t="shared" si="106"/>
        <v>ramble on rose</v>
      </c>
      <c r="F3224" t="s">
        <v>6827</v>
      </c>
      <c r="G3224" t="str">
        <f>_xlfn.IFNA(VLOOKUP(F3224,songs!$B$1:$C$1539, 2, FALSE),"")</f>
        <v>Ramble On Rose</v>
      </c>
      <c r="H3224" t="s">
        <v>436</v>
      </c>
    </row>
    <row r="3225" spans="1:8" x14ac:dyDescent="0.25">
      <c r="A3225">
        <v>3224</v>
      </c>
      <c r="B3225" t="s">
        <v>4088</v>
      </c>
      <c r="C3225" t="s">
        <v>30</v>
      </c>
      <c r="D3225" t="str">
        <f t="shared" si="107"/>
        <v/>
      </c>
      <c r="E3225" t="str">
        <f t="shared" si="106"/>
        <v>sugar magnolia</v>
      </c>
      <c r="F3225" t="s">
        <v>7150</v>
      </c>
      <c r="G3225" t="str">
        <f>_xlfn.IFNA(VLOOKUP(F3225,songs!$B$1:$C$1539, 2, FALSE),"")</f>
        <v>Sugar Magnolia</v>
      </c>
      <c r="H3225" t="s">
        <v>30</v>
      </c>
    </row>
    <row r="3226" spans="1:8" x14ac:dyDescent="0.25">
      <c r="A3226">
        <v>3225</v>
      </c>
      <c r="B3226" t="s">
        <v>4089</v>
      </c>
      <c r="C3226" t="s">
        <v>1013</v>
      </c>
      <c r="D3226" t="str">
        <f t="shared" si="107"/>
        <v/>
      </c>
      <c r="E3226" t="str">
        <f t="shared" si="106"/>
        <v>mr. charlie</v>
      </c>
      <c r="F3226" t="s">
        <v>6571</v>
      </c>
      <c r="G3226" t="str">
        <f>_xlfn.IFNA(VLOOKUP(F3226,songs!$B$1:$C$1539, 2, FALSE),"")</f>
        <v>Mr. Charlie</v>
      </c>
      <c r="H3226" t="s">
        <v>1013</v>
      </c>
    </row>
    <row r="3227" spans="1:8" x14ac:dyDescent="0.25">
      <c r="A3227">
        <v>3226</v>
      </c>
      <c r="B3227" t="s">
        <v>4090</v>
      </c>
      <c r="C3227" t="s">
        <v>164</v>
      </c>
      <c r="D3227" t="str">
        <f t="shared" si="107"/>
        <v/>
      </c>
      <c r="E3227" t="str">
        <f t="shared" si="106"/>
        <v>tennessee jed</v>
      </c>
      <c r="F3227" t="s">
        <v>7234</v>
      </c>
      <c r="G3227" t="str">
        <f>_xlfn.IFNA(VLOOKUP(F3227,songs!$B$1:$C$1539, 2, FALSE),"")</f>
        <v>Tennessee Jed</v>
      </c>
      <c r="H3227" t="s">
        <v>164</v>
      </c>
    </row>
    <row r="3228" spans="1:8" x14ac:dyDescent="0.25">
      <c r="A3228">
        <v>3210</v>
      </c>
      <c r="B3228" t="s">
        <v>4073</v>
      </c>
      <c r="C3228" t="s">
        <v>1051</v>
      </c>
      <c r="D3228" t="str">
        <f t="shared" si="107"/>
        <v/>
      </c>
      <c r="E3228" t="str">
        <f t="shared" si="106"/>
        <v>me &amp; bobby mcgee</v>
      </c>
      <c r="F3228" t="s">
        <v>6483</v>
      </c>
      <c r="G3228" t="str">
        <f>_xlfn.IFNA(VLOOKUP(F3228,songs!$B$1:$C$1539, 2, FALSE),"")</f>
        <v>Me And Bobby McGee</v>
      </c>
      <c r="H3228" t="s">
        <v>7867</v>
      </c>
    </row>
    <row r="3229" spans="1:8" x14ac:dyDescent="0.25">
      <c r="A3229">
        <v>3228</v>
      </c>
      <c r="B3229" t="s">
        <v>4092</v>
      </c>
      <c r="C3229" t="s">
        <v>30</v>
      </c>
      <c r="D3229" t="str">
        <f t="shared" si="107"/>
        <v/>
      </c>
      <c r="E3229" t="str">
        <f t="shared" si="106"/>
        <v>sugar magnolia</v>
      </c>
      <c r="F3229" t="s">
        <v>7150</v>
      </c>
      <c r="G3229" t="str">
        <f>_xlfn.IFNA(VLOOKUP(F3229,songs!$B$1:$C$1539, 2, FALSE),"")</f>
        <v>Sugar Magnolia</v>
      </c>
      <c r="H3229" t="s">
        <v>30</v>
      </c>
    </row>
    <row r="3230" spans="1:8" x14ac:dyDescent="0.25">
      <c r="A3230">
        <v>3229</v>
      </c>
      <c r="B3230" t="s">
        <v>4093</v>
      </c>
      <c r="C3230" t="s">
        <v>1013</v>
      </c>
      <c r="D3230" t="str">
        <f t="shared" si="107"/>
        <v/>
      </c>
      <c r="E3230" t="str">
        <f t="shared" si="106"/>
        <v>mr. charlie</v>
      </c>
      <c r="F3230" t="s">
        <v>6571</v>
      </c>
      <c r="G3230" t="str">
        <f>_xlfn.IFNA(VLOOKUP(F3230,songs!$B$1:$C$1539, 2, FALSE),"")</f>
        <v>Mr. Charlie</v>
      </c>
      <c r="H3230" t="s">
        <v>1013</v>
      </c>
    </row>
    <row r="3231" spans="1:8" x14ac:dyDescent="0.25">
      <c r="A3231">
        <v>3230</v>
      </c>
      <c r="B3231" t="s">
        <v>4094</v>
      </c>
      <c r="C3231" t="s">
        <v>164</v>
      </c>
      <c r="D3231" t="str">
        <f t="shared" si="107"/>
        <v/>
      </c>
      <c r="E3231" t="str">
        <f t="shared" si="106"/>
        <v>tennessee jed</v>
      </c>
      <c r="F3231" t="s">
        <v>7234</v>
      </c>
      <c r="G3231" t="str">
        <f>_xlfn.IFNA(VLOOKUP(F3231,songs!$B$1:$C$1539, 2, FALSE),"")</f>
        <v>Tennessee Jed</v>
      </c>
      <c r="H3231" t="s">
        <v>164</v>
      </c>
    </row>
    <row r="3232" spans="1:8" x14ac:dyDescent="0.25">
      <c r="A3232">
        <v>3231</v>
      </c>
      <c r="B3232" t="s">
        <v>4095</v>
      </c>
      <c r="C3232" t="s">
        <v>15</v>
      </c>
      <c r="D3232" t="str">
        <f t="shared" si="107"/>
        <v/>
      </c>
      <c r="E3232" t="str">
        <f t="shared" si="106"/>
        <v>truckin'</v>
      </c>
      <c r="F3232" t="s">
        <v>7436</v>
      </c>
      <c r="G3232" t="str">
        <f>_xlfn.IFNA(VLOOKUP(F3232,songs!$B$1:$C$1539, 2, FALSE),"")</f>
        <v>Truckin'</v>
      </c>
      <c r="H3232" t="s">
        <v>15</v>
      </c>
    </row>
    <row r="3233" spans="1:8" x14ac:dyDescent="0.25">
      <c r="A3233">
        <v>3213</v>
      </c>
      <c r="B3233" t="s">
        <v>4076</v>
      </c>
      <c r="C3233" t="s">
        <v>4077</v>
      </c>
      <c r="D3233" t="str">
        <f t="shared" si="107"/>
        <v/>
      </c>
      <c r="E3233" t="str">
        <f t="shared" si="106"/>
        <v>not fade away-goin' down the road feeling bad</v>
      </c>
      <c r="F3233" t="s">
        <v>7857</v>
      </c>
      <c r="G3233" t="s">
        <v>7881</v>
      </c>
      <c r="H3233" t="s">
        <v>7867</v>
      </c>
    </row>
    <row r="3234" spans="1:8" x14ac:dyDescent="0.25">
      <c r="A3234">
        <v>3221</v>
      </c>
      <c r="B3234" t="s">
        <v>4085</v>
      </c>
      <c r="C3234" t="s">
        <v>120</v>
      </c>
      <c r="D3234" t="str">
        <f t="shared" si="107"/>
        <v/>
      </c>
      <c r="E3234" t="str">
        <f t="shared" si="106"/>
        <v>brown-eyed woman</v>
      </c>
      <c r="F3234" t="s">
        <v>5255</v>
      </c>
      <c r="G3234" t="str">
        <f>_xlfn.IFNA(VLOOKUP(F3234,songs!$B$1:$C$1539, 2, FALSE),"")</f>
        <v>Brown Eyed Women</v>
      </c>
      <c r="H3234" t="s">
        <v>7867</v>
      </c>
    </row>
    <row r="3235" spans="1:8" x14ac:dyDescent="0.25">
      <c r="A3235">
        <v>3227</v>
      </c>
      <c r="B3235" t="s">
        <v>4091</v>
      </c>
      <c r="C3235" t="s">
        <v>3667</v>
      </c>
      <c r="D3235" t="str">
        <f t="shared" si="107"/>
        <v/>
      </c>
      <c r="E3235" t="str">
        <f t="shared" si="106"/>
        <v>the stranger (two souls in communion)</v>
      </c>
      <c r="F3235" t="s">
        <v>7460</v>
      </c>
      <c r="G3235" t="str">
        <f>_xlfn.IFNA(VLOOKUP(F3235,songs!$B$1:$C$1539, 2, FALSE),"")</f>
        <v>Two Souls In Communion</v>
      </c>
      <c r="H3235" t="s">
        <v>7867</v>
      </c>
    </row>
    <row r="3236" spans="1:8" x14ac:dyDescent="0.25">
      <c r="A3236">
        <v>3235</v>
      </c>
      <c r="B3236" t="s">
        <v>4100</v>
      </c>
      <c r="C3236" t="s">
        <v>298</v>
      </c>
      <c r="D3236" t="str">
        <f t="shared" si="107"/>
        <v/>
      </c>
      <c r="E3236" t="str">
        <f t="shared" si="106"/>
        <v>bertha</v>
      </c>
      <c r="F3236" t="s">
        <v>5158</v>
      </c>
      <c r="G3236" t="str">
        <f>_xlfn.IFNA(VLOOKUP(F3236,songs!$B$1:$C$1539, 2, FALSE),"")</f>
        <v>Bertha</v>
      </c>
      <c r="H3236" t="s">
        <v>298</v>
      </c>
    </row>
    <row r="3237" spans="1:8" x14ac:dyDescent="0.25">
      <c r="A3237">
        <v>3236</v>
      </c>
      <c r="B3237" t="s">
        <v>4101</v>
      </c>
      <c r="C3237" t="s">
        <v>595</v>
      </c>
      <c r="D3237" t="str">
        <f t="shared" si="107"/>
        <v/>
      </c>
      <c r="E3237" t="str">
        <f t="shared" si="106"/>
        <v>me and my uncle</v>
      </c>
      <c r="F3237" t="s">
        <v>6486</v>
      </c>
      <c r="G3237" t="str">
        <f>_xlfn.IFNA(VLOOKUP(F3237,songs!$B$1:$C$1539, 2, FALSE),"")</f>
        <v>Me And My Uncle</v>
      </c>
      <c r="H3237" t="s">
        <v>903</v>
      </c>
    </row>
    <row r="3238" spans="1:8" x14ac:dyDescent="0.25">
      <c r="A3238">
        <v>3237</v>
      </c>
      <c r="B3238" t="s">
        <v>4102</v>
      </c>
      <c r="C3238" t="s">
        <v>1008</v>
      </c>
      <c r="D3238" t="str">
        <f t="shared" si="107"/>
        <v/>
      </c>
      <c r="E3238" t="str">
        <f t="shared" si="106"/>
        <v>chinatown shuffle</v>
      </c>
      <c r="F3238" t="s">
        <v>5321</v>
      </c>
      <c r="G3238" t="str">
        <f>_xlfn.IFNA(VLOOKUP(F3238,songs!$B$1:$C$1539, 2, FALSE),"")</f>
        <v>Chinatown Shuffle</v>
      </c>
      <c r="H3238" t="s">
        <v>1008</v>
      </c>
    </row>
    <row r="3239" spans="1:8" x14ac:dyDescent="0.25">
      <c r="A3239">
        <v>3238</v>
      </c>
      <c r="B3239" t="s">
        <v>4103</v>
      </c>
      <c r="C3239" t="s">
        <v>51</v>
      </c>
      <c r="D3239" t="str">
        <f t="shared" si="107"/>
        <v/>
      </c>
      <c r="E3239" t="str">
        <f t="shared" si="106"/>
        <v>sugaree</v>
      </c>
      <c r="F3239" t="s">
        <v>7151</v>
      </c>
      <c r="G3239" t="str">
        <f>_xlfn.IFNA(VLOOKUP(F3239,songs!$B$1:$C$1539, 2, FALSE),"")</f>
        <v>Sugaree</v>
      </c>
      <c r="H3239" t="s">
        <v>51</v>
      </c>
    </row>
    <row r="3240" spans="1:8" x14ac:dyDescent="0.25">
      <c r="A3240">
        <v>3239</v>
      </c>
      <c r="B3240" t="s">
        <v>4104</v>
      </c>
      <c r="C3240" t="s">
        <v>1594</v>
      </c>
      <c r="D3240" t="str">
        <f t="shared" si="107"/>
        <v/>
      </c>
      <c r="E3240" t="str">
        <f t="shared" si="106"/>
        <v>beat it on down the line</v>
      </c>
      <c r="F3240" t="s">
        <v>5149</v>
      </c>
      <c r="G3240" t="str">
        <f>_xlfn.IFNA(VLOOKUP(F3240,songs!$B$1:$C$1539, 2, FALSE),"")</f>
        <v>Beat It On Down The Line</v>
      </c>
      <c r="H3240" t="s">
        <v>431</v>
      </c>
    </row>
    <row r="3241" spans="1:8" x14ac:dyDescent="0.25">
      <c r="A3241">
        <v>3240</v>
      </c>
      <c r="B3241" t="s">
        <v>4105</v>
      </c>
      <c r="C3241" t="s">
        <v>291</v>
      </c>
      <c r="D3241" t="str">
        <f t="shared" si="107"/>
        <v/>
      </c>
      <c r="E3241" t="str">
        <f t="shared" si="106"/>
        <v>loser</v>
      </c>
      <c r="F3241" t="s">
        <v>6400</v>
      </c>
      <c r="G3241" t="str">
        <f>_xlfn.IFNA(VLOOKUP(F3241,songs!$B$1:$C$1539, 2, FALSE),"")</f>
        <v>Loser</v>
      </c>
      <c r="H3241" t="s">
        <v>291</v>
      </c>
    </row>
    <row r="3242" spans="1:8" x14ac:dyDescent="0.25">
      <c r="A3242">
        <v>3241</v>
      </c>
      <c r="B3242" t="s">
        <v>4106</v>
      </c>
      <c r="C3242" t="s">
        <v>1017</v>
      </c>
      <c r="D3242" t="str">
        <f t="shared" si="107"/>
        <v/>
      </c>
      <c r="E3242" t="str">
        <f t="shared" si="106"/>
        <v>next time you see me</v>
      </c>
      <c r="F3242" t="s">
        <v>6629</v>
      </c>
      <c r="G3242" t="str">
        <f>_xlfn.IFNA(VLOOKUP(F3242,songs!$B$1:$C$1539, 2, FALSE),"")</f>
        <v>Next Time You See Me</v>
      </c>
      <c r="H3242" t="s">
        <v>1017</v>
      </c>
    </row>
    <row r="3243" spans="1:8" x14ac:dyDescent="0.25">
      <c r="A3243">
        <v>3232</v>
      </c>
      <c r="B3243" t="s">
        <v>4096</v>
      </c>
      <c r="C3243" t="s">
        <v>3649</v>
      </c>
      <c r="D3243" t="str">
        <f t="shared" si="107"/>
        <v/>
      </c>
      <c r="E3243" t="str">
        <f t="shared" si="106"/>
        <v>epilogue</v>
      </c>
      <c r="F3243" t="s">
        <v>7841</v>
      </c>
      <c r="G3243" t="s">
        <v>3649</v>
      </c>
      <c r="H3243" t="s">
        <v>7867</v>
      </c>
    </row>
    <row r="3244" spans="1:8" x14ac:dyDescent="0.25">
      <c r="A3244">
        <v>3243</v>
      </c>
      <c r="B3244" t="s">
        <v>4108</v>
      </c>
      <c r="C3244" t="s">
        <v>90</v>
      </c>
      <c r="D3244" t="str">
        <f t="shared" si="107"/>
        <v/>
      </c>
      <c r="E3244" t="str">
        <f t="shared" si="106"/>
        <v>dire wolf</v>
      </c>
      <c r="F3244" t="s">
        <v>5497</v>
      </c>
      <c r="G3244" t="str">
        <f>_xlfn.IFNA(VLOOKUP(F3244,songs!$B$1:$C$1539, 2, FALSE),"")</f>
        <v>Dire Wolf</v>
      </c>
      <c r="H3244" t="s">
        <v>90</v>
      </c>
    </row>
    <row r="3245" spans="1:8" x14ac:dyDescent="0.25">
      <c r="A3245">
        <v>3244</v>
      </c>
      <c r="B3245" t="s">
        <v>4109</v>
      </c>
      <c r="C3245" t="s">
        <v>154</v>
      </c>
      <c r="D3245" t="str">
        <f t="shared" si="107"/>
        <v/>
      </c>
      <c r="E3245" t="str">
        <f t="shared" si="106"/>
        <v>greatest story ever told</v>
      </c>
      <c r="F3245" t="s">
        <v>5826</v>
      </c>
      <c r="G3245" t="str">
        <f>_xlfn.IFNA(VLOOKUP(F3245,songs!$B$1:$C$1539, 2, FALSE),"")</f>
        <v>Greatest Story Ever Told</v>
      </c>
      <c r="H3245" t="s">
        <v>154</v>
      </c>
    </row>
    <row r="3246" spans="1:8" x14ac:dyDescent="0.25">
      <c r="A3246">
        <v>3245</v>
      </c>
      <c r="B3246" t="s">
        <v>4110</v>
      </c>
      <c r="C3246" t="s">
        <v>264</v>
      </c>
      <c r="D3246" t="str">
        <f t="shared" si="107"/>
        <v/>
      </c>
      <c r="E3246" t="str">
        <f t="shared" si="106"/>
        <v>deal</v>
      </c>
      <c r="F3246" t="s">
        <v>5461</v>
      </c>
      <c r="G3246" t="str">
        <f>_xlfn.IFNA(VLOOKUP(F3246,songs!$B$1:$C$1539, 2, FALSE),"")</f>
        <v>Deal</v>
      </c>
      <c r="H3246" t="s">
        <v>264</v>
      </c>
    </row>
    <row r="3247" spans="1:8" x14ac:dyDescent="0.25">
      <c r="A3247">
        <v>3246</v>
      </c>
      <c r="B3247" t="s">
        <v>4111</v>
      </c>
      <c r="C3247" t="s">
        <v>242</v>
      </c>
      <c r="D3247" t="str">
        <f t="shared" si="107"/>
        <v/>
      </c>
      <c r="E3247" t="str">
        <f t="shared" si="106"/>
        <v>good lovin'</v>
      </c>
      <c r="F3247" t="s">
        <v>5810</v>
      </c>
      <c r="G3247" t="str">
        <f>_xlfn.IFNA(VLOOKUP(F3247,songs!$B$1:$C$1539, 2, FALSE),"")</f>
        <v>Good Lovin'</v>
      </c>
      <c r="H3247" t="s">
        <v>242</v>
      </c>
    </row>
    <row r="3248" spans="1:8" x14ac:dyDescent="0.25">
      <c r="A3248">
        <v>3247</v>
      </c>
      <c r="B3248" t="s">
        <v>4112</v>
      </c>
      <c r="C3248" t="s">
        <v>11</v>
      </c>
      <c r="D3248" t="str">
        <f t="shared" si="107"/>
        <v/>
      </c>
      <c r="E3248" t="str">
        <f t="shared" si="106"/>
        <v>playing in the band</v>
      </c>
      <c r="F3248" t="s">
        <v>6769</v>
      </c>
      <c r="G3248" t="str">
        <f>_xlfn.IFNA(VLOOKUP(F3248,songs!$B$1:$C$1539, 2, FALSE),"")</f>
        <v>Playing In The Band</v>
      </c>
      <c r="H3248" t="s">
        <v>419</v>
      </c>
    </row>
    <row r="3249" spans="1:8" x14ac:dyDescent="0.25">
      <c r="A3249">
        <v>3248</v>
      </c>
      <c r="B3249" t="s">
        <v>4113</v>
      </c>
      <c r="C3249" t="s">
        <v>92</v>
      </c>
      <c r="D3249" t="str">
        <f t="shared" si="107"/>
        <v/>
      </c>
      <c r="E3249" t="str">
        <f t="shared" si="106"/>
        <v>dark star</v>
      </c>
      <c r="F3249" t="s">
        <v>5428</v>
      </c>
      <c r="G3249" t="str">
        <f>_xlfn.IFNA(VLOOKUP(F3249,songs!$B$1:$C$1539, 2, FALSE),"")</f>
        <v>Dark Star</v>
      </c>
      <c r="H3249" t="s">
        <v>92</v>
      </c>
    </row>
    <row r="3250" spans="1:8" x14ac:dyDescent="0.25">
      <c r="A3250">
        <v>3249</v>
      </c>
      <c r="B3250" t="s">
        <v>4114</v>
      </c>
      <c r="C3250" t="s">
        <v>100</v>
      </c>
      <c r="D3250" t="str">
        <f t="shared" si="107"/>
        <v/>
      </c>
      <c r="E3250" t="str">
        <f t="shared" si="106"/>
        <v>drums</v>
      </c>
      <c r="F3250" t="s">
        <v>5568</v>
      </c>
      <c r="G3250" t="str">
        <f>_xlfn.IFNA(VLOOKUP(F3250,songs!$B$1:$C$1539, 2, FALSE),"")</f>
        <v>Drums</v>
      </c>
      <c r="H3250" t="s">
        <v>100</v>
      </c>
    </row>
    <row r="3251" spans="1:8" x14ac:dyDescent="0.25">
      <c r="A3251">
        <v>3250</v>
      </c>
      <c r="B3251" t="s">
        <v>4115</v>
      </c>
      <c r="C3251" t="s">
        <v>139</v>
      </c>
      <c r="D3251" t="str">
        <f t="shared" si="107"/>
        <v/>
      </c>
      <c r="E3251" t="str">
        <f t="shared" si="106"/>
        <v>the other one</v>
      </c>
      <c r="F3251" t="s">
        <v>7325</v>
      </c>
      <c r="G3251" t="str">
        <f>_xlfn.IFNA(VLOOKUP(F3251,songs!$B$1:$C$1539, 2, FALSE),"")</f>
        <v>The Other One</v>
      </c>
      <c r="H3251" t="s">
        <v>139</v>
      </c>
    </row>
    <row r="3252" spans="1:8" x14ac:dyDescent="0.25">
      <c r="A3252">
        <v>3251</v>
      </c>
      <c r="B3252" t="s">
        <v>4116</v>
      </c>
      <c r="C3252" t="s">
        <v>749</v>
      </c>
      <c r="D3252" t="str">
        <f t="shared" si="107"/>
        <v/>
      </c>
      <c r="E3252" t="str">
        <f t="shared" si="106"/>
        <v>sing me back home</v>
      </c>
      <c r="F3252" t="s">
        <v>7017</v>
      </c>
      <c r="G3252" t="str">
        <f>_xlfn.IFNA(VLOOKUP(F3252,songs!$B$1:$C$1539, 2, FALSE),"")</f>
        <v>Sing Me Back Home</v>
      </c>
      <c r="H3252" t="s">
        <v>749</v>
      </c>
    </row>
    <row r="3253" spans="1:8" x14ac:dyDescent="0.25">
      <c r="A3253">
        <v>3252</v>
      </c>
      <c r="B3253" t="s">
        <v>4117</v>
      </c>
      <c r="C3253" t="s">
        <v>34</v>
      </c>
      <c r="D3253" t="str">
        <f t="shared" si="107"/>
        <v/>
      </c>
      <c r="E3253" t="str">
        <f t="shared" si="106"/>
        <v>not fade away</v>
      </c>
      <c r="F3253" t="s">
        <v>6651</v>
      </c>
      <c r="G3253" t="str">
        <f>_xlfn.IFNA(VLOOKUP(F3253,songs!$B$1:$C$1539, 2, FALSE),"")</f>
        <v>Not Fade Away</v>
      </c>
      <c r="H3253" t="s">
        <v>34</v>
      </c>
    </row>
    <row r="3254" spans="1:8" x14ac:dyDescent="0.25">
      <c r="A3254">
        <v>3234</v>
      </c>
      <c r="B3254" t="s">
        <v>4098</v>
      </c>
      <c r="C3254" t="s">
        <v>4099</v>
      </c>
      <c r="D3254" t="str">
        <f t="shared" si="107"/>
        <v/>
      </c>
      <c r="E3254" t="str">
        <f t="shared" si="106"/>
        <v>(walk me out in the) morning dew</v>
      </c>
      <c r="F3254" t="s">
        <v>6555</v>
      </c>
      <c r="G3254" t="str">
        <f>_xlfn.IFNA(VLOOKUP(F3254,songs!$B$1:$C$1539, 2, FALSE),"")</f>
        <v>Morning Dew</v>
      </c>
      <c r="H3254" t="s">
        <v>7867</v>
      </c>
    </row>
    <row r="3255" spans="1:8" x14ac:dyDescent="0.25">
      <c r="A3255">
        <v>3254</v>
      </c>
      <c r="B3255" t="s">
        <v>4119</v>
      </c>
      <c r="C3255" t="s">
        <v>34</v>
      </c>
      <c r="D3255" t="str">
        <f t="shared" si="107"/>
        <v/>
      </c>
      <c r="E3255" t="str">
        <f t="shared" si="106"/>
        <v>not fade away</v>
      </c>
      <c r="F3255" t="s">
        <v>6651</v>
      </c>
      <c r="G3255" t="str">
        <f>_xlfn.IFNA(VLOOKUP(F3255,songs!$B$1:$C$1539, 2, FALSE),"")</f>
        <v>Not Fade Away</v>
      </c>
      <c r="H3255" t="s">
        <v>34</v>
      </c>
    </row>
    <row r="3256" spans="1:8" x14ac:dyDescent="0.25">
      <c r="A3256">
        <v>3255</v>
      </c>
      <c r="B3256" t="s">
        <v>4120</v>
      </c>
      <c r="C3256" t="s">
        <v>4121</v>
      </c>
      <c r="D3256" t="str">
        <f t="shared" si="107"/>
        <v/>
      </c>
      <c r="E3256" t="str">
        <f t="shared" si="106"/>
        <v>katie mae</v>
      </c>
      <c r="F3256" t="s">
        <v>6227</v>
      </c>
      <c r="G3256" t="str">
        <f>_xlfn.IFNA(VLOOKUP(F3256,songs!$B$1:$C$1539, 2, FALSE),"")</f>
        <v>Katie Mae</v>
      </c>
      <c r="H3256" t="s">
        <v>4121</v>
      </c>
    </row>
    <row r="3257" spans="1:8" x14ac:dyDescent="0.25">
      <c r="A3257">
        <v>3256</v>
      </c>
      <c r="B3257" t="s">
        <v>4122</v>
      </c>
      <c r="C3257" t="s">
        <v>4123</v>
      </c>
      <c r="D3257" t="str">
        <f t="shared" si="107"/>
        <v/>
      </c>
      <c r="E3257" t="str">
        <f t="shared" si="106"/>
        <v>dark hollow</v>
      </c>
      <c r="F3257" t="s">
        <v>5427</v>
      </c>
      <c r="G3257" t="str">
        <f>_xlfn.IFNA(VLOOKUP(F3257,songs!$B$1:$C$1539, 2, FALSE),"")</f>
        <v>Dark Hollow</v>
      </c>
      <c r="H3257" t="s">
        <v>4123</v>
      </c>
    </row>
    <row r="3258" spans="1:8" x14ac:dyDescent="0.25">
      <c r="A3258">
        <v>3257</v>
      </c>
      <c r="B3258" t="s">
        <v>4124</v>
      </c>
      <c r="C3258" t="s">
        <v>2590</v>
      </c>
      <c r="D3258" t="str">
        <f t="shared" si="107"/>
        <v/>
      </c>
      <c r="E3258" t="str">
        <f t="shared" si="106"/>
        <v>i've been all around this world</v>
      </c>
      <c r="F3258" t="s">
        <v>6147</v>
      </c>
      <c r="G3258" t="str">
        <f>_xlfn.IFNA(VLOOKUP(F3258,songs!$B$1:$C$1539, 2, FALSE),"")</f>
        <v>I've Been All Around This World</v>
      </c>
      <c r="H3258" t="s">
        <v>2590</v>
      </c>
    </row>
    <row r="3259" spans="1:8" x14ac:dyDescent="0.25">
      <c r="A3259">
        <v>3258</v>
      </c>
      <c r="B3259" t="s">
        <v>4125</v>
      </c>
      <c r="C3259" t="s">
        <v>4126</v>
      </c>
      <c r="D3259" t="str">
        <f t="shared" si="107"/>
        <v/>
      </c>
      <c r="E3259" t="str">
        <f t="shared" si="106"/>
        <v>wake up little susie</v>
      </c>
      <c r="F3259" t="s">
        <v>7604</v>
      </c>
      <c r="G3259" t="str">
        <f>_xlfn.IFNA(VLOOKUP(F3259,songs!$B$1:$C$1539, 2, FALSE),"")</f>
        <v>Wake Up Little Susie</v>
      </c>
      <c r="H3259" t="s">
        <v>4126</v>
      </c>
    </row>
    <row r="3260" spans="1:8" x14ac:dyDescent="0.25">
      <c r="A3260">
        <v>3259</v>
      </c>
      <c r="B3260" t="s">
        <v>4127</v>
      </c>
      <c r="C3260" t="s">
        <v>221</v>
      </c>
      <c r="D3260" t="str">
        <f t="shared" si="107"/>
        <v/>
      </c>
      <c r="E3260" t="str">
        <f t="shared" si="106"/>
        <v>black peter</v>
      </c>
      <c r="F3260" t="s">
        <v>5190</v>
      </c>
      <c r="G3260" t="str">
        <f>_xlfn.IFNA(VLOOKUP(F3260,songs!$B$1:$C$1539, 2, FALSE),"")</f>
        <v>Black Peter</v>
      </c>
      <c r="H3260" t="s">
        <v>221</v>
      </c>
    </row>
    <row r="3261" spans="1:8" x14ac:dyDescent="0.25">
      <c r="A3261">
        <v>3242</v>
      </c>
      <c r="B3261" t="s">
        <v>4107</v>
      </c>
      <c r="C3261" t="s">
        <v>190</v>
      </c>
      <c r="D3261" t="str">
        <f t="shared" si="107"/>
        <v/>
      </c>
      <c r="E3261" t="str">
        <f t="shared" si="106"/>
        <v>black-throated wind</v>
      </c>
      <c r="F3261" t="s">
        <v>5193</v>
      </c>
      <c r="G3261" t="str">
        <f>_xlfn.IFNA(VLOOKUP(F3261,songs!$B$1:$C$1539, 2, FALSE),"")</f>
        <v>Black Throated Wind</v>
      </c>
      <c r="H3261" t="s">
        <v>7867</v>
      </c>
    </row>
    <row r="3262" spans="1:8" x14ac:dyDescent="0.25">
      <c r="A3262">
        <v>3261</v>
      </c>
      <c r="B3262" t="s">
        <v>4130</v>
      </c>
      <c r="C3262" t="s">
        <v>1511</v>
      </c>
      <c r="D3262" t="str">
        <f t="shared" si="107"/>
        <v/>
      </c>
      <c r="E3262" t="str">
        <f t="shared" si="106"/>
        <v>hard to handle</v>
      </c>
      <c r="F3262" t="s">
        <v>5861</v>
      </c>
      <c r="G3262" t="str">
        <f>_xlfn.IFNA(VLOOKUP(F3262,songs!$B$1:$C$1539, 2, FALSE),"")</f>
        <v>Hard To Handle</v>
      </c>
      <c r="H3262" t="s">
        <v>1199</v>
      </c>
    </row>
    <row r="3263" spans="1:8" x14ac:dyDescent="0.25">
      <c r="A3263">
        <v>3253</v>
      </c>
      <c r="B3263" t="s">
        <v>4118</v>
      </c>
      <c r="C3263" t="s">
        <v>36</v>
      </c>
      <c r="D3263" t="str">
        <f t="shared" si="107"/>
        <v/>
      </c>
      <c r="E3263" t="str">
        <f t="shared" si="106"/>
        <v>goin' down the road feeling bad</v>
      </c>
      <c r="F3263" t="s">
        <v>5783</v>
      </c>
      <c r="G3263" t="str">
        <f>_xlfn.IFNA(VLOOKUP(F3263,songs!$B$1:$C$1539, 2, FALSE),"")</f>
        <v>Goin' Down The Road Feelin' Bad</v>
      </c>
      <c r="H3263" t="s">
        <v>7867</v>
      </c>
    </row>
    <row r="3264" spans="1:8" x14ac:dyDescent="0.25">
      <c r="A3264">
        <v>3263</v>
      </c>
      <c r="B3264" t="s">
        <v>4132</v>
      </c>
      <c r="C3264" t="s">
        <v>2333</v>
      </c>
      <c r="D3264" t="str">
        <f t="shared" si="107"/>
        <v/>
      </c>
      <c r="E3264" t="str">
        <f t="shared" si="106"/>
        <v>let me sing your blues away</v>
      </c>
      <c r="F3264" t="s">
        <v>6314</v>
      </c>
      <c r="G3264" t="str">
        <f>_xlfn.IFNA(VLOOKUP(F3264,songs!$B$1:$C$1539, 2, FALSE),"")</f>
        <v>Let Me Sing Your Blues Away</v>
      </c>
      <c r="H3264" t="s">
        <v>2333</v>
      </c>
    </row>
    <row r="3265" spans="1:8" x14ac:dyDescent="0.25">
      <c r="A3265">
        <v>3264</v>
      </c>
      <c r="B3265" t="s">
        <v>4133</v>
      </c>
      <c r="C3265" t="s">
        <v>188</v>
      </c>
      <c r="D3265" t="str">
        <f t="shared" si="107"/>
        <v/>
      </c>
      <c r="E3265" t="str">
        <f t="shared" si="106"/>
        <v>row jimmy</v>
      </c>
      <c r="F3265" t="s">
        <v>6893</v>
      </c>
      <c r="G3265" t="str">
        <f>_xlfn.IFNA(VLOOKUP(F3265,songs!$B$1:$C$1539, 2, FALSE),"")</f>
        <v>Row Jimmy</v>
      </c>
      <c r="H3265" t="s">
        <v>188</v>
      </c>
    </row>
    <row r="3266" spans="1:8" x14ac:dyDescent="0.25">
      <c r="A3266">
        <v>3265</v>
      </c>
      <c r="B3266" t="s">
        <v>4134</v>
      </c>
      <c r="C3266" t="s">
        <v>24</v>
      </c>
      <c r="D3266" t="str">
        <f t="shared" si="107"/>
        <v/>
      </c>
      <c r="E3266" t="str">
        <f t="shared" si="106"/>
        <v>stella blue</v>
      </c>
      <c r="F3266" t="s">
        <v>7123</v>
      </c>
      <c r="G3266" t="str">
        <f>_xlfn.IFNA(VLOOKUP(F3266,songs!$B$1:$C$1539, 2, FALSE),"")</f>
        <v>Stella Blue</v>
      </c>
      <c r="H3266" t="s">
        <v>24</v>
      </c>
    </row>
    <row r="3267" spans="1:8" x14ac:dyDescent="0.25">
      <c r="A3267">
        <v>3266</v>
      </c>
      <c r="B3267" t="s">
        <v>4135</v>
      </c>
      <c r="C3267" t="s">
        <v>1</v>
      </c>
      <c r="D3267" t="str">
        <f t="shared" si="107"/>
        <v/>
      </c>
      <c r="E3267" t="str">
        <f t="shared" si="106"/>
        <v>here comes sunshine</v>
      </c>
      <c r="F3267" t="s">
        <v>5898</v>
      </c>
      <c r="G3267" t="str">
        <f>_xlfn.IFNA(VLOOKUP(F3267,songs!$B$1:$C$1539, 2, FALSE),"")</f>
        <v>Here Comes Sunshine</v>
      </c>
      <c r="H3267" t="s">
        <v>1</v>
      </c>
    </row>
    <row r="3268" spans="1:8" x14ac:dyDescent="0.25">
      <c r="A3268">
        <v>3267</v>
      </c>
      <c r="B3268" t="s">
        <v>4136</v>
      </c>
      <c r="C3268" t="s">
        <v>71</v>
      </c>
      <c r="D3268" t="str">
        <f t="shared" si="107"/>
        <v/>
      </c>
      <c r="E3268" t="str">
        <f t="shared" ref="E3268:E3331" si="108">LOWER(TRIM(SUBSTITUTE(IF(RIGHT(TRIM(C3268),2)="-&gt;",LEFT(TRIM(C3268),LEN(TRIM(C3268))-2),IF(RIGHT(TRIM(C3268),1)="&gt;",LEFT(TRIM(C3268),LEN(TRIM(C3268))-1),C3268)),"//","")))</f>
        <v>eyes of the world</v>
      </c>
      <c r="F3268" t="s">
        <v>5633</v>
      </c>
      <c r="G3268" t="str">
        <f>_xlfn.IFNA(VLOOKUP(F3268,songs!$B$1:$C$1539, 2, FALSE),"")</f>
        <v>Eyes Of The World</v>
      </c>
      <c r="H3268" t="s">
        <v>471</v>
      </c>
    </row>
    <row r="3269" spans="1:8" x14ac:dyDescent="0.25">
      <c r="A3269">
        <v>3260</v>
      </c>
      <c r="B3269" t="s">
        <v>4128</v>
      </c>
      <c r="C3269" t="s">
        <v>4129</v>
      </c>
      <c r="D3269" t="str">
        <f t="shared" si="107"/>
        <v/>
      </c>
      <c r="E3269" t="str">
        <f t="shared" si="108"/>
        <v>smokestack lightnin</v>
      </c>
      <c r="F3269" t="s">
        <v>7050</v>
      </c>
      <c r="G3269" t="str">
        <f>_xlfn.IFNA(VLOOKUP(F3269,songs!$B$1:$C$1539, 2, FALSE),"")</f>
        <v>Smokestack Lightning</v>
      </c>
      <c r="H3269" t="s">
        <v>7867</v>
      </c>
    </row>
    <row r="3270" spans="1:8" x14ac:dyDescent="0.25">
      <c r="A3270">
        <v>3269</v>
      </c>
      <c r="B3270" t="s">
        <v>4138</v>
      </c>
      <c r="C3270" t="s">
        <v>183</v>
      </c>
      <c r="D3270" t="str">
        <f t="shared" si="107"/>
        <v/>
      </c>
      <c r="E3270" t="str">
        <f t="shared" si="108"/>
        <v>u.s. blues</v>
      </c>
      <c r="F3270" t="s">
        <v>7464</v>
      </c>
      <c r="G3270" t="str">
        <f>_xlfn.IFNA(VLOOKUP(F3270,songs!$B$1:$C$1539, 2, FALSE),"")</f>
        <v>U.S. Blues</v>
      </c>
      <c r="H3270" t="s">
        <v>183</v>
      </c>
    </row>
    <row r="3271" spans="1:8" x14ac:dyDescent="0.25">
      <c r="A3271">
        <v>3270</v>
      </c>
      <c r="B3271" t="s">
        <v>4139</v>
      </c>
      <c r="C3271" t="s">
        <v>304</v>
      </c>
      <c r="D3271" t="str">
        <f t="shared" si="107"/>
        <v/>
      </c>
      <c r="E3271" t="str">
        <f t="shared" si="108"/>
        <v>china doll</v>
      </c>
      <c r="F3271" t="s">
        <v>5320</v>
      </c>
      <c r="G3271" t="str">
        <f>_xlfn.IFNA(VLOOKUP(F3271,songs!$B$1:$C$1539, 2, FALSE),"")</f>
        <v>China Doll</v>
      </c>
      <c r="H3271" t="s">
        <v>304</v>
      </c>
    </row>
    <row r="3272" spans="1:8" x14ac:dyDescent="0.25">
      <c r="A3272">
        <v>3271</v>
      </c>
      <c r="B3272" t="s">
        <v>4140</v>
      </c>
      <c r="C3272" t="s">
        <v>3922</v>
      </c>
      <c r="D3272" t="str">
        <f t="shared" si="107"/>
        <v/>
      </c>
      <c r="E3272" t="str">
        <f t="shared" si="108"/>
        <v>unbroken chain</v>
      </c>
      <c r="F3272" t="s">
        <v>7465</v>
      </c>
      <c r="G3272" t="str">
        <f>_xlfn.IFNA(VLOOKUP(F3272,songs!$B$1:$C$1539, 2, FALSE),"")</f>
        <v>Unbroken Chain</v>
      </c>
      <c r="H3272" t="s">
        <v>3922</v>
      </c>
    </row>
    <row r="3273" spans="1:8" x14ac:dyDescent="0.25">
      <c r="A3273">
        <v>3272</v>
      </c>
      <c r="B3273" t="s">
        <v>4141</v>
      </c>
      <c r="C3273" t="s">
        <v>858</v>
      </c>
      <c r="D3273" t="str">
        <f t="shared" ref="D3273:D3336" si="109">IF(RIGHT(TRIM(C3273),2)="-&gt;","&gt;",IF(RIGHT(TRIM(C3273),1)="&gt;","&gt;",""))</f>
        <v/>
      </c>
      <c r="E3273" t="str">
        <f t="shared" si="108"/>
        <v>loose lucy</v>
      </c>
      <c r="F3273" t="s">
        <v>6399</v>
      </c>
      <c r="G3273" t="str">
        <f>_xlfn.IFNA(VLOOKUP(F3273,songs!$B$1:$C$1539, 2, FALSE),"")</f>
        <v>Loose Lucy</v>
      </c>
      <c r="H3273" t="s">
        <v>858</v>
      </c>
    </row>
    <row r="3274" spans="1:8" x14ac:dyDescent="0.25">
      <c r="A3274">
        <v>3273</v>
      </c>
      <c r="B3274" t="s">
        <v>4142</v>
      </c>
      <c r="C3274" t="s">
        <v>170</v>
      </c>
      <c r="D3274" t="str">
        <f t="shared" si="109"/>
        <v/>
      </c>
      <c r="E3274" t="str">
        <f t="shared" si="108"/>
        <v>scarlet begonias</v>
      </c>
      <c r="F3274" t="s">
        <v>6944</v>
      </c>
      <c r="G3274" t="str">
        <f>_xlfn.IFNA(VLOOKUP(F3274,songs!$B$1:$C$1539, 2, FALSE),"")</f>
        <v>Scarlet Begonias</v>
      </c>
      <c r="H3274" t="s">
        <v>170</v>
      </c>
    </row>
    <row r="3275" spans="1:8" x14ac:dyDescent="0.25">
      <c r="A3275">
        <v>3274</v>
      </c>
      <c r="B3275" t="s">
        <v>4143</v>
      </c>
      <c r="C3275" t="s">
        <v>4144</v>
      </c>
      <c r="D3275" t="str">
        <f t="shared" si="109"/>
        <v/>
      </c>
      <c r="E3275" t="str">
        <f t="shared" si="108"/>
        <v>pride of cucamonga</v>
      </c>
      <c r="F3275" t="s">
        <v>6794</v>
      </c>
      <c r="G3275" t="str">
        <f>_xlfn.IFNA(VLOOKUP(F3275,songs!$B$1:$C$1539, 2, FALSE),"")</f>
        <v>Pride Of Cucamonga</v>
      </c>
      <c r="H3275" t="s">
        <v>4144</v>
      </c>
    </row>
    <row r="3276" spans="1:8" x14ac:dyDescent="0.25">
      <c r="A3276">
        <v>3275</v>
      </c>
      <c r="B3276" t="s">
        <v>4145</v>
      </c>
      <c r="C3276" t="s">
        <v>3928</v>
      </c>
      <c r="D3276" t="str">
        <f t="shared" si="109"/>
        <v/>
      </c>
      <c r="E3276" t="str">
        <f t="shared" si="108"/>
        <v>money money</v>
      </c>
      <c r="F3276" t="s">
        <v>6543</v>
      </c>
      <c r="G3276" t="str">
        <f>_xlfn.IFNA(VLOOKUP(F3276,songs!$B$1:$C$1539, 2, FALSE),"")</f>
        <v>Money Money</v>
      </c>
      <c r="H3276" t="s">
        <v>3928</v>
      </c>
    </row>
    <row r="3277" spans="1:8" x14ac:dyDescent="0.25">
      <c r="A3277">
        <v>3276</v>
      </c>
      <c r="B3277" t="s">
        <v>4146</v>
      </c>
      <c r="C3277" t="s">
        <v>866</v>
      </c>
      <c r="D3277" t="str">
        <f t="shared" si="109"/>
        <v/>
      </c>
      <c r="E3277" t="str">
        <f t="shared" si="108"/>
        <v>ship of fools</v>
      </c>
      <c r="F3277" t="s">
        <v>6999</v>
      </c>
      <c r="G3277" t="str">
        <f>_xlfn.IFNA(VLOOKUP(F3277,songs!$B$1:$C$1539, 2, FALSE),"")</f>
        <v>Ship Of Fools</v>
      </c>
      <c r="H3277" t="s">
        <v>866</v>
      </c>
    </row>
    <row r="3278" spans="1:8" x14ac:dyDescent="0.25">
      <c r="A3278">
        <v>3277</v>
      </c>
      <c r="B3278" t="s">
        <v>4147</v>
      </c>
      <c r="C3278" t="s">
        <v>1382</v>
      </c>
      <c r="D3278" t="str">
        <f t="shared" si="109"/>
        <v/>
      </c>
      <c r="E3278" t="str">
        <f t="shared" si="108"/>
        <v>help on the way</v>
      </c>
      <c r="F3278" t="s">
        <v>5895</v>
      </c>
      <c r="G3278" t="str">
        <f>_xlfn.IFNA(VLOOKUP(F3278,songs!$B$1:$C$1539, 2, FALSE),"")</f>
        <v>Help On The Way</v>
      </c>
      <c r="H3278" t="s">
        <v>1382</v>
      </c>
    </row>
    <row r="3279" spans="1:8" x14ac:dyDescent="0.25">
      <c r="A3279">
        <v>3262</v>
      </c>
      <c r="B3279" t="s">
        <v>4131</v>
      </c>
      <c r="C3279" t="s">
        <v>5</v>
      </c>
      <c r="D3279" t="str">
        <f t="shared" si="109"/>
        <v/>
      </c>
      <c r="E3279" t="str">
        <f t="shared" si="108"/>
        <v>mississippi half-step uptown toodleloo</v>
      </c>
      <c r="F3279" t="s">
        <v>6531</v>
      </c>
      <c r="G3279" t="str">
        <f>_xlfn.IFNA(VLOOKUP(F3279,songs!$B$1:$C$1539, 2, FALSE),"")</f>
        <v>Mississippi Half-Step Uptown Toodeloo</v>
      </c>
      <c r="H3279" t="s">
        <v>7867</v>
      </c>
    </row>
    <row r="3280" spans="1:8" x14ac:dyDescent="0.25">
      <c r="A3280">
        <v>3279</v>
      </c>
      <c r="B3280" t="s">
        <v>4150</v>
      </c>
      <c r="C3280" t="s">
        <v>63</v>
      </c>
      <c r="D3280" t="str">
        <f t="shared" si="109"/>
        <v/>
      </c>
      <c r="E3280" t="str">
        <f t="shared" si="108"/>
        <v>franklin's tower</v>
      </c>
      <c r="F3280" t="s">
        <v>5712</v>
      </c>
      <c r="G3280" t="str">
        <f>_xlfn.IFNA(VLOOKUP(F3280,songs!$B$1:$C$1539, 2, FALSE),"")</f>
        <v>Franklin's Tower</v>
      </c>
      <c r="H3280" t="s">
        <v>63</v>
      </c>
    </row>
    <row r="3281" spans="1:8" x14ac:dyDescent="0.25">
      <c r="A3281">
        <v>3280</v>
      </c>
      <c r="B3281" t="s">
        <v>4151</v>
      </c>
      <c r="C3281" t="s">
        <v>4152</v>
      </c>
      <c r="D3281" t="str">
        <f t="shared" si="109"/>
        <v/>
      </c>
      <c r="E3281" t="str">
        <f t="shared" si="108"/>
        <v>king solomon's marbles</v>
      </c>
      <c r="F3281" t="s">
        <v>6246</v>
      </c>
      <c r="G3281" t="str">
        <f>_xlfn.IFNA(VLOOKUP(F3281,songs!$B$1:$C$1539, 2, FALSE),"")</f>
        <v>King Solomon's Marbles</v>
      </c>
      <c r="H3281" t="s">
        <v>4152</v>
      </c>
    </row>
    <row r="3282" spans="1:8" x14ac:dyDescent="0.25">
      <c r="A3282">
        <v>3268</v>
      </c>
      <c r="B3282" t="s">
        <v>4137</v>
      </c>
      <c r="C3282" t="s">
        <v>7</v>
      </c>
      <c r="D3282" t="str">
        <f t="shared" si="109"/>
        <v/>
      </c>
      <c r="E3282" t="str">
        <f t="shared" si="108"/>
        <v>weather report suite</v>
      </c>
      <c r="F3282" t="s">
        <v>7816</v>
      </c>
      <c r="G3282" t="s">
        <v>7879</v>
      </c>
      <c r="H3282" t="s">
        <v>7867</v>
      </c>
    </row>
    <row r="3283" spans="1:8" x14ac:dyDescent="0.25">
      <c r="A3283">
        <v>3282</v>
      </c>
      <c r="B3283" t="s">
        <v>4155</v>
      </c>
      <c r="C3283" t="s">
        <v>49</v>
      </c>
      <c r="D3283" t="str">
        <f t="shared" si="109"/>
        <v/>
      </c>
      <c r="E3283" t="str">
        <f t="shared" si="108"/>
        <v>the music never stopped</v>
      </c>
      <c r="F3283" t="s">
        <v>7316</v>
      </c>
      <c r="G3283" t="str">
        <f>_xlfn.IFNA(VLOOKUP(F3283,songs!$B$1:$C$1539, 2, FALSE),"")</f>
        <v>The Music Never Stopped</v>
      </c>
      <c r="H3283" t="s">
        <v>49</v>
      </c>
    </row>
    <row r="3284" spans="1:8" x14ac:dyDescent="0.25">
      <c r="A3284">
        <v>3283</v>
      </c>
      <c r="B3284" t="s">
        <v>4156</v>
      </c>
      <c r="C3284" t="s">
        <v>526</v>
      </c>
      <c r="D3284" t="str">
        <f t="shared" si="109"/>
        <v/>
      </c>
      <c r="E3284" t="str">
        <f t="shared" si="108"/>
        <v>crazy fingers</v>
      </c>
      <c r="F3284" t="s">
        <v>5390</v>
      </c>
      <c r="G3284" t="str">
        <f>_xlfn.IFNA(VLOOKUP(F3284,songs!$B$1:$C$1539, 2, FALSE),"")</f>
        <v>Crazy Fingers</v>
      </c>
      <c r="H3284" t="s">
        <v>526</v>
      </c>
    </row>
    <row r="3285" spans="1:8" x14ac:dyDescent="0.25">
      <c r="A3285">
        <v>3278</v>
      </c>
      <c r="B3285" t="s">
        <v>4148</v>
      </c>
      <c r="C3285" t="s">
        <v>4149</v>
      </c>
      <c r="D3285" t="str">
        <f t="shared" si="109"/>
        <v/>
      </c>
      <c r="E3285" t="str">
        <f t="shared" si="108"/>
        <v>slipknot</v>
      </c>
      <c r="F3285" t="s">
        <v>7035</v>
      </c>
      <c r="G3285" t="str">
        <f>_xlfn.IFNA(VLOOKUP(F3285,songs!$B$1:$C$1539, 2, FALSE),"")</f>
        <v>Slipknot!</v>
      </c>
      <c r="H3285" t="s">
        <v>7867</v>
      </c>
    </row>
    <row r="3286" spans="1:8" x14ac:dyDescent="0.25">
      <c r="A3286">
        <v>3285</v>
      </c>
      <c r="B3286" t="s">
        <v>4159</v>
      </c>
      <c r="C3286" t="s">
        <v>4160</v>
      </c>
      <c r="D3286" t="str">
        <f t="shared" si="109"/>
        <v/>
      </c>
      <c r="E3286" t="str">
        <f t="shared" si="108"/>
        <v>blues for allah</v>
      </c>
      <c r="F3286" t="s">
        <v>5215</v>
      </c>
      <c r="G3286" t="str">
        <f>_xlfn.IFNA(VLOOKUP(F3286,songs!$B$1:$C$1539, 2, FALSE),"")</f>
        <v>Blues For Allah</v>
      </c>
      <c r="H3286" t="s">
        <v>4160</v>
      </c>
    </row>
    <row r="3287" spans="1:8" x14ac:dyDescent="0.25">
      <c r="A3287">
        <v>3281</v>
      </c>
      <c r="B3287" t="s">
        <v>4153</v>
      </c>
      <c r="C3287" t="s">
        <v>4154</v>
      </c>
      <c r="D3287" t="str">
        <f t="shared" si="109"/>
        <v/>
      </c>
      <c r="E3287" t="str">
        <f t="shared" si="108"/>
        <v>stronger than dirt or milking the monkey</v>
      </c>
      <c r="F3287" t="s">
        <v>7140</v>
      </c>
      <c r="G3287" t="str">
        <f>_xlfn.IFNA(VLOOKUP(F3287,songs!$B$1:$C$1539, 2, FALSE),"")</f>
        <v>Stronger Than Dirt</v>
      </c>
      <c r="H3287" t="s">
        <v>7867</v>
      </c>
    </row>
    <row r="3288" spans="1:8" x14ac:dyDescent="0.25">
      <c r="A3288">
        <v>3284</v>
      </c>
      <c r="B3288" t="s">
        <v>4157</v>
      </c>
      <c r="C3288" t="s">
        <v>4158</v>
      </c>
      <c r="D3288" t="str">
        <f t="shared" si="109"/>
        <v/>
      </c>
      <c r="E3288" t="str">
        <f t="shared" si="108"/>
        <v>sage &amp; spirit</v>
      </c>
      <c r="F3288" t="s">
        <v>6903</v>
      </c>
      <c r="G3288" t="str">
        <f>_xlfn.IFNA(VLOOKUP(F3288,songs!$B$1:$C$1539, 2, FALSE),"")</f>
        <v>Sage And Spirit</v>
      </c>
      <c r="H3288" t="s">
        <v>7867</v>
      </c>
    </row>
    <row r="3289" spans="1:8" x14ac:dyDescent="0.25">
      <c r="A3289">
        <v>3286</v>
      </c>
      <c r="B3289" t="s">
        <v>4161</v>
      </c>
      <c r="C3289" t="s">
        <v>4162</v>
      </c>
      <c r="D3289" t="str">
        <f t="shared" si="109"/>
        <v/>
      </c>
      <c r="E3289" t="str">
        <f t="shared" si="108"/>
        <v>sand castles &amp; glass camels</v>
      </c>
      <c r="F3289" t="s">
        <v>7858</v>
      </c>
      <c r="G3289" t="s">
        <v>7882</v>
      </c>
      <c r="H3289" t="s">
        <v>7867</v>
      </c>
    </row>
    <row r="3290" spans="1:8" x14ac:dyDescent="0.25">
      <c r="A3290">
        <v>3288</v>
      </c>
      <c r="B3290" t="s">
        <v>4165</v>
      </c>
      <c r="C3290" t="s">
        <v>2032</v>
      </c>
      <c r="D3290" t="str">
        <f t="shared" si="109"/>
        <v/>
      </c>
      <c r="E3290" t="str">
        <f t="shared" si="108"/>
        <v>the promised land</v>
      </c>
      <c r="F3290" t="s">
        <v>6797</v>
      </c>
      <c r="G3290" t="str">
        <f>_xlfn.IFNA(VLOOKUP(F3290,songs!$B$1:$C$1539, 2, FALSE),"")</f>
        <v>Promised Land</v>
      </c>
      <c r="H3290" t="s">
        <v>7867</v>
      </c>
    </row>
    <row r="3291" spans="1:8" x14ac:dyDescent="0.25">
      <c r="A3291">
        <v>3290</v>
      </c>
      <c r="B3291" t="s">
        <v>4167</v>
      </c>
      <c r="C3291" t="s">
        <v>579</v>
      </c>
      <c r="D3291" t="str">
        <f t="shared" si="109"/>
        <v/>
      </c>
      <c r="E3291" t="str">
        <f t="shared" si="108"/>
        <v>around and around</v>
      </c>
      <c r="F3291" t="s">
        <v>5103</v>
      </c>
      <c r="G3291" t="str">
        <f>_xlfn.IFNA(VLOOKUP(F3291,songs!$B$1:$C$1539, 2, FALSE),"")</f>
        <v>Around And Around</v>
      </c>
      <c r="H3291" t="s">
        <v>579</v>
      </c>
    </row>
    <row r="3292" spans="1:8" x14ac:dyDescent="0.25">
      <c r="A3292">
        <v>3291</v>
      </c>
      <c r="B3292" t="s">
        <v>4168</v>
      </c>
      <c r="C3292" t="s">
        <v>24</v>
      </c>
      <c r="D3292" t="str">
        <f t="shared" si="109"/>
        <v/>
      </c>
      <c r="E3292" t="str">
        <f t="shared" si="108"/>
        <v>stella blue</v>
      </c>
      <c r="F3292" t="s">
        <v>7123</v>
      </c>
      <c r="G3292" t="str">
        <f>_xlfn.IFNA(VLOOKUP(F3292,songs!$B$1:$C$1539, 2, FALSE),"")</f>
        <v>Stella Blue</v>
      </c>
      <c r="H3292" t="s">
        <v>24</v>
      </c>
    </row>
    <row r="3293" spans="1:8" x14ac:dyDescent="0.25">
      <c r="A3293">
        <v>3292</v>
      </c>
      <c r="B3293" t="s">
        <v>4169</v>
      </c>
      <c r="C3293" t="s">
        <v>458</v>
      </c>
      <c r="D3293" t="str">
        <f t="shared" si="109"/>
        <v/>
      </c>
      <c r="E3293" t="str">
        <f t="shared" si="108"/>
        <v>mississippi half-step uptown toodeloo</v>
      </c>
      <c r="F3293" t="s">
        <v>6531</v>
      </c>
      <c r="G3293" t="str">
        <f>_xlfn.IFNA(VLOOKUP(F3293,songs!$B$1:$C$1539, 2, FALSE),"")</f>
        <v>Mississippi Half-Step Uptown Toodeloo</v>
      </c>
      <c r="H3293" t="s">
        <v>458</v>
      </c>
    </row>
    <row r="3294" spans="1:8" x14ac:dyDescent="0.25">
      <c r="A3294">
        <v>3293</v>
      </c>
      <c r="B3294" t="s">
        <v>4170</v>
      </c>
      <c r="C3294" t="s">
        <v>866</v>
      </c>
      <c r="D3294" t="str">
        <f t="shared" si="109"/>
        <v/>
      </c>
      <c r="E3294" t="str">
        <f t="shared" si="108"/>
        <v>ship of fools</v>
      </c>
      <c r="F3294" t="s">
        <v>6999</v>
      </c>
      <c r="G3294" t="str">
        <f>_xlfn.IFNA(VLOOKUP(F3294,songs!$B$1:$C$1539, 2, FALSE),"")</f>
        <v>Ship Of Fools</v>
      </c>
      <c r="H3294" t="s">
        <v>866</v>
      </c>
    </row>
    <row r="3295" spans="1:8" x14ac:dyDescent="0.25">
      <c r="A3295">
        <v>3294</v>
      </c>
      <c r="B3295" t="s">
        <v>4171</v>
      </c>
      <c r="C3295" t="s">
        <v>431</v>
      </c>
      <c r="D3295" t="str">
        <f t="shared" si="109"/>
        <v/>
      </c>
      <c r="E3295" t="str">
        <f t="shared" si="108"/>
        <v>beat it on down the line</v>
      </c>
      <c r="F3295" t="s">
        <v>5149</v>
      </c>
      <c r="G3295" t="str">
        <f>_xlfn.IFNA(VLOOKUP(F3295,songs!$B$1:$C$1539, 2, FALSE),"")</f>
        <v>Beat It On Down The Line</v>
      </c>
      <c r="H3295" t="s">
        <v>431</v>
      </c>
    </row>
    <row r="3296" spans="1:8" x14ac:dyDescent="0.25">
      <c r="A3296">
        <v>3295</v>
      </c>
      <c r="B3296" t="s">
        <v>4172</v>
      </c>
      <c r="C3296" t="s">
        <v>3</v>
      </c>
      <c r="D3296" t="str">
        <f t="shared" si="109"/>
        <v/>
      </c>
      <c r="E3296" t="str">
        <f t="shared" si="108"/>
        <v>big river</v>
      </c>
      <c r="F3296" t="s">
        <v>5175</v>
      </c>
      <c r="G3296" t="str">
        <f>_xlfn.IFNA(VLOOKUP(F3296,songs!$B$1:$C$1539, 2, FALSE),"")</f>
        <v>Big River</v>
      </c>
      <c r="H3296" t="s">
        <v>3</v>
      </c>
    </row>
    <row r="3297" spans="1:8" x14ac:dyDescent="0.25">
      <c r="A3297">
        <v>3296</v>
      </c>
      <c r="B3297" t="s">
        <v>4173</v>
      </c>
      <c r="C3297" t="s">
        <v>1244</v>
      </c>
      <c r="D3297" t="str">
        <f t="shared" si="109"/>
        <v/>
      </c>
      <c r="E3297" t="str">
        <f t="shared" si="108"/>
        <v>black throated wind</v>
      </c>
      <c r="F3297" t="s">
        <v>5193</v>
      </c>
      <c r="G3297" t="str">
        <f>_xlfn.IFNA(VLOOKUP(F3297,songs!$B$1:$C$1539, 2, FALSE),"")</f>
        <v>Black Throated Wind</v>
      </c>
      <c r="H3297" t="s">
        <v>1244</v>
      </c>
    </row>
    <row r="3298" spans="1:8" x14ac:dyDescent="0.25">
      <c r="A3298">
        <v>3297</v>
      </c>
      <c r="B3298" t="s">
        <v>4174</v>
      </c>
      <c r="C3298" t="s">
        <v>183</v>
      </c>
      <c r="D3298" t="str">
        <f t="shared" si="109"/>
        <v/>
      </c>
      <c r="E3298" t="str">
        <f t="shared" si="108"/>
        <v>u.s. blues</v>
      </c>
      <c r="F3298" t="s">
        <v>7464</v>
      </c>
      <c r="G3298" t="str">
        <f>_xlfn.IFNA(VLOOKUP(F3298,songs!$B$1:$C$1539, 2, FALSE),"")</f>
        <v>U.S. Blues</v>
      </c>
      <c r="H3298" t="s">
        <v>183</v>
      </c>
    </row>
    <row r="3299" spans="1:8" x14ac:dyDescent="0.25">
      <c r="A3299">
        <v>3298</v>
      </c>
      <c r="B3299" t="s">
        <v>4175</v>
      </c>
      <c r="C3299" t="s">
        <v>327</v>
      </c>
      <c r="D3299" t="str">
        <f t="shared" si="109"/>
        <v/>
      </c>
      <c r="E3299" t="str">
        <f t="shared" si="108"/>
        <v>el paso</v>
      </c>
      <c r="F3299" t="s">
        <v>5600</v>
      </c>
      <c r="G3299" t="str">
        <f>_xlfn.IFNA(VLOOKUP(F3299,songs!$B$1:$C$1539, 2, FALSE),"")</f>
        <v>El Paso</v>
      </c>
      <c r="H3299" t="s">
        <v>327</v>
      </c>
    </row>
    <row r="3300" spans="1:8" x14ac:dyDescent="0.25">
      <c r="A3300">
        <v>3299</v>
      </c>
      <c r="B3300" t="s">
        <v>4176</v>
      </c>
      <c r="C3300" t="s">
        <v>51</v>
      </c>
      <c r="D3300" t="str">
        <f t="shared" si="109"/>
        <v/>
      </c>
      <c r="E3300" t="str">
        <f t="shared" si="108"/>
        <v>sugaree</v>
      </c>
      <c r="F3300" t="s">
        <v>7151</v>
      </c>
      <c r="G3300" t="str">
        <f>_xlfn.IFNA(VLOOKUP(F3300,songs!$B$1:$C$1539, 2, FALSE),"")</f>
        <v>Sugaree</v>
      </c>
      <c r="H3300" t="s">
        <v>51</v>
      </c>
    </row>
    <row r="3301" spans="1:8" x14ac:dyDescent="0.25">
      <c r="A3301">
        <v>3289</v>
      </c>
      <c r="B3301" t="s">
        <v>4166</v>
      </c>
      <c r="C3301" t="s">
        <v>244</v>
      </c>
      <c r="D3301" t="str">
        <f t="shared" si="109"/>
        <v/>
      </c>
      <c r="E3301" t="str">
        <f t="shared" si="108"/>
        <v>cold rain &amp; snow</v>
      </c>
      <c r="F3301" t="s">
        <v>5347</v>
      </c>
      <c r="G3301" t="str">
        <f>_xlfn.IFNA(VLOOKUP(F3301,songs!$B$1:$C$1539, 2, FALSE),"")</f>
        <v>Cold Rain And Snow</v>
      </c>
      <c r="H3301" t="s">
        <v>7867</v>
      </c>
    </row>
    <row r="3302" spans="1:8" x14ac:dyDescent="0.25">
      <c r="A3302">
        <v>3301</v>
      </c>
      <c r="B3302" t="s">
        <v>4179</v>
      </c>
      <c r="C3302" t="s">
        <v>81</v>
      </c>
      <c r="D3302" t="str">
        <f t="shared" si="109"/>
        <v/>
      </c>
      <c r="E3302" t="str">
        <f t="shared" si="108"/>
        <v>casey jones</v>
      </c>
      <c r="F3302" t="s">
        <v>5290</v>
      </c>
      <c r="G3302" t="str">
        <f>_xlfn.IFNA(VLOOKUP(F3302,songs!$B$1:$C$1539, 2, FALSE),"")</f>
        <v>Casey Jones</v>
      </c>
      <c r="H3302" t="s">
        <v>81</v>
      </c>
    </row>
    <row r="3303" spans="1:8" x14ac:dyDescent="0.25">
      <c r="A3303">
        <v>3302</v>
      </c>
      <c r="B3303" t="s">
        <v>4180</v>
      </c>
      <c r="C3303" t="s">
        <v>69</v>
      </c>
      <c r="D3303" t="str">
        <f t="shared" si="109"/>
        <v/>
      </c>
      <c r="E3303" t="str">
        <f t="shared" si="108"/>
        <v>estimated prophet</v>
      </c>
      <c r="F3303" t="s">
        <v>5612</v>
      </c>
      <c r="G3303" t="str">
        <f>_xlfn.IFNA(VLOOKUP(F3303,songs!$B$1:$C$1539, 2, FALSE),"")</f>
        <v>Estimated Prophet</v>
      </c>
      <c r="H3303" t="s">
        <v>69</v>
      </c>
    </row>
    <row r="3304" spans="1:8" x14ac:dyDescent="0.25">
      <c r="A3304">
        <v>3303</v>
      </c>
      <c r="B3304" t="s">
        <v>4181</v>
      </c>
      <c r="C3304" t="s">
        <v>2062</v>
      </c>
      <c r="D3304" t="str">
        <f t="shared" si="109"/>
        <v/>
      </c>
      <c r="E3304" t="str">
        <f t="shared" si="108"/>
        <v>dancin' in the streets</v>
      </c>
      <c r="F3304" t="s">
        <v>5418</v>
      </c>
      <c r="G3304" t="str">
        <f>_xlfn.IFNA(VLOOKUP(F3304,songs!$B$1:$C$1539, 2, FALSE),"")</f>
        <v>Dancin' In The Streets</v>
      </c>
      <c r="H3304" t="s">
        <v>2062</v>
      </c>
    </row>
    <row r="3305" spans="1:8" x14ac:dyDescent="0.25">
      <c r="A3305">
        <v>3304</v>
      </c>
      <c r="B3305" t="s">
        <v>4182</v>
      </c>
      <c r="C3305" t="s">
        <v>560</v>
      </c>
      <c r="D3305" t="str">
        <f t="shared" si="109"/>
        <v/>
      </c>
      <c r="E3305" t="str">
        <f t="shared" si="108"/>
        <v>passenger</v>
      </c>
      <c r="F3305" t="s">
        <v>6738</v>
      </c>
      <c r="G3305" t="str">
        <f>_xlfn.IFNA(VLOOKUP(F3305,songs!$B$1:$C$1539, 2, FALSE),"")</f>
        <v>Passenger</v>
      </c>
      <c r="H3305" t="s">
        <v>560</v>
      </c>
    </row>
    <row r="3306" spans="1:8" x14ac:dyDescent="0.25">
      <c r="A3306">
        <v>3300</v>
      </c>
      <c r="B3306" t="s">
        <v>4177</v>
      </c>
      <c r="C3306" t="s">
        <v>4178</v>
      </c>
      <c r="D3306" t="str">
        <f t="shared" si="109"/>
        <v/>
      </c>
      <c r="E3306" t="str">
        <f t="shared" si="108"/>
        <v>it must have been the rose</v>
      </c>
      <c r="F3306" t="s">
        <v>6128</v>
      </c>
      <c r="G3306" t="str">
        <f>_xlfn.IFNA(VLOOKUP(F3306,songs!$B$1:$C$1539, 2, FALSE),"")</f>
        <v>It Must Have Been The Roses</v>
      </c>
      <c r="H3306" t="s">
        <v>7867</v>
      </c>
    </row>
    <row r="3307" spans="1:8" x14ac:dyDescent="0.25">
      <c r="A3307">
        <v>3306</v>
      </c>
      <c r="B3307" t="s">
        <v>4184</v>
      </c>
      <c r="C3307" t="s">
        <v>67</v>
      </c>
      <c r="D3307" t="str">
        <f t="shared" si="109"/>
        <v/>
      </c>
      <c r="E3307" t="str">
        <f t="shared" si="108"/>
        <v>sunrise</v>
      </c>
      <c r="F3307" t="s">
        <v>7156</v>
      </c>
      <c r="G3307" t="str">
        <f>_xlfn.IFNA(VLOOKUP(F3307,songs!$B$1:$C$1539, 2, FALSE),"")</f>
        <v>Sunrise</v>
      </c>
      <c r="H3307" t="s">
        <v>67</v>
      </c>
    </row>
    <row r="3308" spans="1:8" x14ac:dyDescent="0.25">
      <c r="A3308">
        <v>3307</v>
      </c>
      <c r="B3308" t="s">
        <v>4185</v>
      </c>
      <c r="C3308" t="s">
        <v>75</v>
      </c>
      <c r="D3308" t="str">
        <f t="shared" si="109"/>
        <v/>
      </c>
      <c r="E3308" t="str">
        <f t="shared" si="108"/>
        <v>terrapin station</v>
      </c>
      <c r="F3308" t="s">
        <v>7237</v>
      </c>
      <c r="G3308" t="str">
        <f>_xlfn.IFNA(VLOOKUP(F3308,songs!$B$1:$C$1539, 2, FALSE),"")</f>
        <v>Terrapin Station</v>
      </c>
      <c r="H3308" t="s">
        <v>75</v>
      </c>
    </row>
    <row r="3309" spans="1:8" x14ac:dyDescent="0.25">
      <c r="A3309">
        <v>3308</v>
      </c>
      <c r="B3309" t="s">
        <v>4186</v>
      </c>
      <c r="C3309" t="s">
        <v>242</v>
      </c>
      <c r="D3309" t="str">
        <f t="shared" si="109"/>
        <v/>
      </c>
      <c r="E3309" t="str">
        <f t="shared" si="108"/>
        <v>good lovin'</v>
      </c>
      <c r="F3309" t="s">
        <v>5810</v>
      </c>
      <c r="G3309" t="str">
        <f>_xlfn.IFNA(VLOOKUP(F3309,songs!$B$1:$C$1539, 2, FALSE),"")</f>
        <v>Good Lovin'</v>
      </c>
      <c r="H3309" t="s">
        <v>242</v>
      </c>
    </row>
    <row r="3310" spans="1:8" x14ac:dyDescent="0.25">
      <c r="A3310">
        <v>3309</v>
      </c>
      <c r="B3310" t="s">
        <v>4187</v>
      </c>
      <c r="C3310" t="s">
        <v>4188</v>
      </c>
      <c r="D3310" t="str">
        <f t="shared" si="109"/>
        <v/>
      </c>
      <c r="E3310" t="str">
        <f t="shared" si="108"/>
        <v>france</v>
      </c>
      <c r="F3310" t="s">
        <v>5711</v>
      </c>
      <c r="G3310" t="str">
        <f>_xlfn.IFNA(VLOOKUP(F3310,songs!$B$1:$C$1539, 2, FALSE),"")</f>
        <v>France</v>
      </c>
      <c r="H3310" t="s">
        <v>4188</v>
      </c>
    </row>
    <row r="3311" spans="1:8" x14ac:dyDescent="0.25">
      <c r="A3311">
        <v>3310</v>
      </c>
      <c r="B3311" t="s">
        <v>4189</v>
      </c>
      <c r="C3311" t="s">
        <v>150</v>
      </c>
      <c r="D3311" t="str">
        <f t="shared" si="109"/>
        <v/>
      </c>
      <c r="E3311" t="str">
        <f t="shared" si="108"/>
        <v>shakedown street</v>
      </c>
      <c r="F3311" t="s">
        <v>6972</v>
      </c>
      <c r="G3311" t="str">
        <f>_xlfn.IFNA(VLOOKUP(F3311,songs!$B$1:$C$1539, 2, FALSE),"")</f>
        <v>Shakedown Street</v>
      </c>
      <c r="H3311" t="s">
        <v>150</v>
      </c>
    </row>
    <row r="3312" spans="1:8" x14ac:dyDescent="0.25">
      <c r="A3312">
        <v>3305</v>
      </c>
      <c r="B3312" t="s">
        <v>4183</v>
      </c>
      <c r="C3312" t="s">
        <v>473</v>
      </c>
      <c r="D3312" t="str">
        <f t="shared" si="109"/>
        <v/>
      </c>
      <c r="E3312" t="str">
        <f t="shared" si="108"/>
        <v>samson &amp; delilah</v>
      </c>
      <c r="F3312" t="s">
        <v>6925</v>
      </c>
      <c r="G3312" t="str">
        <f>_xlfn.IFNA(VLOOKUP(F3312,songs!$B$1:$C$1539, 2, FALSE),"")</f>
        <v>Samson And Delilah</v>
      </c>
      <c r="H3312" t="s">
        <v>7867</v>
      </c>
    </row>
    <row r="3313" spans="1:8" x14ac:dyDescent="0.25">
      <c r="A3313">
        <v>3312</v>
      </c>
      <c r="B3313" t="s">
        <v>4192</v>
      </c>
      <c r="C3313" t="s">
        <v>573</v>
      </c>
      <c r="D3313" t="str">
        <f t="shared" si="109"/>
        <v/>
      </c>
      <c r="E3313" t="str">
        <f t="shared" si="108"/>
        <v>fire on the mountain</v>
      </c>
      <c r="F3313" t="s">
        <v>5675</v>
      </c>
      <c r="G3313" t="str">
        <f>_xlfn.IFNA(VLOOKUP(F3313,songs!$B$1:$C$1539, 2, FALSE),"")</f>
        <v>Fire On The Mountain</v>
      </c>
      <c r="H3313" t="s">
        <v>573</v>
      </c>
    </row>
    <row r="3314" spans="1:8" x14ac:dyDescent="0.25">
      <c r="A3314">
        <v>3313</v>
      </c>
      <c r="B3314" t="s">
        <v>4193</v>
      </c>
      <c r="C3314" t="s">
        <v>2237</v>
      </c>
      <c r="D3314" t="str">
        <f t="shared" si="109"/>
        <v/>
      </c>
      <c r="E3314" t="str">
        <f t="shared" si="108"/>
        <v>i need a miracle</v>
      </c>
      <c r="F3314" t="s">
        <v>6021</v>
      </c>
      <c r="G3314" t="str">
        <f>_xlfn.IFNA(VLOOKUP(F3314,songs!$B$1:$C$1539, 2, FALSE),"")</f>
        <v>I Need A Miracle</v>
      </c>
      <c r="H3314" t="s">
        <v>2237</v>
      </c>
    </row>
    <row r="3315" spans="1:8" x14ac:dyDescent="0.25">
      <c r="A3315">
        <v>3314</v>
      </c>
      <c r="B3315" t="s">
        <v>4194</v>
      </c>
      <c r="C3315" t="s">
        <v>4195</v>
      </c>
      <c r="D3315" t="str">
        <f t="shared" si="109"/>
        <v/>
      </c>
      <c r="E3315" t="str">
        <f t="shared" si="108"/>
        <v>from the heart of me</v>
      </c>
      <c r="F3315" t="s">
        <v>5726</v>
      </c>
      <c r="G3315" t="str">
        <f>_xlfn.IFNA(VLOOKUP(F3315,songs!$B$1:$C$1539, 2, FALSE),"")</f>
        <v>From The Heart Of Me</v>
      </c>
      <c r="H3315" t="s">
        <v>4195</v>
      </c>
    </row>
    <row r="3316" spans="1:8" x14ac:dyDescent="0.25">
      <c r="A3316">
        <v>3315</v>
      </c>
      <c r="B3316" t="s">
        <v>4196</v>
      </c>
      <c r="C3316" t="s">
        <v>257</v>
      </c>
      <c r="D3316" t="str">
        <f t="shared" si="109"/>
        <v/>
      </c>
      <c r="E3316" t="str">
        <f t="shared" si="108"/>
        <v>stagger lee</v>
      </c>
      <c r="F3316" t="s">
        <v>7101</v>
      </c>
      <c r="G3316" t="str">
        <f>_xlfn.IFNA(VLOOKUP(F3316,songs!$B$1:$C$1539, 2, FALSE),"")</f>
        <v>Stagger Lee</v>
      </c>
      <c r="H3316" t="s">
        <v>257</v>
      </c>
    </row>
    <row r="3317" spans="1:8" x14ac:dyDescent="0.25">
      <c r="A3317">
        <v>3316</v>
      </c>
      <c r="B3317" t="s">
        <v>4197</v>
      </c>
      <c r="C3317" t="s">
        <v>4198</v>
      </c>
      <c r="D3317" t="str">
        <f t="shared" si="109"/>
        <v/>
      </c>
      <c r="E3317" t="str">
        <f t="shared" si="108"/>
        <v>all new minglewood blues</v>
      </c>
      <c r="F3317" t="s">
        <v>7869</v>
      </c>
      <c r="G3317" t="str">
        <f>_xlfn.IFNA(VLOOKUP(F3317,songs!$B$1:$C$1539, 2, FALSE),"")</f>
        <v>Minglewood Blues</v>
      </c>
      <c r="H3317" t="s">
        <v>7867</v>
      </c>
    </row>
    <row r="3318" spans="1:8" x14ac:dyDescent="0.25">
      <c r="A3318">
        <v>3317</v>
      </c>
      <c r="B3318" t="s">
        <v>4199</v>
      </c>
      <c r="C3318" t="s">
        <v>4200</v>
      </c>
      <c r="D3318" t="str">
        <f t="shared" si="109"/>
        <v/>
      </c>
      <c r="E3318" t="str">
        <f t="shared" si="108"/>
        <v>if i had the world to give</v>
      </c>
      <c r="F3318" t="s">
        <v>6048</v>
      </c>
      <c r="G3318" t="str">
        <f>_xlfn.IFNA(VLOOKUP(F3318,songs!$B$1:$C$1539, 2, FALSE),"")</f>
        <v>If I Had The World To Give</v>
      </c>
      <c r="H3318" t="s">
        <v>4200</v>
      </c>
    </row>
    <row r="3319" spans="1:8" x14ac:dyDescent="0.25">
      <c r="A3319">
        <v>3318</v>
      </c>
      <c r="B3319" t="s">
        <v>4201</v>
      </c>
      <c r="C3319" t="s">
        <v>128</v>
      </c>
      <c r="D3319" t="str">
        <f t="shared" si="109"/>
        <v/>
      </c>
      <c r="E3319" t="str">
        <f t="shared" si="108"/>
        <v>alabama getaway</v>
      </c>
      <c r="F3319" t="s">
        <v>5047</v>
      </c>
      <c r="G3319" t="str">
        <f>_xlfn.IFNA(VLOOKUP(F3319,songs!$B$1:$C$1539, 2, FALSE),"")</f>
        <v>Alabama Getaway</v>
      </c>
      <c r="H3319" t="s">
        <v>128</v>
      </c>
    </row>
    <row r="3320" spans="1:8" x14ac:dyDescent="0.25">
      <c r="A3320">
        <v>3319</v>
      </c>
      <c r="B3320" t="s">
        <v>4202</v>
      </c>
      <c r="C3320" t="s">
        <v>2610</v>
      </c>
      <c r="D3320" t="str">
        <f t="shared" si="109"/>
        <v/>
      </c>
      <c r="E3320" t="str">
        <f t="shared" si="108"/>
        <v>far from me</v>
      </c>
      <c r="F3320" t="s">
        <v>5644</v>
      </c>
      <c r="G3320" t="str">
        <f>_xlfn.IFNA(VLOOKUP(F3320,songs!$B$1:$C$1539, 2, FALSE),"")</f>
        <v>Far From Me</v>
      </c>
      <c r="H3320" t="s">
        <v>2610</v>
      </c>
    </row>
    <row r="3321" spans="1:8" x14ac:dyDescent="0.25">
      <c r="A3321">
        <v>3320</v>
      </c>
      <c r="B3321" t="s">
        <v>4203</v>
      </c>
      <c r="C3321" t="s">
        <v>161</v>
      </c>
      <c r="D3321" t="str">
        <f t="shared" si="109"/>
        <v/>
      </c>
      <c r="E3321" t="str">
        <f t="shared" si="108"/>
        <v>althea</v>
      </c>
      <c r="F3321" t="s">
        <v>5073</v>
      </c>
      <c r="G3321" t="str">
        <f>_xlfn.IFNA(VLOOKUP(F3321,songs!$B$1:$C$1539, 2, FALSE),"")</f>
        <v>Althea</v>
      </c>
      <c r="H3321" t="s">
        <v>161</v>
      </c>
    </row>
    <row r="3322" spans="1:8" x14ac:dyDescent="0.25">
      <c r="A3322">
        <v>3321</v>
      </c>
      <c r="B3322" t="s">
        <v>4204</v>
      </c>
      <c r="C3322" t="s">
        <v>853</v>
      </c>
      <c r="D3322" t="str">
        <f t="shared" si="109"/>
        <v/>
      </c>
      <c r="E3322" t="str">
        <f t="shared" si="108"/>
        <v>feel like a stranger</v>
      </c>
      <c r="F3322" t="s">
        <v>5658</v>
      </c>
      <c r="G3322" t="str">
        <f>_xlfn.IFNA(VLOOKUP(F3322,songs!$B$1:$C$1539, 2, FALSE),"")</f>
        <v>Feel Like A Stranger</v>
      </c>
      <c r="H3322" t="s">
        <v>853</v>
      </c>
    </row>
    <row r="3323" spans="1:8" x14ac:dyDescent="0.25">
      <c r="A3323">
        <v>3322</v>
      </c>
      <c r="B3323" t="s">
        <v>4205</v>
      </c>
      <c r="C3323" t="s">
        <v>394</v>
      </c>
      <c r="D3323" t="str">
        <f t="shared" si="109"/>
        <v/>
      </c>
      <c r="E3323" t="str">
        <f t="shared" si="108"/>
        <v>lost sailor</v>
      </c>
      <c r="F3323" t="s">
        <v>6403</v>
      </c>
      <c r="G3323" t="str">
        <f>_xlfn.IFNA(VLOOKUP(F3323,songs!$B$1:$C$1539, 2, FALSE),"")</f>
        <v>Lost Sailor</v>
      </c>
      <c r="H3323" t="s">
        <v>394</v>
      </c>
    </row>
    <row r="3324" spans="1:8" x14ac:dyDescent="0.25">
      <c r="A3324">
        <v>3323</v>
      </c>
      <c r="B3324" t="s">
        <v>4206</v>
      </c>
      <c r="C3324" t="s">
        <v>1486</v>
      </c>
      <c r="D3324" t="str">
        <f t="shared" si="109"/>
        <v/>
      </c>
      <c r="E3324" t="str">
        <f t="shared" si="108"/>
        <v>saint of circumstance</v>
      </c>
      <c r="F3324" t="s">
        <v>6909</v>
      </c>
      <c r="G3324" t="str">
        <f>_xlfn.IFNA(VLOOKUP(F3324,songs!$B$1:$C$1539, 2, FALSE),"")</f>
        <v>Saint Of Circumstance</v>
      </c>
      <c r="H3324" t="s">
        <v>1486</v>
      </c>
    </row>
    <row r="3325" spans="1:8" x14ac:dyDescent="0.25">
      <c r="A3325">
        <v>3329</v>
      </c>
      <c r="B3325" t="s">
        <v>4213</v>
      </c>
      <c r="C3325" t="s">
        <v>122</v>
      </c>
      <c r="D3325" t="str">
        <f t="shared" si="109"/>
        <v/>
      </c>
      <c r="E3325" t="str">
        <f t="shared" si="108"/>
        <v>new minglewood blues</v>
      </c>
      <c r="F3325" t="s">
        <v>7869</v>
      </c>
      <c r="G3325" t="str">
        <f>_xlfn.IFNA(VLOOKUP(F3325,songs!$B$1:$C$1539, 2, FALSE),"")</f>
        <v>Minglewood Blues</v>
      </c>
      <c r="H3325" t="s">
        <v>7867</v>
      </c>
    </row>
    <row r="3326" spans="1:8" x14ac:dyDescent="0.25">
      <c r="A3326">
        <v>3325</v>
      </c>
      <c r="B3326" t="s">
        <v>4209</v>
      </c>
      <c r="C3326" t="s">
        <v>2386</v>
      </c>
      <c r="D3326" t="str">
        <f t="shared" si="109"/>
        <v/>
      </c>
      <c r="E3326" t="str">
        <f t="shared" si="108"/>
        <v>easy to love you</v>
      </c>
      <c r="F3326" t="s">
        <v>5584</v>
      </c>
      <c r="G3326" t="str">
        <f>_xlfn.IFNA(VLOOKUP(F3326,songs!$B$1:$C$1539, 2, FALSE),"")</f>
        <v>Easy To Love You</v>
      </c>
      <c r="H3326" t="s">
        <v>2386</v>
      </c>
    </row>
    <row r="3327" spans="1:8" x14ac:dyDescent="0.25">
      <c r="A3327">
        <v>3326</v>
      </c>
      <c r="B3327" t="s">
        <v>4210</v>
      </c>
      <c r="C3327" t="s">
        <v>215</v>
      </c>
      <c r="D3327" t="str">
        <f t="shared" si="109"/>
        <v/>
      </c>
      <c r="E3327" t="str">
        <f t="shared" si="108"/>
        <v>don't ease me in</v>
      </c>
      <c r="F3327" t="s">
        <v>5513</v>
      </c>
      <c r="G3327" t="str">
        <f>_xlfn.IFNA(VLOOKUP(F3327,songs!$B$1:$C$1539, 2, FALSE),"")</f>
        <v>Don't Ease Me In</v>
      </c>
      <c r="H3327" t="s">
        <v>215</v>
      </c>
    </row>
    <row r="3328" spans="1:8" x14ac:dyDescent="0.25">
      <c r="A3328">
        <v>3327</v>
      </c>
      <c r="B3328" t="s">
        <v>4211</v>
      </c>
      <c r="C3328" t="s">
        <v>65</v>
      </c>
      <c r="D3328" t="str">
        <f t="shared" si="109"/>
        <v/>
      </c>
      <c r="E3328" t="str">
        <f t="shared" si="108"/>
        <v>samson and delilah</v>
      </c>
      <c r="F3328" t="s">
        <v>6925</v>
      </c>
      <c r="G3328" t="str">
        <f>_xlfn.IFNA(VLOOKUP(F3328,songs!$B$1:$C$1539, 2, FALSE),"")</f>
        <v>Samson And Delilah</v>
      </c>
      <c r="H3328" t="s">
        <v>266</v>
      </c>
    </row>
    <row r="3329" spans="1:8" x14ac:dyDescent="0.25">
      <c r="A3329">
        <v>3328</v>
      </c>
      <c r="B3329" t="s">
        <v>4212</v>
      </c>
      <c r="C3329" t="s">
        <v>124</v>
      </c>
      <c r="D3329" t="str">
        <f t="shared" si="109"/>
        <v/>
      </c>
      <c r="E3329" t="str">
        <f t="shared" si="108"/>
        <v>friend of the devil</v>
      </c>
      <c r="F3329" t="s">
        <v>5721</v>
      </c>
      <c r="G3329" t="str">
        <f>_xlfn.IFNA(VLOOKUP(F3329,songs!$B$1:$C$1539, 2, FALSE),"")</f>
        <v>Friend Of The Devil</v>
      </c>
      <c r="H3329" t="s">
        <v>464</v>
      </c>
    </row>
    <row r="3330" spans="1:8" x14ac:dyDescent="0.25">
      <c r="A3330">
        <v>3331</v>
      </c>
      <c r="B3330" t="s">
        <v>4215</v>
      </c>
      <c r="C3330" t="s">
        <v>223</v>
      </c>
      <c r="D3330" t="str">
        <f t="shared" si="109"/>
        <v/>
      </c>
      <c r="E3330" t="str">
        <f t="shared" si="108"/>
        <v>candy man</v>
      </c>
      <c r="F3330" t="s">
        <v>5278</v>
      </c>
      <c r="G3330" t="str">
        <f>_xlfn.IFNA(VLOOKUP(F3330,songs!$B$1:$C$1539, 2, FALSE),"")</f>
        <v>Candyman</v>
      </c>
      <c r="H3330" t="s">
        <v>7867</v>
      </c>
    </row>
    <row r="3331" spans="1:8" x14ac:dyDescent="0.25">
      <c r="A3331">
        <v>3330</v>
      </c>
      <c r="B3331" t="s">
        <v>4214</v>
      </c>
      <c r="C3331" t="s">
        <v>264</v>
      </c>
      <c r="D3331" t="str">
        <f t="shared" si="109"/>
        <v/>
      </c>
      <c r="E3331" t="str">
        <f t="shared" si="108"/>
        <v>deal</v>
      </c>
      <c r="F3331" t="s">
        <v>5461</v>
      </c>
      <c r="G3331" t="str">
        <f>_xlfn.IFNA(VLOOKUP(F3331,songs!$B$1:$C$1539, 2, FALSE),"")</f>
        <v>Deal</v>
      </c>
      <c r="H3331" t="s">
        <v>264</v>
      </c>
    </row>
    <row r="3332" spans="1:8" x14ac:dyDescent="0.25">
      <c r="A3332">
        <v>3337</v>
      </c>
      <c r="B3332" t="s">
        <v>4222</v>
      </c>
      <c r="C3332" t="s">
        <v>1177</v>
      </c>
      <c r="D3332" t="str">
        <f t="shared" si="109"/>
        <v/>
      </c>
      <c r="E3332" t="str">
        <f t="shared" ref="E3332:E3395" si="110">LOWER(TRIM(SUBSTITUTE(IF(RIGHT(TRIM(C3332),2)="-&gt;",LEFT(TRIM(C3332),LEN(TRIM(C3332))-2),IF(RIGHT(TRIM(C3332),1)="&gt;",LEFT(TRIM(C3332),LEN(TRIM(C3332))-1),C3332)),"//","")))</f>
        <v>rhythm devils</v>
      </c>
      <c r="F3332" t="s">
        <v>7833</v>
      </c>
      <c r="G3332" t="s">
        <v>1177</v>
      </c>
      <c r="H3332" t="s">
        <v>7867</v>
      </c>
    </row>
    <row r="3333" spans="1:8" x14ac:dyDescent="0.25">
      <c r="A3333">
        <v>3332</v>
      </c>
      <c r="B3333" t="s">
        <v>4216</v>
      </c>
      <c r="C3333" t="s">
        <v>255</v>
      </c>
      <c r="D3333" t="str">
        <f t="shared" si="109"/>
        <v/>
      </c>
      <c r="E3333" t="str">
        <f t="shared" si="110"/>
        <v>little red rooster</v>
      </c>
      <c r="F3333" t="s">
        <v>6360</v>
      </c>
      <c r="G3333" t="str">
        <f>_xlfn.IFNA(VLOOKUP(F3333,songs!$B$1:$C$1539, 2, FALSE),"")</f>
        <v>Little Red Rooster</v>
      </c>
      <c r="H3333" t="s">
        <v>255</v>
      </c>
    </row>
    <row r="3334" spans="1:8" x14ac:dyDescent="0.25">
      <c r="A3334">
        <v>3333</v>
      </c>
      <c r="B3334" t="s">
        <v>4217</v>
      </c>
      <c r="C3334" t="s">
        <v>291</v>
      </c>
      <c r="D3334" t="str">
        <f t="shared" si="109"/>
        <v/>
      </c>
      <c r="E3334" t="str">
        <f t="shared" si="110"/>
        <v>loser</v>
      </c>
      <c r="F3334" t="s">
        <v>6400</v>
      </c>
      <c r="G3334" t="str">
        <f>_xlfn.IFNA(VLOOKUP(F3334,songs!$B$1:$C$1539, 2, FALSE),"")</f>
        <v>Loser</v>
      </c>
      <c r="H3334" t="s">
        <v>291</v>
      </c>
    </row>
    <row r="3335" spans="1:8" x14ac:dyDescent="0.25">
      <c r="A3335">
        <v>3334</v>
      </c>
      <c r="B3335" t="s">
        <v>4218</v>
      </c>
      <c r="C3335" t="s">
        <v>560</v>
      </c>
      <c r="D3335" t="str">
        <f t="shared" si="109"/>
        <v/>
      </c>
      <c r="E3335" t="str">
        <f t="shared" si="110"/>
        <v>passenger</v>
      </c>
      <c r="F3335" t="s">
        <v>6738</v>
      </c>
      <c r="G3335" t="str">
        <f>_xlfn.IFNA(VLOOKUP(F3335,songs!$B$1:$C$1539, 2, FALSE),"")</f>
        <v>Passenger</v>
      </c>
      <c r="H3335" t="s">
        <v>560</v>
      </c>
    </row>
    <row r="3336" spans="1:8" x14ac:dyDescent="0.25">
      <c r="A3336">
        <v>3335</v>
      </c>
      <c r="B3336" t="s">
        <v>4219</v>
      </c>
      <c r="C3336" t="s">
        <v>4220</v>
      </c>
      <c r="D3336" t="str">
        <f t="shared" si="109"/>
        <v/>
      </c>
      <c r="E3336" t="str">
        <f t="shared" si="110"/>
        <v>feel like a stranger</v>
      </c>
      <c r="F3336" t="s">
        <v>5658</v>
      </c>
      <c r="G3336" t="str">
        <f>_xlfn.IFNA(VLOOKUP(F3336,songs!$B$1:$C$1539, 2, FALSE),"")</f>
        <v>Feel Like A Stranger</v>
      </c>
      <c r="H3336" t="s">
        <v>853</v>
      </c>
    </row>
    <row r="3337" spans="1:8" x14ac:dyDescent="0.25">
      <c r="A3337">
        <v>3336</v>
      </c>
      <c r="B3337" t="s">
        <v>4221</v>
      </c>
      <c r="C3337" t="s">
        <v>63</v>
      </c>
      <c r="D3337" t="str">
        <f t="shared" ref="D3337:D3400" si="111">IF(RIGHT(TRIM(C3337),2)="-&gt;","&gt;",IF(RIGHT(TRIM(C3337),1)="&gt;","&gt;",""))</f>
        <v/>
      </c>
      <c r="E3337" t="str">
        <f t="shared" si="110"/>
        <v>franklin's tower</v>
      </c>
      <c r="F3337" t="s">
        <v>5712</v>
      </c>
      <c r="G3337" t="str">
        <f>_xlfn.IFNA(VLOOKUP(F3337,songs!$B$1:$C$1539, 2, FALSE),"")</f>
        <v>Franklin's Tower</v>
      </c>
      <c r="H3337" t="s">
        <v>63</v>
      </c>
    </row>
    <row r="3338" spans="1:8" x14ac:dyDescent="0.25">
      <c r="A3338">
        <v>3347</v>
      </c>
      <c r="B3338" t="s">
        <v>4232</v>
      </c>
      <c r="C3338" t="s">
        <v>4233</v>
      </c>
      <c r="D3338" t="str">
        <f t="shared" si="111"/>
        <v/>
      </c>
      <c r="E3338" t="str">
        <f t="shared" si="110"/>
        <v>been all around this world</v>
      </c>
      <c r="F3338" t="s">
        <v>7870</v>
      </c>
      <c r="G3338" t="str">
        <f>_xlfn.IFNA(VLOOKUP(F3338,songs!$B$1:$C$1539, 2, FALSE),"")</f>
        <v>I've Been All Around This World</v>
      </c>
      <c r="H3338" t="s">
        <v>7867</v>
      </c>
    </row>
    <row r="3339" spans="1:8" x14ac:dyDescent="0.25">
      <c r="A3339">
        <v>3338</v>
      </c>
      <c r="B3339" t="s">
        <v>4223</v>
      </c>
      <c r="C3339" t="s">
        <v>277</v>
      </c>
      <c r="D3339" t="str">
        <f t="shared" si="111"/>
        <v/>
      </c>
      <c r="E3339" t="str">
        <f t="shared" si="110"/>
        <v>space</v>
      </c>
      <c r="F3339" t="s">
        <v>7091</v>
      </c>
      <c r="G3339" t="str">
        <f>_xlfn.IFNA(VLOOKUP(F3339,songs!$B$1:$C$1539, 2, FALSE),"")</f>
        <v>Space</v>
      </c>
      <c r="H3339" t="s">
        <v>277</v>
      </c>
    </row>
    <row r="3340" spans="1:8" x14ac:dyDescent="0.25">
      <c r="A3340">
        <v>3339</v>
      </c>
      <c r="B3340" t="s">
        <v>4224</v>
      </c>
      <c r="C3340" t="s">
        <v>573</v>
      </c>
      <c r="D3340" t="str">
        <f t="shared" si="111"/>
        <v/>
      </c>
      <c r="E3340" t="str">
        <f t="shared" si="110"/>
        <v>fire on the mountain</v>
      </c>
      <c r="F3340" t="s">
        <v>5675</v>
      </c>
      <c r="G3340" t="str">
        <f>_xlfn.IFNA(VLOOKUP(F3340,songs!$B$1:$C$1539, 2, FALSE),"")</f>
        <v>Fire On The Mountain</v>
      </c>
      <c r="H3340" t="s">
        <v>573</v>
      </c>
    </row>
    <row r="3341" spans="1:8" x14ac:dyDescent="0.25">
      <c r="A3341">
        <v>3340</v>
      </c>
      <c r="B3341" t="s">
        <v>4225</v>
      </c>
      <c r="C3341" t="s">
        <v>154</v>
      </c>
      <c r="D3341" t="str">
        <f t="shared" si="111"/>
        <v/>
      </c>
      <c r="E3341" t="str">
        <f t="shared" si="110"/>
        <v>greatest story ever told</v>
      </c>
      <c r="F3341" t="s">
        <v>5826</v>
      </c>
      <c r="G3341" t="str">
        <f>_xlfn.IFNA(VLOOKUP(F3341,songs!$B$1:$C$1539, 2, FALSE),"")</f>
        <v>Greatest Story Ever Told</v>
      </c>
      <c r="H3341" t="s">
        <v>154</v>
      </c>
    </row>
    <row r="3342" spans="1:8" x14ac:dyDescent="0.25">
      <c r="A3342">
        <v>3341</v>
      </c>
      <c r="B3342" t="s">
        <v>4226</v>
      </c>
      <c r="C3342" t="s">
        <v>145</v>
      </c>
      <c r="D3342" t="str">
        <f t="shared" si="111"/>
        <v/>
      </c>
      <c r="E3342" t="str">
        <f t="shared" si="110"/>
        <v>brokedown palace</v>
      </c>
      <c r="F3342" t="s">
        <v>5250</v>
      </c>
      <c r="G3342" t="str">
        <f>_xlfn.IFNA(VLOOKUP(F3342,songs!$B$1:$C$1539, 2, FALSE),"")</f>
        <v>Brokedown Palace</v>
      </c>
      <c r="H3342" t="s">
        <v>145</v>
      </c>
    </row>
    <row r="3343" spans="1:8" x14ac:dyDescent="0.25">
      <c r="A3343">
        <v>3342</v>
      </c>
      <c r="B3343" t="s">
        <v>4227</v>
      </c>
      <c r="C3343" t="s">
        <v>90</v>
      </c>
      <c r="D3343" t="str">
        <f t="shared" si="111"/>
        <v/>
      </c>
      <c r="E3343" t="str">
        <f t="shared" si="110"/>
        <v>dire wolf</v>
      </c>
      <c r="F3343" t="s">
        <v>5497</v>
      </c>
      <c r="G3343" t="str">
        <f>_xlfn.IFNA(VLOOKUP(F3343,songs!$B$1:$C$1539, 2, FALSE),"")</f>
        <v>Dire Wolf</v>
      </c>
      <c r="H3343" t="s">
        <v>90</v>
      </c>
    </row>
    <row r="3344" spans="1:8" x14ac:dyDescent="0.25">
      <c r="A3344">
        <v>3343</v>
      </c>
      <c r="B3344" t="s">
        <v>4228</v>
      </c>
      <c r="C3344" t="s">
        <v>1400</v>
      </c>
      <c r="D3344" t="str">
        <f t="shared" si="111"/>
        <v/>
      </c>
      <c r="E3344" t="str">
        <f t="shared" si="110"/>
        <v>the race is on</v>
      </c>
      <c r="F3344" t="s">
        <v>7326</v>
      </c>
      <c r="G3344" t="str">
        <f>_xlfn.IFNA(VLOOKUP(F3344,songs!$B$1:$C$1539, 2, FALSE),"")</f>
        <v>The Race Is On</v>
      </c>
      <c r="H3344" t="s">
        <v>1400</v>
      </c>
    </row>
    <row r="3345" spans="1:8" x14ac:dyDescent="0.25">
      <c r="A3345">
        <v>3344</v>
      </c>
      <c r="B3345" t="s">
        <v>4229</v>
      </c>
      <c r="C3345" t="s">
        <v>1463</v>
      </c>
      <c r="D3345" t="str">
        <f t="shared" si="111"/>
        <v/>
      </c>
      <c r="E3345" t="str">
        <f t="shared" si="110"/>
        <v>it must have been the roses</v>
      </c>
      <c r="F3345" t="s">
        <v>6128</v>
      </c>
      <c r="G3345" t="str">
        <f>_xlfn.IFNA(VLOOKUP(F3345,songs!$B$1:$C$1539, 2, FALSE),"")</f>
        <v>It Must Have Been The Roses</v>
      </c>
      <c r="H3345" t="s">
        <v>1057</v>
      </c>
    </row>
    <row r="3346" spans="1:8" x14ac:dyDescent="0.25">
      <c r="A3346">
        <v>3345</v>
      </c>
      <c r="B3346" t="s">
        <v>4230</v>
      </c>
      <c r="C3346" t="s">
        <v>4123</v>
      </c>
      <c r="D3346" t="str">
        <f t="shared" si="111"/>
        <v/>
      </c>
      <c r="E3346" t="str">
        <f t="shared" si="110"/>
        <v>dark hollow</v>
      </c>
      <c r="F3346" t="s">
        <v>5427</v>
      </c>
      <c r="G3346" t="str">
        <f>_xlfn.IFNA(VLOOKUP(F3346,songs!$B$1:$C$1539, 2, FALSE),"")</f>
        <v>Dark Hollow</v>
      </c>
      <c r="H3346" t="s">
        <v>4123</v>
      </c>
    </row>
    <row r="3347" spans="1:8" x14ac:dyDescent="0.25">
      <c r="A3347">
        <v>3346</v>
      </c>
      <c r="B3347" t="s">
        <v>4231</v>
      </c>
      <c r="C3347" t="s">
        <v>304</v>
      </c>
      <c r="D3347" t="str">
        <f t="shared" si="111"/>
        <v/>
      </c>
      <c r="E3347" t="str">
        <f t="shared" si="110"/>
        <v>china doll</v>
      </c>
      <c r="F3347" t="s">
        <v>5320</v>
      </c>
      <c r="G3347" t="str">
        <f>_xlfn.IFNA(VLOOKUP(F3347,songs!$B$1:$C$1539, 2, FALSE),"")</f>
        <v>China Doll</v>
      </c>
      <c r="H3347" t="s">
        <v>304</v>
      </c>
    </row>
    <row r="3348" spans="1:8" x14ac:dyDescent="0.25">
      <c r="A3348">
        <v>3359</v>
      </c>
      <c r="B3348" t="s">
        <v>4248</v>
      </c>
      <c r="C3348" t="s">
        <v>4249</v>
      </c>
      <c r="D3348" t="str">
        <f t="shared" si="111"/>
        <v/>
      </c>
      <c r="E3348" t="str">
        <f t="shared" si="110"/>
        <v>oh babe it ain't no lie</v>
      </c>
      <c r="F3348" t="s">
        <v>6662</v>
      </c>
      <c r="G3348" t="str">
        <f>_xlfn.IFNA(VLOOKUP(F3348,songs!$B$1:$C$1539, 2, FALSE),"")</f>
        <v>Oh Babe, It Ain't No Lie</v>
      </c>
      <c r="H3348" t="s">
        <v>7867</v>
      </c>
    </row>
    <row r="3349" spans="1:8" x14ac:dyDescent="0.25">
      <c r="A3349">
        <v>3348</v>
      </c>
      <c r="B3349" t="s">
        <v>4234</v>
      </c>
      <c r="C3349" t="s">
        <v>4235</v>
      </c>
      <c r="D3349" t="str">
        <f t="shared" si="111"/>
        <v/>
      </c>
      <c r="E3349" t="str">
        <f t="shared" si="110"/>
        <v>monkey and the engineer</v>
      </c>
      <c r="F3349" t="s">
        <v>6544</v>
      </c>
      <c r="G3349" t="str">
        <f>_xlfn.IFNA(VLOOKUP(F3349,songs!$B$1:$C$1539, 2, FALSE),"")</f>
        <v>Monkey And The Engineer</v>
      </c>
      <c r="H3349" t="s">
        <v>4235</v>
      </c>
    </row>
    <row r="3350" spans="1:8" x14ac:dyDescent="0.25">
      <c r="A3350">
        <v>3349</v>
      </c>
      <c r="B3350" t="s">
        <v>4236</v>
      </c>
      <c r="C3350" t="s">
        <v>383</v>
      </c>
      <c r="D3350" t="str">
        <f t="shared" si="111"/>
        <v/>
      </c>
      <c r="E3350" t="str">
        <f t="shared" si="110"/>
        <v>jack-a-roe</v>
      </c>
      <c r="F3350" t="s">
        <v>6162</v>
      </c>
      <c r="G3350" t="str">
        <f>_xlfn.IFNA(VLOOKUP(F3350,songs!$B$1:$C$1539, 2, FALSE),"")</f>
        <v>Jack-A-Roe</v>
      </c>
      <c r="H3350" t="s">
        <v>383</v>
      </c>
    </row>
    <row r="3351" spans="1:8" x14ac:dyDescent="0.25">
      <c r="A3351">
        <v>3350</v>
      </c>
      <c r="B3351" t="s">
        <v>4237</v>
      </c>
      <c r="C3351" t="s">
        <v>227</v>
      </c>
      <c r="D3351" t="str">
        <f t="shared" si="111"/>
        <v/>
      </c>
      <c r="E3351" t="str">
        <f t="shared" si="110"/>
        <v>deep elem blues</v>
      </c>
      <c r="F3351" t="s">
        <v>5471</v>
      </c>
      <c r="G3351" t="str">
        <f>_xlfn.IFNA(VLOOKUP(F3351,songs!$B$1:$C$1539, 2, FALSE),"")</f>
        <v>Deep Elem Blues</v>
      </c>
      <c r="H3351" t="s">
        <v>227</v>
      </c>
    </row>
    <row r="3352" spans="1:8" x14ac:dyDescent="0.25">
      <c r="A3352">
        <v>3351</v>
      </c>
      <c r="B3352" t="s">
        <v>4238</v>
      </c>
      <c r="C3352" t="s">
        <v>262</v>
      </c>
      <c r="D3352" t="str">
        <f t="shared" si="111"/>
        <v/>
      </c>
      <c r="E3352" t="str">
        <f t="shared" si="110"/>
        <v>cassidy</v>
      </c>
      <c r="F3352" t="s">
        <v>5291</v>
      </c>
      <c r="G3352" t="str">
        <f>_xlfn.IFNA(VLOOKUP(F3352,songs!$B$1:$C$1539, 2, FALSE),"")</f>
        <v>Cassidy</v>
      </c>
      <c r="H3352" t="s">
        <v>262</v>
      </c>
    </row>
    <row r="3353" spans="1:8" x14ac:dyDescent="0.25">
      <c r="A3353">
        <v>3352</v>
      </c>
      <c r="B3353" t="s">
        <v>4239</v>
      </c>
      <c r="C3353" t="s">
        <v>365</v>
      </c>
      <c r="D3353" t="str">
        <f t="shared" si="111"/>
        <v/>
      </c>
      <c r="E3353" t="str">
        <f t="shared" si="110"/>
        <v>to lay me down</v>
      </c>
      <c r="F3353" t="s">
        <v>7397</v>
      </c>
      <c r="G3353" t="str">
        <f>_xlfn.IFNA(VLOOKUP(F3353,songs!$B$1:$C$1539, 2, FALSE),"")</f>
        <v>To Lay Me Down</v>
      </c>
      <c r="H3353" t="s">
        <v>365</v>
      </c>
    </row>
    <row r="3354" spans="1:8" x14ac:dyDescent="0.25">
      <c r="A3354">
        <v>3353</v>
      </c>
      <c r="B3354" t="s">
        <v>4240</v>
      </c>
      <c r="C3354" t="s">
        <v>4241</v>
      </c>
      <c r="D3354" t="str">
        <f t="shared" si="111"/>
        <v/>
      </c>
      <c r="E3354" t="str">
        <f t="shared" si="110"/>
        <v>rosa lee mcfall</v>
      </c>
      <c r="F3354" t="s">
        <v>6887</v>
      </c>
      <c r="G3354" t="str">
        <f>_xlfn.IFNA(VLOOKUP(F3354,songs!$B$1:$C$1539, 2, FALSE),"")</f>
        <v>Rosa Lee McFall</v>
      </c>
      <c r="H3354" t="s">
        <v>4241</v>
      </c>
    </row>
    <row r="3355" spans="1:8" x14ac:dyDescent="0.25">
      <c r="A3355">
        <v>3354</v>
      </c>
      <c r="B3355" t="s">
        <v>4242</v>
      </c>
      <c r="C3355" t="s">
        <v>1084</v>
      </c>
      <c r="D3355" t="str">
        <f t="shared" si="111"/>
        <v/>
      </c>
      <c r="E3355" t="str">
        <f t="shared" si="110"/>
        <v>on the road again</v>
      </c>
      <c r="F3355" t="s">
        <v>6692</v>
      </c>
      <c r="G3355" t="str">
        <f>_xlfn.IFNA(VLOOKUP(F3355,songs!$B$1:$C$1539, 2, FALSE),"")</f>
        <v>On The Road Again</v>
      </c>
      <c r="H3355" t="s">
        <v>1084</v>
      </c>
    </row>
    <row r="3356" spans="1:8" x14ac:dyDescent="0.25">
      <c r="A3356">
        <v>3355</v>
      </c>
      <c r="B3356" t="s">
        <v>4243</v>
      </c>
      <c r="C3356" t="s">
        <v>323</v>
      </c>
      <c r="D3356" t="str">
        <f t="shared" si="111"/>
        <v/>
      </c>
      <c r="E3356" t="str">
        <f t="shared" si="110"/>
        <v>bird song</v>
      </c>
      <c r="F3356" t="s">
        <v>5184</v>
      </c>
      <c r="G3356" t="str">
        <f>_xlfn.IFNA(VLOOKUP(F3356,songs!$B$1:$C$1539, 2, FALSE),"")</f>
        <v>Bird Song</v>
      </c>
      <c r="H3356" t="s">
        <v>323</v>
      </c>
    </row>
    <row r="3357" spans="1:8" x14ac:dyDescent="0.25">
      <c r="A3357">
        <v>3356</v>
      </c>
      <c r="B3357" t="s">
        <v>4244</v>
      </c>
      <c r="C3357" t="s">
        <v>3166</v>
      </c>
      <c r="D3357" t="str">
        <f t="shared" si="111"/>
        <v/>
      </c>
      <c r="E3357" t="str">
        <f t="shared" si="110"/>
        <v>ripple</v>
      </c>
      <c r="F3357" t="s">
        <v>6864</v>
      </c>
      <c r="G3357" t="str">
        <f>_xlfn.IFNA(VLOOKUP(F3357,songs!$B$1:$C$1539, 2, FALSE),"")</f>
        <v>Ripple</v>
      </c>
      <c r="H3357" t="s">
        <v>3166</v>
      </c>
    </row>
    <row r="3358" spans="1:8" x14ac:dyDescent="0.25">
      <c r="A3358">
        <v>3357</v>
      </c>
      <c r="B3358" t="s">
        <v>4245</v>
      </c>
      <c r="C3358" t="s">
        <v>90</v>
      </c>
      <c r="D3358" t="str">
        <f t="shared" si="111"/>
        <v/>
      </c>
      <c r="E3358" t="str">
        <f t="shared" si="110"/>
        <v>dire wolf</v>
      </c>
      <c r="F3358" t="s">
        <v>5497</v>
      </c>
      <c r="G3358" t="str">
        <f>_xlfn.IFNA(VLOOKUP(F3358,songs!$B$1:$C$1539, 2, FALSE),"")</f>
        <v>Dire Wolf</v>
      </c>
      <c r="H3358" t="s">
        <v>90</v>
      </c>
    </row>
    <row r="3359" spans="1:8" x14ac:dyDescent="0.25">
      <c r="A3359">
        <v>3358</v>
      </c>
      <c r="B3359" t="s">
        <v>4246</v>
      </c>
      <c r="C3359" t="s">
        <v>4247</v>
      </c>
      <c r="D3359" t="str">
        <f t="shared" si="111"/>
        <v/>
      </c>
      <c r="E3359" t="str">
        <f t="shared" si="110"/>
        <v>the race is on</v>
      </c>
      <c r="F3359" t="s">
        <v>7326</v>
      </c>
      <c r="G3359" t="str">
        <f>_xlfn.IFNA(VLOOKUP(F3359,songs!$B$1:$C$1539, 2, FALSE),"")</f>
        <v>The Race Is On</v>
      </c>
      <c r="H3359" t="s">
        <v>1400</v>
      </c>
    </row>
    <row r="3360" spans="1:8" x14ac:dyDescent="0.25">
      <c r="A3360">
        <v>3365</v>
      </c>
      <c r="B3360" t="s">
        <v>4257</v>
      </c>
      <c r="C3360" t="s">
        <v>4258</v>
      </c>
      <c r="D3360" t="str">
        <f t="shared" si="111"/>
        <v/>
      </c>
      <c r="E3360" t="str">
        <f t="shared" si="110"/>
        <v>jackaroe</v>
      </c>
      <c r="F3360" t="s">
        <v>6162</v>
      </c>
      <c r="G3360" t="str">
        <f>_xlfn.IFNA(VLOOKUP(F3360,songs!$B$1:$C$1539, 2, FALSE),"")</f>
        <v>Jack-A-Roe</v>
      </c>
      <c r="H3360" t="s">
        <v>7867</v>
      </c>
    </row>
    <row r="3361" spans="1:8" x14ac:dyDescent="0.25">
      <c r="A3361">
        <v>3360</v>
      </c>
      <c r="B3361" t="s">
        <v>4250</v>
      </c>
      <c r="C3361" t="s">
        <v>1463</v>
      </c>
      <c r="D3361" t="str">
        <f t="shared" si="111"/>
        <v/>
      </c>
      <c r="E3361" t="str">
        <f t="shared" si="110"/>
        <v>it must have been the roses</v>
      </c>
      <c r="F3361" t="s">
        <v>6128</v>
      </c>
      <c r="G3361" t="str">
        <f>_xlfn.IFNA(VLOOKUP(F3361,songs!$B$1:$C$1539, 2, FALSE),"")</f>
        <v>It Must Have Been The Roses</v>
      </c>
      <c r="H3361" t="s">
        <v>1057</v>
      </c>
    </row>
    <row r="3362" spans="1:8" x14ac:dyDescent="0.25">
      <c r="A3362">
        <v>3361</v>
      </c>
      <c r="B3362" t="s">
        <v>4251</v>
      </c>
      <c r="C3362" t="s">
        <v>4123</v>
      </c>
      <c r="D3362" t="str">
        <f t="shared" si="111"/>
        <v/>
      </c>
      <c r="E3362" t="str">
        <f t="shared" si="110"/>
        <v>dark hollow</v>
      </c>
      <c r="F3362" t="s">
        <v>5427</v>
      </c>
      <c r="G3362" t="str">
        <f>_xlfn.IFNA(VLOOKUP(F3362,songs!$B$1:$C$1539, 2, FALSE),"")</f>
        <v>Dark Hollow</v>
      </c>
      <c r="H3362" t="s">
        <v>4123</v>
      </c>
    </row>
    <row r="3363" spans="1:8" x14ac:dyDescent="0.25">
      <c r="A3363">
        <v>3362</v>
      </c>
      <c r="B3363" t="s">
        <v>4252</v>
      </c>
      <c r="C3363" t="s">
        <v>304</v>
      </c>
      <c r="D3363" t="str">
        <f t="shared" si="111"/>
        <v/>
      </c>
      <c r="E3363" t="str">
        <f t="shared" si="110"/>
        <v>china doll</v>
      </c>
      <c r="F3363" t="s">
        <v>5320</v>
      </c>
      <c r="G3363" t="str">
        <f>_xlfn.IFNA(VLOOKUP(F3363,songs!$B$1:$C$1539, 2, FALSE),"")</f>
        <v>China Doll</v>
      </c>
      <c r="H3363" t="s">
        <v>304</v>
      </c>
    </row>
    <row r="3364" spans="1:8" x14ac:dyDescent="0.25">
      <c r="A3364">
        <v>3363</v>
      </c>
      <c r="B3364" t="s">
        <v>4253</v>
      </c>
      <c r="C3364" t="s">
        <v>4254</v>
      </c>
      <c r="D3364" t="str">
        <f t="shared" si="111"/>
        <v/>
      </c>
      <c r="E3364" t="str">
        <f t="shared" si="110"/>
        <v>i've been all around this world</v>
      </c>
      <c r="F3364" t="s">
        <v>6147</v>
      </c>
      <c r="G3364" t="str">
        <f>_xlfn.IFNA(VLOOKUP(F3364,songs!$B$1:$C$1539, 2, FALSE),"")</f>
        <v>I've Been All Around This World</v>
      </c>
      <c r="H3364" t="s">
        <v>2590</v>
      </c>
    </row>
    <row r="3365" spans="1:8" x14ac:dyDescent="0.25">
      <c r="A3365">
        <v>3364</v>
      </c>
      <c r="B3365" t="s">
        <v>4255</v>
      </c>
      <c r="C3365" t="s">
        <v>4256</v>
      </c>
      <c r="D3365" t="str">
        <f t="shared" si="111"/>
        <v/>
      </c>
      <c r="E3365" t="str">
        <f t="shared" si="110"/>
        <v>monkey and the engineer</v>
      </c>
      <c r="F3365" t="s">
        <v>6544</v>
      </c>
      <c r="G3365" t="str">
        <f>_xlfn.IFNA(VLOOKUP(F3365,songs!$B$1:$C$1539, 2, FALSE),"")</f>
        <v>Monkey And The Engineer</v>
      </c>
      <c r="H3365" t="s">
        <v>4235</v>
      </c>
    </row>
    <row r="3366" spans="1:8" x14ac:dyDescent="0.25">
      <c r="A3366">
        <v>3369</v>
      </c>
      <c r="B3366" t="s">
        <v>4262</v>
      </c>
      <c r="C3366" t="s">
        <v>4263</v>
      </c>
      <c r="D3366" t="str">
        <f t="shared" si="111"/>
        <v/>
      </c>
      <c r="E3366" t="str">
        <f t="shared" si="110"/>
        <v>rosalie mcfall</v>
      </c>
      <c r="F3366" t="s">
        <v>6887</v>
      </c>
      <c r="G3366" t="str">
        <f>_xlfn.IFNA(VLOOKUP(F3366,songs!$B$1:$C$1539, 2, FALSE),"")</f>
        <v>Rosa Lee McFall</v>
      </c>
      <c r="H3366" t="s">
        <v>7867</v>
      </c>
    </row>
    <row r="3367" spans="1:8" x14ac:dyDescent="0.25">
      <c r="A3367">
        <v>3366</v>
      </c>
      <c r="B3367" t="s">
        <v>4259</v>
      </c>
      <c r="C3367" t="s">
        <v>227</v>
      </c>
      <c r="D3367" t="str">
        <f t="shared" si="111"/>
        <v/>
      </c>
      <c r="E3367" t="str">
        <f t="shared" si="110"/>
        <v>deep elem blues</v>
      </c>
      <c r="F3367" t="s">
        <v>5471</v>
      </c>
      <c r="G3367" t="str">
        <f>_xlfn.IFNA(VLOOKUP(F3367,songs!$B$1:$C$1539, 2, FALSE),"")</f>
        <v>Deep Elem Blues</v>
      </c>
      <c r="H3367" t="s">
        <v>227</v>
      </c>
    </row>
    <row r="3368" spans="1:8" x14ac:dyDescent="0.25">
      <c r="A3368">
        <v>3367</v>
      </c>
      <c r="B3368" t="s">
        <v>4260</v>
      </c>
      <c r="C3368" t="s">
        <v>262</v>
      </c>
      <c r="D3368" t="str">
        <f t="shared" si="111"/>
        <v/>
      </c>
      <c r="E3368" t="str">
        <f t="shared" si="110"/>
        <v>cassidy</v>
      </c>
      <c r="F3368" t="s">
        <v>5291</v>
      </c>
      <c r="G3368" t="str">
        <f>_xlfn.IFNA(VLOOKUP(F3368,songs!$B$1:$C$1539, 2, FALSE),"")</f>
        <v>Cassidy</v>
      </c>
      <c r="H3368" t="s">
        <v>262</v>
      </c>
    </row>
    <row r="3369" spans="1:8" x14ac:dyDescent="0.25">
      <c r="A3369">
        <v>3368</v>
      </c>
      <c r="B3369" t="s">
        <v>4261</v>
      </c>
      <c r="C3369" t="s">
        <v>365</v>
      </c>
      <c r="D3369" t="str">
        <f t="shared" si="111"/>
        <v/>
      </c>
      <c r="E3369" t="str">
        <f t="shared" si="110"/>
        <v>to lay me down</v>
      </c>
      <c r="F3369" t="s">
        <v>7397</v>
      </c>
      <c r="G3369" t="str">
        <f>_xlfn.IFNA(VLOOKUP(F3369,songs!$B$1:$C$1539, 2, FALSE),"")</f>
        <v>To Lay Me Down</v>
      </c>
      <c r="H3369" t="s">
        <v>365</v>
      </c>
    </row>
    <row r="3370" spans="1:8" x14ac:dyDescent="0.25">
      <c r="A3370">
        <v>3371</v>
      </c>
      <c r="B3370" t="s">
        <v>4266</v>
      </c>
      <c r="C3370" t="s">
        <v>4267</v>
      </c>
      <c r="D3370" t="str">
        <f t="shared" si="111"/>
        <v/>
      </c>
      <c r="E3370" t="str">
        <f t="shared" si="110"/>
        <v>birdsong</v>
      </c>
      <c r="F3370" t="s">
        <v>5184</v>
      </c>
      <c r="G3370" t="str">
        <f>_xlfn.IFNA(VLOOKUP(F3370,songs!$B$1:$C$1539, 2, FALSE),"")</f>
        <v>Bird Song</v>
      </c>
      <c r="H3370" t="s">
        <v>7867</v>
      </c>
    </row>
    <row r="3371" spans="1:8" x14ac:dyDescent="0.25">
      <c r="A3371">
        <v>3370</v>
      </c>
      <c r="B3371" t="s">
        <v>4264</v>
      </c>
      <c r="C3371" t="s">
        <v>4265</v>
      </c>
      <c r="D3371" t="str">
        <f t="shared" si="111"/>
        <v/>
      </c>
      <c r="E3371" t="str">
        <f t="shared" si="110"/>
        <v>on the road again</v>
      </c>
      <c r="F3371" t="s">
        <v>6692</v>
      </c>
      <c r="G3371" t="str">
        <f>_xlfn.IFNA(VLOOKUP(F3371,songs!$B$1:$C$1539, 2, FALSE),"")</f>
        <v>On The Road Again</v>
      </c>
      <c r="H3371" t="s">
        <v>1084</v>
      </c>
    </row>
    <row r="3372" spans="1:8" x14ac:dyDescent="0.25">
      <c r="A3372">
        <v>3389</v>
      </c>
      <c r="B3372" t="s">
        <v>4295</v>
      </c>
      <c r="C3372" t="s">
        <v>4296</v>
      </c>
      <c r="D3372" t="str">
        <f t="shared" si="111"/>
        <v/>
      </c>
      <c r="E3372" t="str">
        <f t="shared" si="110"/>
        <v>slow train (live)</v>
      </c>
      <c r="F3372" t="s">
        <v>7885</v>
      </c>
      <c r="G3372" t="s">
        <v>7886</v>
      </c>
      <c r="H3372" t="s">
        <v>7867</v>
      </c>
    </row>
    <row r="3373" spans="1:8" x14ac:dyDescent="0.25">
      <c r="A3373">
        <v>3372</v>
      </c>
      <c r="B3373" t="s">
        <v>4268</v>
      </c>
      <c r="C3373" t="s">
        <v>3166</v>
      </c>
      <c r="D3373" t="str">
        <f t="shared" si="111"/>
        <v/>
      </c>
      <c r="E3373" t="str">
        <f t="shared" si="110"/>
        <v>ripple</v>
      </c>
      <c r="F3373" t="s">
        <v>6864</v>
      </c>
      <c r="G3373" t="str">
        <f>_xlfn.IFNA(VLOOKUP(F3373,songs!$B$1:$C$1539, 2, FALSE),"")</f>
        <v>Ripple</v>
      </c>
      <c r="H3373" t="s">
        <v>3166</v>
      </c>
    </row>
    <row r="3374" spans="1:8" x14ac:dyDescent="0.25">
      <c r="A3374">
        <v>3373</v>
      </c>
      <c r="B3374" t="s">
        <v>4269</v>
      </c>
      <c r="C3374" t="s">
        <v>2253</v>
      </c>
      <c r="D3374" t="str">
        <f t="shared" si="111"/>
        <v/>
      </c>
      <c r="E3374" t="str">
        <f t="shared" si="110"/>
        <v>touch of grey</v>
      </c>
      <c r="F3374" t="s">
        <v>7419</v>
      </c>
      <c r="G3374" t="str">
        <f>_xlfn.IFNA(VLOOKUP(F3374,songs!$B$1:$C$1539, 2, FALSE),"")</f>
        <v>Touch Of Grey</v>
      </c>
      <c r="H3374" t="s">
        <v>2253</v>
      </c>
    </row>
    <row r="3375" spans="1:8" x14ac:dyDescent="0.25">
      <c r="A3375">
        <v>3374</v>
      </c>
      <c r="B3375" t="s">
        <v>4270</v>
      </c>
      <c r="C3375" t="s">
        <v>4271</v>
      </c>
      <c r="D3375" t="str">
        <f t="shared" si="111"/>
        <v/>
      </c>
      <c r="E3375" t="str">
        <f t="shared" si="110"/>
        <v>hell in a bucket</v>
      </c>
      <c r="F3375" t="s">
        <v>5884</v>
      </c>
      <c r="G3375" t="str">
        <f>_xlfn.IFNA(VLOOKUP(F3375,songs!$B$1:$C$1539, 2, FALSE),"")</f>
        <v>Hell In A Bucket</v>
      </c>
      <c r="H3375" t="s">
        <v>4271</v>
      </c>
    </row>
    <row r="3376" spans="1:8" x14ac:dyDescent="0.25">
      <c r="A3376">
        <v>3375</v>
      </c>
      <c r="B3376" t="s">
        <v>4272</v>
      </c>
      <c r="C3376" t="s">
        <v>2225</v>
      </c>
      <c r="D3376" t="str">
        <f t="shared" si="111"/>
        <v/>
      </c>
      <c r="E3376" t="str">
        <f t="shared" si="110"/>
        <v>when push comes to shove</v>
      </c>
      <c r="F3376" t="s">
        <v>7695</v>
      </c>
      <c r="G3376" t="str">
        <f>_xlfn.IFNA(VLOOKUP(F3376,songs!$B$1:$C$1539, 2, FALSE),"")</f>
        <v>When Push Comes To Shove</v>
      </c>
      <c r="H3376" t="s">
        <v>2225</v>
      </c>
    </row>
    <row r="3377" spans="1:8" x14ac:dyDescent="0.25">
      <c r="A3377">
        <v>3376</v>
      </c>
      <c r="B3377" t="s">
        <v>4273</v>
      </c>
      <c r="C3377" t="s">
        <v>2355</v>
      </c>
      <c r="D3377" t="str">
        <f t="shared" si="111"/>
        <v/>
      </c>
      <c r="E3377" t="str">
        <f t="shared" si="110"/>
        <v>west l.a. fadeaway</v>
      </c>
      <c r="F3377" t="s">
        <v>7663</v>
      </c>
      <c r="G3377" t="str">
        <f>_xlfn.IFNA(VLOOKUP(F3377,songs!$B$1:$C$1539, 2, FALSE),"")</f>
        <v>West L.A. Fadeaway</v>
      </c>
      <c r="H3377" t="s">
        <v>2355</v>
      </c>
    </row>
    <row r="3378" spans="1:8" x14ac:dyDescent="0.25">
      <c r="A3378">
        <v>3377</v>
      </c>
      <c r="B3378" t="s">
        <v>4274</v>
      </c>
      <c r="C3378" t="s">
        <v>4275</v>
      </c>
      <c r="D3378" t="str">
        <f t="shared" si="111"/>
        <v/>
      </c>
      <c r="E3378" t="str">
        <f t="shared" si="110"/>
        <v>tons of steel</v>
      </c>
      <c r="F3378" t="s">
        <v>7414</v>
      </c>
      <c r="G3378" t="str">
        <f>_xlfn.IFNA(VLOOKUP(F3378,songs!$B$1:$C$1539, 2, FALSE),"")</f>
        <v>Tons Of Steel</v>
      </c>
      <c r="H3378" t="s">
        <v>4275</v>
      </c>
    </row>
    <row r="3379" spans="1:8" x14ac:dyDescent="0.25">
      <c r="A3379">
        <v>3378</v>
      </c>
      <c r="B3379" t="s">
        <v>4276</v>
      </c>
      <c r="C3379" t="s">
        <v>877</v>
      </c>
      <c r="D3379" t="str">
        <f t="shared" si="111"/>
        <v/>
      </c>
      <c r="E3379" t="str">
        <f t="shared" si="110"/>
        <v>throwing stones</v>
      </c>
      <c r="F3379" t="s">
        <v>7383</v>
      </c>
      <c r="G3379" t="str">
        <f>_xlfn.IFNA(VLOOKUP(F3379,songs!$B$1:$C$1539, 2, FALSE),"")</f>
        <v>Throwing Stones</v>
      </c>
      <c r="H3379" t="s">
        <v>877</v>
      </c>
    </row>
    <row r="3380" spans="1:8" x14ac:dyDescent="0.25">
      <c r="A3380">
        <v>3379</v>
      </c>
      <c r="B3380" t="s">
        <v>4277</v>
      </c>
      <c r="C3380" t="s">
        <v>4278</v>
      </c>
      <c r="D3380" t="str">
        <f t="shared" si="111"/>
        <v/>
      </c>
      <c r="E3380" t="str">
        <f t="shared" si="110"/>
        <v>black muddy river</v>
      </c>
      <c r="F3380" t="s">
        <v>5189</v>
      </c>
      <c r="G3380" t="str">
        <f>_xlfn.IFNA(VLOOKUP(F3380,songs!$B$1:$C$1539, 2, FALSE),"")</f>
        <v>Black Muddy River</v>
      </c>
      <c r="H3380" t="s">
        <v>4278</v>
      </c>
    </row>
    <row r="3381" spans="1:8" x14ac:dyDescent="0.25">
      <c r="A3381">
        <v>3380</v>
      </c>
      <c r="B3381" t="s">
        <v>4279</v>
      </c>
      <c r="C3381" t="s">
        <v>2414</v>
      </c>
      <c r="D3381" t="str">
        <f t="shared" si="111"/>
        <v/>
      </c>
      <c r="E3381" t="str">
        <f t="shared" si="110"/>
        <v>foolish heart</v>
      </c>
      <c r="F3381" t="s">
        <v>5700</v>
      </c>
      <c r="G3381" t="str">
        <f>_xlfn.IFNA(VLOOKUP(F3381,songs!$B$1:$C$1539, 2, FALSE),"")</f>
        <v>Foolish Heart</v>
      </c>
      <c r="H3381" t="s">
        <v>2414</v>
      </c>
    </row>
    <row r="3382" spans="1:8" x14ac:dyDescent="0.25">
      <c r="A3382">
        <v>3381</v>
      </c>
      <c r="B3382" t="s">
        <v>4280</v>
      </c>
      <c r="C3382" t="s">
        <v>4281</v>
      </c>
      <c r="D3382" t="str">
        <f t="shared" si="111"/>
        <v/>
      </c>
      <c r="E3382" t="str">
        <f t="shared" si="110"/>
        <v>just a little light</v>
      </c>
      <c r="F3382" t="s">
        <v>6209</v>
      </c>
      <c r="G3382" t="str">
        <f>_xlfn.IFNA(VLOOKUP(F3382,songs!$B$1:$C$1539, 2, FALSE),"")</f>
        <v>Just A Little Light</v>
      </c>
      <c r="H3382" t="s">
        <v>4281</v>
      </c>
    </row>
    <row r="3383" spans="1:8" x14ac:dyDescent="0.25">
      <c r="A3383">
        <v>3382</v>
      </c>
      <c r="B3383" t="s">
        <v>4282</v>
      </c>
      <c r="C3383" t="s">
        <v>4283</v>
      </c>
      <c r="D3383" t="str">
        <f t="shared" si="111"/>
        <v/>
      </c>
      <c r="E3383" t="str">
        <f t="shared" si="110"/>
        <v>built to last</v>
      </c>
      <c r="F3383" t="s">
        <v>5264</v>
      </c>
      <c r="G3383" t="str">
        <f>_xlfn.IFNA(VLOOKUP(F3383,songs!$B$1:$C$1539, 2, FALSE),"")</f>
        <v>Built To Last</v>
      </c>
      <c r="H3383" t="s">
        <v>4283</v>
      </c>
    </row>
    <row r="3384" spans="1:8" x14ac:dyDescent="0.25">
      <c r="A3384">
        <v>3383</v>
      </c>
      <c r="B3384" t="s">
        <v>4284</v>
      </c>
      <c r="C3384" t="s">
        <v>4285</v>
      </c>
      <c r="D3384" t="str">
        <f t="shared" si="111"/>
        <v/>
      </c>
      <c r="E3384" t="str">
        <f t="shared" si="110"/>
        <v>blow away</v>
      </c>
      <c r="F3384" t="s">
        <v>5198</v>
      </c>
      <c r="G3384" t="str">
        <f>_xlfn.IFNA(VLOOKUP(F3384,songs!$B$1:$C$1539, 2, FALSE),"")</f>
        <v>Blow Away</v>
      </c>
      <c r="H3384" t="s">
        <v>4285</v>
      </c>
    </row>
    <row r="3385" spans="1:8" x14ac:dyDescent="0.25">
      <c r="A3385">
        <v>3384</v>
      </c>
      <c r="B3385" t="s">
        <v>4286</v>
      </c>
      <c r="C3385" t="s">
        <v>4287</v>
      </c>
      <c r="D3385" t="str">
        <f t="shared" si="111"/>
        <v/>
      </c>
      <c r="E3385" t="str">
        <f t="shared" si="110"/>
        <v>victim or the crime</v>
      </c>
      <c r="F3385" t="s">
        <v>7594</v>
      </c>
      <c r="G3385" t="str">
        <f>_xlfn.IFNA(VLOOKUP(F3385,songs!$B$1:$C$1539, 2, FALSE),"")</f>
        <v>Victim Or The Crime</v>
      </c>
      <c r="H3385" t="s">
        <v>524</v>
      </c>
    </row>
    <row r="3386" spans="1:8" x14ac:dyDescent="0.25">
      <c r="A3386">
        <v>3385</v>
      </c>
      <c r="B3386" t="s">
        <v>4288</v>
      </c>
      <c r="C3386" t="s">
        <v>4289</v>
      </c>
      <c r="D3386" t="str">
        <f t="shared" si="111"/>
        <v/>
      </c>
      <c r="E3386" t="str">
        <f t="shared" si="110"/>
        <v>we can run</v>
      </c>
      <c r="F3386" t="s">
        <v>7652</v>
      </c>
      <c r="G3386" t="str">
        <f>_xlfn.IFNA(VLOOKUP(F3386,songs!$B$1:$C$1539, 2, FALSE),"")</f>
        <v>We Can Run</v>
      </c>
      <c r="H3386" t="s">
        <v>4289</v>
      </c>
    </row>
    <row r="3387" spans="1:8" x14ac:dyDescent="0.25">
      <c r="A3387">
        <v>3386</v>
      </c>
      <c r="B3387" t="s">
        <v>4290</v>
      </c>
      <c r="C3387" t="s">
        <v>4291</v>
      </c>
      <c r="D3387" t="str">
        <f t="shared" si="111"/>
        <v/>
      </c>
      <c r="E3387" t="str">
        <f t="shared" si="110"/>
        <v>standing on the moon</v>
      </c>
      <c r="F3387" t="s">
        <v>7109</v>
      </c>
      <c r="G3387" t="str">
        <f>_xlfn.IFNA(VLOOKUP(F3387,songs!$B$1:$C$1539, 2, FALSE),"")</f>
        <v>Standing On The Moon</v>
      </c>
      <c r="H3387" t="s">
        <v>4291</v>
      </c>
    </row>
    <row r="3388" spans="1:8" x14ac:dyDescent="0.25">
      <c r="A3388">
        <v>3387</v>
      </c>
      <c r="B3388" t="s">
        <v>4292</v>
      </c>
      <c r="C3388" t="s">
        <v>2409</v>
      </c>
      <c r="D3388" t="str">
        <f t="shared" si="111"/>
        <v/>
      </c>
      <c r="E3388" t="str">
        <f t="shared" si="110"/>
        <v>picasso moon</v>
      </c>
      <c r="F3388" t="s">
        <v>6756</v>
      </c>
      <c r="G3388" t="str">
        <f>_xlfn.IFNA(VLOOKUP(F3388,songs!$B$1:$C$1539, 2, FALSE),"")</f>
        <v>Picasso Moon</v>
      </c>
      <c r="H3388" t="s">
        <v>2409</v>
      </c>
    </row>
    <row r="3389" spans="1:8" x14ac:dyDescent="0.25">
      <c r="A3389">
        <v>3388</v>
      </c>
      <c r="B3389" t="s">
        <v>4293</v>
      </c>
      <c r="C3389" t="s">
        <v>4294</v>
      </c>
      <c r="D3389" t="str">
        <f t="shared" si="111"/>
        <v/>
      </c>
      <c r="E3389" t="str">
        <f t="shared" si="110"/>
        <v>i will take you home</v>
      </c>
      <c r="F3389" t="s">
        <v>6041</v>
      </c>
      <c r="G3389" t="str">
        <f>_xlfn.IFNA(VLOOKUP(F3389,songs!$B$1:$C$1539, 2, FALSE),"")</f>
        <v>I Will Take You Home</v>
      </c>
      <c r="H3389" t="s">
        <v>4294</v>
      </c>
    </row>
    <row r="3390" spans="1:8" x14ac:dyDescent="0.25">
      <c r="A3390">
        <v>3390</v>
      </c>
      <c r="B3390" t="s">
        <v>4297</v>
      </c>
      <c r="C3390" t="s">
        <v>4298</v>
      </c>
      <c r="D3390" t="str">
        <f t="shared" si="111"/>
        <v/>
      </c>
      <c r="E3390" t="str">
        <f t="shared" si="110"/>
        <v>i want you (live)</v>
      </c>
      <c r="F3390" t="s">
        <v>6035</v>
      </c>
      <c r="G3390" t="str">
        <f>_xlfn.IFNA(VLOOKUP(F3390,songs!$B$1:$C$1539, 2, FALSE),"")</f>
        <v>I Want You</v>
      </c>
      <c r="H3390" t="s">
        <v>7867</v>
      </c>
    </row>
    <row r="3391" spans="1:8" x14ac:dyDescent="0.25">
      <c r="A3391">
        <v>3391</v>
      </c>
      <c r="B3391" t="s">
        <v>4299</v>
      </c>
      <c r="C3391" t="s">
        <v>4300</v>
      </c>
      <c r="D3391" t="str">
        <f t="shared" si="111"/>
        <v/>
      </c>
      <c r="E3391" t="str">
        <f t="shared" si="110"/>
        <v>gotta serve somebody (live)</v>
      </c>
      <c r="F3391" t="s">
        <v>5822</v>
      </c>
      <c r="G3391" t="str">
        <f>_xlfn.IFNA(VLOOKUP(F3391,songs!$B$1:$C$1539, 2, FALSE),"")</f>
        <v>Gotta Serve Somebody</v>
      </c>
      <c r="H3391" t="s">
        <v>7867</v>
      </c>
    </row>
    <row r="3392" spans="1:8" x14ac:dyDescent="0.25">
      <c r="A3392">
        <v>3392</v>
      </c>
      <c r="B3392" t="s">
        <v>4301</v>
      </c>
      <c r="C3392" t="s">
        <v>4302</v>
      </c>
      <c r="D3392" t="str">
        <f t="shared" si="111"/>
        <v/>
      </c>
      <c r="E3392" t="str">
        <f t="shared" si="110"/>
        <v>queen jane approximately (live)</v>
      </c>
      <c r="F3392" t="s">
        <v>6804</v>
      </c>
      <c r="G3392" t="str">
        <f>_xlfn.IFNA(VLOOKUP(F3392,songs!$B$1:$C$1539, 2, FALSE),"")</f>
        <v>Queen Jane Approximately</v>
      </c>
      <c r="H3392" t="s">
        <v>7867</v>
      </c>
    </row>
    <row r="3393" spans="1:8" x14ac:dyDescent="0.25">
      <c r="A3393">
        <v>3393</v>
      </c>
      <c r="B3393" t="s">
        <v>4303</v>
      </c>
      <c r="C3393" t="s">
        <v>4304</v>
      </c>
      <c r="D3393" t="str">
        <f t="shared" si="111"/>
        <v/>
      </c>
      <c r="E3393" t="str">
        <f t="shared" si="110"/>
        <v>joey (live)</v>
      </c>
      <c r="F3393" t="s">
        <v>7880</v>
      </c>
      <c r="G3393" t="s">
        <v>6185</v>
      </c>
      <c r="H3393" t="s">
        <v>7867</v>
      </c>
    </row>
    <row r="3394" spans="1:8" x14ac:dyDescent="0.25">
      <c r="A3394">
        <v>3394</v>
      </c>
      <c r="B3394" t="s">
        <v>4305</v>
      </c>
      <c r="C3394" t="s">
        <v>4306</v>
      </c>
      <c r="D3394" t="str">
        <f t="shared" si="111"/>
        <v/>
      </c>
      <c r="E3394" t="str">
        <f t="shared" si="110"/>
        <v>all along the watchtower (live)</v>
      </c>
      <c r="F3394" t="s">
        <v>5051</v>
      </c>
      <c r="G3394" t="str">
        <f>_xlfn.IFNA(VLOOKUP(F3394,songs!$B$1:$C$1539, 2, FALSE),"")</f>
        <v>All Along The Watchtower</v>
      </c>
      <c r="H3394" t="s">
        <v>7867</v>
      </c>
    </row>
    <row r="3395" spans="1:8" x14ac:dyDescent="0.25">
      <c r="A3395">
        <v>3395</v>
      </c>
      <c r="B3395" t="s">
        <v>4307</v>
      </c>
      <c r="C3395" t="s">
        <v>4308</v>
      </c>
      <c r="D3395" t="str">
        <f t="shared" si="111"/>
        <v/>
      </c>
      <c r="E3395" t="str">
        <f t="shared" si="110"/>
        <v>knockin' on heaven's door (live)</v>
      </c>
      <c r="F3395" t="s">
        <v>6251</v>
      </c>
      <c r="G3395" t="str">
        <f>_xlfn.IFNA(VLOOKUP(F3395,songs!$B$1:$C$1539, 2, FALSE),"")</f>
        <v>Knockin' On Heaven's Door</v>
      </c>
      <c r="H3395" t="s">
        <v>7867</v>
      </c>
    </row>
    <row r="3396" spans="1:8" x14ac:dyDescent="0.25">
      <c r="A3396">
        <v>3396</v>
      </c>
      <c r="B3396" t="s">
        <v>4309</v>
      </c>
      <c r="C3396" t="s">
        <v>4310</v>
      </c>
      <c r="D3396" t="str">
        <f t="shared" si="111"/>
        <v/>
      </c>
      <c r="E3396" t="str">
        <f t="shared" ref="E3396:E3459" si="112">LOWER(TRIM(SUBSTITUTE(IF(RIGHT(TRIM(C3396),2)="-&gt;",LEFT(TRIM(C3396),LEN(TRIM(C3396))-2),IF(RIGHT(TRIM(C3396),1)="&gt;",LEFT(TRIM(C3396),LEN(TRIM(C3396))-1),C3396)),"//","")))</f>
        <v>liberty - 1994-10-14 - madison square garden</v>
      </c>
      <c r="F3396" t="s">
        <v>6327</v>
      </c>
      <c r="G3396" t="str">
        <f>_xlfn.IFNA(VLOOKUP(F3396,songs!$B$1:$C$1539, 2, FALSE),"")</f>
        <v>Liberty</v>
      </c>
      <c r="H3396" t="s">
        <v>7867</v>
      </c>
    </row>
    <row r="3397" spans="1:8" x14ac:dyDescent="0.25">
      <c r="A3397">
        <v>3397</v>
      </c>
      <c r="B3397" t="s">
        <v>4311</v>
      </c>
      <c r="C3397" t="s">
        <v>4312</v>
      </c>
      <c r="D3397" t="str">
        <f t="shared" si="111"/>
        <v/>
      </c>
      <c r="E3397" t="str">
        <f t="shared" si="112"/>
        <v>eternity - 1995-04-02 - memphis pyramid</v>
      </c>
      <c r="F3397" t="s">
        <v>5613</v>
      </c>
      <c r="G3397" t="str">
        <f>_xlfn.IFNA(VLOOKUP(F3397,songs!$B$1:$C$1539, 2, FALSE),"")</f>
        <v>Eternity</v>
      </c>
      <c r="H3397" t="s">
        <v>7867</v>
      </c>
    </row>
    <row r="3398" spans="1:8" x14ac:dyDescent="0.25">
      <c r="A3398">
        <v>3398</v>
      </c>
      <c r="B3398" t="s">
        <v>4313</v>
      </c>
      <c r="C3398" t="s">
        <v>4314</v>
      </c>
      <c r="D3398" t="str">
        <f t="shared" si="111"/>
        <v/>
      </c>
      <c r="E3398" t="str">
        <f t="shared" si="112"/>
        <v>lazy river road - 1993-03-25 dean dome - dean smith center, chapel hill, nc</v>
      </c>
      <c r="F3398" t="s">
        <v>6294</v>
      </c>
      <c r="G3398" t="str">
        <f>_xlfn.IFNA(VLOOKUP(F3398,songs!$B$1:$C$1539, 2, FALSE),"")</f>
        <v>Lazy River Road</v>
      </c>
      <c r="H3398" t="s">
        <v>7867</v>
      </c>
    </row>
    <row r="3399" spans="1:8" x14ac:dyDescent="0.25">
      <c r="A3399">
        <v>3399</v>
      </c>
      <c r="B3399" t="s">
        <v>4315</v>
      </c>
      <c r="C3399" t="s">
        <v>4316</v>
      </c>
      <c r="D3399" t="str">
        <f t="shared" si="111"/>
        <v/>
      </c>
      <c r="E3399" t="str">
        <f t="shared" si="112"/>
        <v>samba in the rain - unknown</v>
      </c>
      <c r="F3399" t="s">
        <v>6923</v>
      </c>
      <c r="G3399" t="str">
        <f>_xlfn.IFNA(VLOOKUP(F3399,songs!$B$1:$C$1539, 2, FALSE),"")</f>
        <v>Samba In The Rain</v>
      </c>
      <c r="H3399" t="s">
        <v>7867</v>
      </c>
    </row>
    <row r="3400" spans="1:8" x14ac:dyDescent="0.25">
      <c r="A3400">
        <v>3400</v>
      </c>
      <c r="B3400" t="s">
        <v>4317</v>
      </c>
      <c r="C3400" t="s">
        <v>4318</v>
      </c>
      <c r="D3400" t="str">
        <f t="shared" si="111"/>
        <v/>
      </c>
      <c r="E3400" t="str">
        <f t="shared" si="112"/>
        <v>so many roads 1992-06-23 [star lake amphitheater, burgettstown, pa]</v>
      </c>
      <c r="F3400" t="s">
        <v>7053</v>
      </c>
      <c r="G3400" t="str">
        <f>_xlfn.IFNA(VLOOKUP(F3400,songs!$B$1:$C$1539, 2, FALSE),"")</f>
        <v>So Many Roads</v>
      </c>
      <c r="H3400" t="s">
        <v>7867</v>
      </c>
    </row>
    <row r="3401" spans="1:8" x14ac:dyDescent="0.25">
      <c r="A3401">
        <v>3401</v>
      </c>
      <c r="B3401" t="s">
        <v>4319</v>
      </c>
      <c r="C3401" t="s">
        <v>4320</v>
      </c>
      <c r="D3401" t="str">
        <f t="shared" ref="D3401:D3464" si="113">IF(RIGHT(TRIM(C3401),2)="-&gt;","&gt;",IF(RIGHT(TRIM(C3401),1)="&gt;","&gt;",""))</f>
        <v/>
      </c>
      <c r="E3401" t="str">
        <f t="shared" si="112"/>
        <v>way to go home 1992-06-28 [deer creek music center, noblesville, in]</v>
      </c>
      <c r="F3401" t="s">
        <v>7650</v>
      </c>
      <c r="G3401" t="str">
        <f>_xlfn.IFNA(VLOOKUP(F3401,songs!$B$1:$C$1539, 2, FALSE),"")</f>
        <v>Way To Go Home</v>
      </c>
      <c r="H3401" t="s">
        <v>7867</v>
      </c>
    </row>
    <row r="3402" spans="1:8" x14ac:dyDescent="0.25">
      <c r="A3402">
        <v>3402</v>
      </c>
      <c r="B3402" t="s">
        <v>4321</v>
      </c>
      <c r="C3402" t="s">
        <v>4322</v>
      </c>
      <c r="D3402" t="str">
        <f t="shared" si="113"/>
        <v/>
      </c>
      <c r="E3402" t="str">
        <f t="shared" si="112"/>
        <v>corrina - 1994-10-14 msg</v>
      </c>
      <c r="F3402" t="s">
        <v>7862</v>
      </c>
      <c r="G3402" t="s">
        <v>7874</v>
      </c>
      <c r="H3402" t="s">
        <v>7867</v>
      </c>
    </row>
    <row r="3403" spans="1:8" x14ac:dyDescent="0.25">
      <c r="A3403">
        <v>861</v>
      </c>
      <c r="B3403" t="s">
        <v>1169</v>
      </c>
      <c r="C3403" t="s">
        <v>1170</v>
      </c>
      <c r="D3403" t="str">
        <f t="shared" si="113"/>
        <v/>
      </c>
      <c r="E3403" t="str">
        <f t="shared" si="112"/>
        <v>take a step back</v>
      </c>
      <c r="F3403" t="s">
        <v>7832</v>
      </c>
      <c r="G3403" t="str">
        <f>_xlfn.IFNA(VLOOKUP(F3403,songs!$B$1:$C$1539, 2, FALSE),"")</f>
        <v/>
      </c>
      <c r="H3403" t="s">
        <v>7867</v>
      </c>
    </row>
    <row r="3404" spans="1:8" x14ac:dyDescent="0.25">
      <c r="A3404">
        <v>3403</v>
      </c>
      <c r="B3404" t="s">
        <v>4323</v>
      </c>
      <c r="C3404" t="s">
        <v>4324</v>
      </c>
      <c r="D3404" t="str">
        <f t="shared" si="113"/>
        <v/>
      </c>
      <c r="E3404" t="str">
        <f t="shared" si="112"/>
        <v>easy answers - 1993-09-13 - spectrum, philly</v>
      </c>
      <c r="F3404" t="s">
        <v>5582</v>
      </c>
      <c r="G3404" t="str">
        <f>_xlfn.IFNA(VLOOKUP(F3404,songs!$B$1:$C$1539, 2, FALSE),"")</f>
        <v>Easy Answers</v>
      </c>
      <c r="H3404" t="s">
        <v>7867</v>
      </c>
    </row>
    <row r="3405" spans="1:8" x14ac:dyDescent="0.25">
      <c r="A3405">
        <v>3405</v>
      </c>
      <c r="B3405" t="s">
        <v>4327</v>
      </c>
      <c r="C3405" t="s">
        <v>4328</v>
      </c>
      <c r="D3405" t="str">
        <f t="shared" si="113"/>
        <v/>
      </c>
      <c r="E3405" t="str">
        <f t="shared" si="112"/>
        <v>lazy river road (garcia,hunter)</v>
      </c>
      <c r="F3405" t="s">
        <v>6294</v>
      </c>
      <c r="G3405" t="str">
        <f>_xlfn.IFNA(VLOOKUP(F3405,songs!$B$1:$C$1539, 2, FALSE),"")</f>
        <v>Lazy River Road</v>
      </c>
      <c r="H3405" t="s">
        <v>7867</v>
      </c>
    </row>
    <row r="3406" spans="1:8" x14ac:dyDescent="0.25">
      <c r="A3406">
        <v>3406</v>
      </c>
      <c r="B3406" t="s">
        <v>4329</v>
      </c>
      <c r="C3406" t="s">
        <v>4330</v>
      </c>
      <c r="D3406" t="str">
        <f t="shared" si="113"/>
        <v/>
      </c>
      <c r="E3406" t="str">
        <f t="shared" si="112"/>
        <v>so many roads (garcia,hunter)</v>
      </c>
      <c r="F3406" t="s">
        <v>7053</v>
      </c>
      <c r="G3406" t="str">
        <f>_xlfn.IFNA(VLOOKUP(F3406,songs!$B$1:$C$1539, 2, FALSE),"")</f>
        <v>So Many Roads</v>
      </c>
      <c r="H3406" t="s">
        <v>7867</v>
      </c>
    </row>
    <row r="3407" spans="1:8" x14ac:dyDescent="0.25">
      <c r="A3407">
        <v>3407</v>
      </c>
      <c r="B3407" t="s">
        <v>4331</v>
      </c>
      <c r="C3407" t="s">
        <v>4332</v>
      </c>
      <c r="D3407" t="str">
        <f t="shared" si="113"/>
        <v/>
      </c>
      <c r="E3407" t="str">
        <f t="shared" si="112"/>
        <v>wave to the wind (lesh,hunter)</v>
      </c>
      <c r="F3407" t="s">
        <v>7646</v>
      </c>
      <c r="G3407" t="str">
        <f>_xlfn.IFNA(VLOOKUP(F3407,songs!$B$1:$C$1539, 2, FALSE),"")</f>
        <v>Wave To The Wind</v>
      </c>
      <c r="H3407" t="s">
        <v>7867</v>
      </c>
    </row>
    <row r="3408" spans="1:8" x14ac:dyDescent="0.25">
      <c r="A3408">
        <v>3408</v>
      </c>
      <c r="B3408" t="s">
        <v>4333</v>
      </c>
      <c r="C3408" t="s">
        <v>4334</v>
      </c>
      <c r="D3408" t="str">
        <f t="shared" si="113"/>
        <v/>
      </c>
      <c r="E3408" t="str">
        <f t="shared" si="112"/>
        <v>eternity (weir,dixon)</v>
      </c>
      <c r="F3408" t="s">
        <v>5613</v>
      </c>
      <c r="G3408" t="str">
        <f>_xlfn.IFNA(VLOOKUP(F3408,songs!$B$1:$C$1539, 2, FALSE),"")</f>
        <v>Eternity</v>
      </c>
      <c r="H3408" t="s">
        <v>7867</v>
      </c>
    </row>
    <row r="3409" spans="1:8" x14ac:dyDescent="0.25">
      <c r="A3409">
        <v>3409</v>
      </c>
      <c r="B3409" t="s">
        <v>4335</v>
      </c>
      <c r="C3409" t="s">
        <v>4336</v>
      </c>
      <c r="D3409" t="str">
        <f t="shared" si="113"/>
        <v/>
      </c>
      <c r="E3409" t="str">
        <f t="shared" si="112"/>
        <v>the days between (garcia,hunter)</v>
      </c>
      <c r="F3409" t="s">
        <v>7278</v>
      </c>
      <c r="G3409" t="str">
        <f>_xlfn.IFNA(VLOOKUP(F3409,songs!$B$1:$C$1539, 2, FALSE),"")</f>
        <v>The Days Between</v>
      </c>
      <c r="H3409" t="s">
        <v>7867</v>
      </c>
    </row>
    <row r="3410" spans="1:8" x14ac:dyDescent="0.25">
      <c r="A3410">
        <v>3410</v>
      </c>
      <c r="B3410" t="s">
        <v>4337</v>
      </c>
      <c r="C3410" t="s">
        <v>4338</v>
      </c>
      <c r="D3410" t="str">
        <f t="shared" si="113"/>
        <v/>
      </c>
      <c r="E3410" t="str">
        <f t="shared" si="112"/>
        <v>way to go home (welnick,hunter,bralove)</v>
      </c>
      <c r="F3410" t="s">
        <v>7650</v>
      </c>
      <c r="G3410" t="str">
        <f>_xlfn.IFNA(VLOOKUP(F3410,songs!$B$1:$C$1539, 2, FALSE),"")</f>
        <v>Way To Go Home</v>
      </c>
      <c r="H3410" t="s">
        <v>7867</v>
      </c>
    </row>
    <row r="3411" spans="1:8" x14ac:dyDescent="0.25">
      <c r="A3411">
        <v>3411</v>
      </c>
      <c r="B3411" t="s">
        <v>4339</v>
      </c>
      <c r="C3411" t="s">
        <v>4340</v>
      </c>
      <c r="D3411" t="str">
        <f t="shared" si="113"/>
        <v/>
      </c>
      <c r="E3411" t="str">
        <f t="shared" si="112"/>
        <v>corinna (weir,hart,hunter)</v>
      </c>
      <c r="F3411" t="s">
        <v>7873</v>
      </c>
      <c r="G3411" t="s">
        <v>7874</v>
      </c>
      <c r="H3411" t="s">
        <v>7867</v>
      </c>
    </row>
    <row r="3412" spans="1:8" x14ac:dyDescent="0.25">
      <c r="A3412">
        <v>3412</v>
      </c>
      <c r="B3412" t="s">
        <v>4341</v>
      </c>
      <c r="C3412" t="s">
        <v>4342</v>
      </c>
      <c r="D3412" t="str">
        <f t="shared" si="113"/>
        <v/>
      </c>
      <c r="E3412" t="str">
        <f t="shared" si="112"/>
        <v>liberty (garcia,hunter)</v>
      </c>
      <c r="F3412" t="s">
        <v>6327</v>
      </c>
      <c r="G3412" t="str">
        <f>_xlfn.IFNA(VLOOKUP(F3412,songs!$B$1:$C$1539, 2, FALSE),"")</f>
        <v>Liberty</v>
      </c>
      <c r="H3412" t="s">
        <v>7867</v>
      </c>
    </row>
    <row r="3413" spans="1:8" x14ac:dyDescent="0.25">
      <c r="A3413">
        <v>3413</v>
      </c>
      <c r="B3413" t="s">
        <v>4343</v>
      </c>
      <c r="C3413" t="s">
        <v>4344</v>
      </c>
      <c r="D3413" t="str">
        <f t="shared" si="113"/>
        <v/>
      </c>
      <c r="E3413" t="str">
        <f t="shared" si="112"/>
        <v>the golden road (to unlimited devotion)</v>
      </c>
      <c r="F3413" t="s">
        <v>5800</v>
      </c>
      <c r="G3413" t="str">
        <f>_xlfn.IFNA(VLOOKUP(F3413,songs!$B$1:$C$1539, 2, FALSE),"")</f>
        <v>Golden Road To Unlimited Devotion</v>
      </c>
      <c r="H3413" t="s">
        <v>7867</v>
      </c>
    </row>
    <row r="3414" spans="1:8" x14ac:dyDescent="0.25">
      <c r="A3414">
        <v>3415</v>
      </c>
      <c r="B3414" t="s">
        <v>4346</v>
      </c>
      <c r="C3414" t="s">
        <v>713</v>
      </c>
      <c r="D3414" t="str">
        <f t="shared" si="113"/>
        <v/>
      </c>
      <c r="E3414" t="str">
        <f t="shared" si="112"/>
        <v>good morning little school girl</v>
      </c>
      <c r="F3414" t="s">
        <v>5811</v>
      </c>
      <c r="G3414" t="str">
        <f>_xlfn.IFNA(VLOOKUP(F3414,songs!$B$1:$C$1539, 2, FALSE),"")</f>
        <v>Good Morning Little Schoolgirl</v>
      </c>
      <c r="H3414" t="s">
        <v>7867</v>
      </c>
    </row>
    <row r="3415" spans="1:8" x14ac:dyDescent="0.25">
      <c r="A3415">
        <v>3414</v>
      </c>
      <c r="B3415" t="s">
        <v>4345</v>
      </c>
      <c r="C3415" t="s">
        <v>431</v>
      </c>
      <c r="D3415" t="str">
        <f t="shared" si="113"/>
        <v/>
      </c>
      <c r="E3415" t="str">
        <f t="shared" si="112"/>
        <v>beat it on down the line</v>
      </c>
      <c r="F3415" t="s">
        <v>5149</v>
      </c>
      <c r="G3415" t="str">
        <f>_xlfn.IFNA(VLOOKUP(F3415,songs!$B$1:$C$1539, 2, FALSE),"")</f>
        <v>Beat It On Down The Line</v>
      </c>
      <c r="H3415" t="s">
        <v>431</v>
      </c>
    </row>
    <row r="3416" spans="1:8" x14ac:dyDescent="0.25">
      <c r="A3416">
        <v>3420</v>
      </c>
      <c r="B3416" t="s">
        <v>4351</v>
      </c>
      <c r="C3416" t="s">
        <v>4352</v>
      </c>
      <c r="D3416" t="str">
        <f t="shared" si="113"/>
        <v/>
      </c>
      <c r="E3416" t="str">
        <f t="shared" si="112"/>
        <v>new new minglewood blues</v>
      </c>
      <c r="F3416" t="s">
        <v>7869</v>
      </c>
      <c r="G3416" t="str">
        <f>_xlfn.IFNA(VLOOKUP(F3416,songs!$B$1:$C$1539, 2, FALSE),"")</f>
        <v>Minglewood Blues</v>
      </c>
      <c r="H3416" t="s">
        <v>7867</v>
      </c>
    </row>
    <row r="3417" spans="1:8" x14ac:dyDescent="0.25">
      <c r="A3417">
        <v>3416</v>
      </c>
      <c r="B3417" t="s">
        <v>4347</v>
      </c>
      <c r="C3417" t="s">
        <v>429</v>
      </c>
      <c r="D3417" t="str">
        <f t="shared" si="113"/>
        <v/>
      </c>
      <c r="E3417" t="str">
        <f t="shared" si="112"/>
        <v>cold rain and snow</v>
      </c>
      <c r="F3417" t="s">
        <v>5347</v>
      </c>
      <c r="G3417" t="str">
        <f>_xlfn.IFNA(VLOOKUP(F3417,songs!$B$1:$C$1539, 2, FALSE),"")</f>
        <v>Cold Rain And Snow</v>
      </c>
      <c r="H3417" t="s">
        <v>429</v>
      </c>
    </row>
    <row r="3418" spans="1:8" x14ac:dyDescent="0.25">
      <c r="A3418">
        <v>3417</v>
      </c>
      <c r="B3418" t="s">
        <v>4348</v>
      </c>
      <c r="C3418" t="s">
        <v>843</v>
      </c>
      <c r="D3418" t="str">
        <f t="shared" si="113"/>
        <v/>
      </c>
      <c r="E3418" t="str">
        <f t="shared" si="112"/>
        <v>sitting on top of the world</v>
      </c>
      <c r="F3418" t="s">
        <v>7024</v>
      </c>
      <c r="G3418" t="str">
        <f>_xlfn.IFNA(VLOOKUP(F3418,songs!$B$1:$C$1539, 2, FALSE),"")</f>
        <v>Sitting On Top Of The World</v>
      </c>
      <c r="H3418" t="s">
        <v>843</v>
      </c>
    </row>
    <row r="3419" spans="1:8" x14ac:dyDescent="0.25">
      <c r="A3419">
        <v>3418</v>
      </c>
      <c r="B3419" t="s">
        <v>4349</v>
      </c>
      <c r="C3419" t="s">
        <v>3088</v>
      </c>
      <c r="D3419" t="str">
        <f t="shared" si="113"/>
        <v/>
      </c>
      <c r="E3419" t="str">
        <f t="shared" si="112"/>
        <v>cream puff war</v>
      </c>
      <c r="F3419" t="s">
        <v>5395</v>
      </c>
      <c r="G3419" t="str">
        <f>_xlfn.IFNA(VLOOKUP(F3419,songs!$B$1:$C$1539, 2, FALSE),"")</f>
        <v>Cream Puff War</v>
      </c>
      <c r="H3419" t="s">
        <v>3088</v>
      </c>
    </row>
    <row r="3420" spans="1:8" x14ac:dyDescent="0.25">
      <c r="A3420">
        <v>3419</v>
      </c>
      <c r="B3420" t="s">
        <v>4350</v>
      </c>
      <c r="C3420" t="s">
        <v>212</v>
      </c>
      <c r="D3420" t="str">
        <f t="shared" si="113"/>
        <v/>
      </c>
      <c r="E3420" t="str">
        <f t="shared" si="112"/>
        <v>morning dew</v>
      </c>
      <c r="F3420" t="s">
        <v>6555</v>
      </c>
      <c r="G3420" t="str">
        <f>_xlfn.IFNA(VLOOKUP(F3420,songs!$B$1:$C$1539, 2, FALSE),"")</f>
        <v>Morning Dew</v>
      </c>
      <c r="H3420" t="s">
        <v>212</v>
      </c>
    </row>
    <row r="3421" spans="1:8" x14ac:dyDescent="0.25">
      <c r="A3421">
        <v>3422</v>
      </c>
      <c r="B3421" t="s">
        <v>4354</v>
      </c>
      <c r="C3421" t="s">
        <v>4355</v>
      </c>
      <c r="D3421" t="str">
        <f t="shared" si="113"/>
        <v/>
      </c>
      <c r="E3421" t="str">
        <f t="shared" si="112"/>
        <v>that's it for the other one (parts i-iv)</v>
      </c>
      <c r="F3421" t="s">
        <v>7325</v>
      </c>
      <c r="G3421" t="str">
        <f>_xlfn.IFNA(VLOOKUP(F3421,songs!$B$1:$C$1539, 2, FALSE),"")</f>
        <v>The Other One</v>
      </c>
      <c r="H3421" t="s">
        <v>7867</v>
      </c>
    </row>
    <row r="3422" spans="1:8" x14ac:dyDescent="0.25">
      <c r="A3422">
        <v>3421</v>
      </c>
      <c r="B3422" t="s">
        <v>4353</v>
      </c>
      <c r="C3422" t="s">
        <v>250</v>
      </c>
      <c r="D3422" t="str">
        <f t="shared" si="113"/>
        <v/>
      </c>
      <c r="E3422" t="str">
        <f t="shared" si="112"/>
        <v>viola lee blues</v>
      </c>
      <c r="F3422" t="s">
        <v>7595</v>
      </c>
      <c r="G3422" t="str">
        <f>_xlfn.IFNA(VLOOKUP(F3422,songs!$B$1:$C$1539, 2, FALSE),"")</f>
        <v>Viola Lee Blues</v>
      </c>
      <c r="H3422" t="s">
        <v>250</v>
      </c>
    </row>
    <row r="3423" spans="1:8" x14ac:dyDescent="0.25">
      <c r="A3423">
        <v>3426</v>
      </c>
      <c r="B3423" t="s">
        <v>4359</v>
      </c>
      <c r="C3423" t="s">
        <v>4360</v>
      </c>
      <c r="D3423" t="str">
        <f t="shared" si="113"/>
        <v/>
      </c>
      <c r="E3423" t="str">
        <f t="shared" si="112"/>
        <v>caution (do not stop on the tracks)</v>
      </c>
      <c r="F3423" t="s">
        <v>5300</v>
      </c>
      <c r="G3423" t="str">
        <f>_xlfn.IFNA(VLOOKUP(F3423,songs!$B$1:$C$1539, 2, FALSE),"")</f>
        <v>Caution (Do Not Stop On Tracks)</v>
      </c>
      <c r="H3423" t="s">
        <v>7867</v>
      </c>
    </row>
    <row r="3424" spans="1:8" x14ac:dyDescent="0.25">
      <c r="A3424">
        <v>3423</v>
      </c>
      <c r="B3424" t="s">
        <v>4356</v>
      </c>
      <c r="C3424" t="s">
        <v>717</v>
      </c>
      <c r="D3424" t="str">
        <f t="shared" si="113"/>
        <v/>
      </c>
      <c r="E3424" t="str">
        <f t="shared" si="112"/>
        <v>new potato caboose</v>
      </c>
      <c r="F3424" t="s">
        <v>6621</v>
      </c>
      <c r="G3424" t="str">
        <f>_xlfn.IFNA(VLOOKUP(F3424,songs!$B$1:$C$1539, 2, FALSE),"")</f>
        <v>New Potato Caboose</v>
      </c>
      <c r="H3424" t="s">
        <v>717</v>
      </c>
    </row>
    <row r="3425" spans="1:8" x14ac:dyDescent="0.25">
      <c r="A3425">
        <v>3424</v>
      </c>
      <c r="B3425" t="s">
        <v>4357</v>
      </c>
      <c r="C3425" t="s">
        <v>3105</v>
      </c>
      <c r="D3425" t="str">
        <f t="shared" si="113"/>
        <v/>
      </c>
      <c r="E3425" t="str">
        <f t="shared" si="112"/>
        <v>born cross-eyed</v>
      </c>
      <c r="F3425" t="s">
        <v>5228</v>
      </c>
      <c r="G3425" t="str">
        <f>_xlfn.IFNA(VLOOKUP(F3425,songs!$B$1:$C$1539, 2, FALSE),"")</f>
        <v>Born Cross-Eyed</v>
      </c>
      <c r="H3425" t="s">
        <v>3105</v>
      </c>
    </row>
    <row r="3426" spans="1:8" x14ac:dyDescent="0.25">
      <c r="A3426">
        <v>3425</v>
      </c>
      <c r="B3426" t="s">
        <v>4358</v>
      </c>
      <c r="C3426" t="s">
        <v>98</v>
      </c>
      <c r="D3426" t="str">
        <f t="shared" si="113"/>
        <v/>
      </c>
      <c r="E3426" t="str">
        <f t="shared" si="112"/>
        <v>alligator</v>
      </c>
      <c r="F3426" t="s">
        <v>5072</v>
      </c>
      <c r="G3426" t="str">
        <f>_xlfn.IFNA(VLOOKUP(F3426,songs!$B$1:$C$1539, 2, FALSE),"")</f>
        <v>Alligator</v>
      </c>
      <c r="H3426" t="s">
        <v>98</v>
      </c>
    </row>
    <row r="3427" spans="1:8" x14ac:dyDescent="0.25">
      <c r="A3427">
        <v>3427</v>
      </c>
      <c r="B3427" t="s">
        <v>4361</v>
      </c>
      <c r="C3427" t="s">
        <v>32</v>
      </c>
      <c r="D3427" t="str">
        <f t="shared" si="113"/>
        <v/>
      </c>
      <c r="E3427" t="str">
        <f t="shared" si="112"/>
        <v>st. stephen</v>
      </c>
      <c r="F3427" t="s">
        <v>6910</v>
      </c>
      <c r="G3427" t="str">
        <f>_xlfn.IFNA(VLOOKUP(F3427,songs!$B$1:$C$1539, 2, FALSE),"")</f>
        <v>Saint Stephen</v>
      </c>
      <c r="H3427" t="s">
        <v>7867</v>
      </c>
    </row>
    <row r="3428" spans="1:8" x14ac:dyDescent="0.25">
      <c r="A3428">
        <v>3435</v>
      </c>
      <c r="B3428" t="s">
        <v>4369</v>
      </c>
      <c r="C3428" t="s">
        <v>4370</v>
      </c>
      <c r="D3428" t="str">
        <f t="shared" si="113"/>
        <v/>
      </c>
      <c r="E3428" t="str">
        <f t="shared" si="112"/>
        <v>box of rain (remastered version)</v>
      </c>
      <c r="F3428" t="s">
        <v>5237</v>
      </c>
      <c r="G3428" t="str">
        <f>_xlfn.IFNA(VLOOKUP(F3428,songs!$B$1:$C$1539, 2, FALSE),"")</f>
        <v>Box Of Rain</v>
      </c>
      <c r="H3428" t="s">
        <v>7867</v>
      </c>
    </row>
    <row r="3429" spans="1:8" x14ac:dyDescent="0.25">
      <c r="A3429">
        <v>3428</v>
      </c>
      <c r="B3429" t="s">
        <v>4362</v>
      </c>
      <c r="C3429" t="s">
        <v>556</v>
      </c>
      <c r="D3429" t="str">
        <f t="shared" si="113"/>
        <v/>
      </c>
      <c r="E3429" t="str">
        <f t="shared" si="112"/>
        <v>dupree's diamond blues</v>
      </c>
      <c r="F3429" t="s">
        <v>5573</v>
      </c>
      <c r="G3429" t="str">
        <f>_xlfn.IFNA(VLOOKUP(F3429,songs!$B$1:$C$1539, 2, FALSE),"")</f>
        <v>Dupree's Diamond Blues</v>
      </c>
      <c r="H3429" t="s">
        <v>556</v>
      </c>
    </row>
    <row r="3430" spans="1:8" x14ac:dyDescent="0.25">
      <c r="A3430">
        <v>3429</v>
      </c>
      <c r="B3430" t="s">
        <v>4363</v>
      </c>
      <c r="C3430" t="s">
        <v>3119</v>
      </c>
      <c r="D3430" t="str">
        <f t="shared" si="113"/>
        <v/>
      </c>
      <c r="E3430" t="str">
        <f t="shared" si="112"/>
        <v>rosemary</v>
      </c>
      <c r="F3430" t="s">
        <v>6890</v>
      </c>
      <c r="G3430" t="str">
        <f>_xlfn.IFNA(VLOOKUP(F3430,songs!$B$1:$C$1539, 2, FALSE),"")</f>
        <v>Rosemary</v>
      </c>
      <c r="H3430" t="s">
        <v>3119</v>
      </c>
    </row>
    <row r="3431" spans="1:8" x14ac:dyDescent="0.25">
      <c r="A3431">
        <v>3430</v>
      </c>
      <c r="B3431" t="s">
        <v>4364</v>
      </c>
      <c r="C3431" t="s">
        <v>828</v>
      </c>
      <c r="D3431" t="str">
        <f t="shared" si="113"/>
        <v/>
      </c>
      <c r="E3431" t="str">
        <f t="shared" si="112"/>
        <v>doin' that rag</v>
      </c>
      <c r="F3431" t="s">
        <v>5508</v>
      </c>
      <c r="G3431" t="str">
        <f>_xlfn.IFNA(VLOOKUP(F3431,songs!$B$1:$C$1539, 2, FALSE),"")</f>
        <v>Doin' That Rag</v>
      </c>
      <c r="H3431" t="s">
        <v>828</v>
      </c>
    </row>
    <row r="3432" spans="1:8" x14ac:dyDescent="0.25">
      <c r="A3432">
        <v>3431</v>
      </c>
      <c r="B3432" t="s">
        <v>4365</v>
      </c>
      <c r="C3432" t="s">
        <v>3983</v>
      </c>
      <c r="D3432" t="str">
        <f t="shared" si="113"/>
        <v/>
      </c>
      <c r="E3432" t="str">
        <f t="shared" si="112"/>
        <v>mountains of the moon</v>
      </c>
      <c r="F3432" t="s">
        <v>6568</v>
      </c>
      <c r="G3432" t="str">
        <f>_xlfn.IFNA(VLOOKUP(F3432,songs!$B$1:$C$1539, 2, FALSE),"")</f>
        <v>Mountains Of The Moon</v>
      </c>
      <c r="H3432" t="s">
        <v>3983</v>
      </c>
    </row>
    <row r="3433" spans="1:8" x14ac:dyDescent="0.25">
      <c r="A3433">
        <v>3432</v>
      </c>
      <c r="B3433" t="s">
        <v>4366</v>
      </c>
      <c r="C3433" t="s">
        <v>84</v>
      </c>
      <c r="D3433" t="str">
        <f t="shared" si="113"/>
        <v/>
      </c>
      <c r="E3433" t="str">
        <f t="shared" si="112"/>
        <v>china cat sunflower</v>
      </c>
      <c r="F3433" t="s">
        <v>5319</v>
      </c>
      <c r="G3433" t="str">
        <f>_xlfn.IFNA(VLOOKUP(F3433,songs!$B$1:$C$1539, 2, FALSE),"")</f>
        <v>China Cat Sunflower</v>
      </c>
      <c r="H3433" t="s">
        <v>84</v>
      </c>
    </row>
    <row r="3434" spans="1:8" x14ac:dyDescent="0.25">
      <c r="A3434">
        <v>3433</v>
      </c>
      <c r="B3434" t="s">
        <v>4367</v>
      </c>
      <c r="C3434" t="s">
        <v>3986</v>
      </c>
      <c r="D3434" t="str">
        <f t="shared" si="113"/>
        <v/>
      </c>
      <c r="E3434" t="str">
        <f t="shared" si="112"/>
        <v>what's become of the baby</v>
      </c>
      <c r="F3434" t="s">
        <v>7681</v>
      </c>
      <c r="G3434" t="str">
        <f>_xlfn.IFNA(VLOOKUP(F3434,songs!$B$1:$C$1539, 2, FALSE),"")</f>
        <v>What's Become Of The Baby</v>
      </c>
      <c r="H3434" t="s">
        <v>3986</v>
      </c>
    </row>
    <row r="3435" spans="1:8" x14ac:dyDescent="0.25">
      <c r="A3435">
        <v>3434</v>
      </c>
      <c r="B3435" t="s">
        <v>4368</v>
      </c>
      <c r="C3435" t="s">
        <v>239</v>
      </c>
      <c r="D3435" t="str">
        <f t="shared" si="113"/>
        <v/>
      </c>
      <c r="E3435" t="str">
        <f t="shared" si="112"/>
        <v>cosmic charlie</v>
      </c>
      <c r="F3435" t="s">
        <v>5373</v>
      </c>
      <c r="G3435" t="str">
        <f>_xlfn.IFNA(VLOOKUP(F3435,songs!$B$1:$C$1539, 2, FALSE),"")</f>
        <v>Cosmic Charlie</v>
      </c>
      <c r="H3435" t="s">
        <v>239</v>
      </c>
    </row>
    <row r="3436" spans="1:8" x14ac:dyDescent="0.25">
      <c r="A3436">
        <v>3436</v>
      </c>
      <c r="B3436" t="s">
        <v>4371</v>
      </c>
      <c r="C3436" t="s">
        <v>4372</v>
      </c>
      <c r="D3436" t="str">
        <f t="shared" si="113"/>
        <v/>
      </c>
      <c r="E3436" t="str">
        <f t="shared" si="112"/>
        <v>friend of the devil (remastered version)</v>
      </c>
      <c r="F3436" t="s">
        <v>5721</v>
      </c>
      <c r="G3436" t="str">
        <f>_xlfn.IFNA(VLOOKUP(F3436,songs!$B$1:$C$1539, 2, FALSE),"")</f>
        <v>Friend Of The Devil</v>
      </c>
      <c r="H3436" t="s">
        <v>7867</v>
      </c>
    </row>
    <row r="3437" spans="1:8" x14ac:dyDescent="0.25">
      <c r="A3437">
        <v>3438</v>
      </c>
      <c r="B3437" t="s">
        <v>4374</v>
      </c>
      <c r="C3437" t="s">
        <v>4375</v>
      </c>
      <c r="D3437" t="str">
        <f t="shared" si="113"/>
        <v/>
      </c>
      <c r="E3437" t="str">
        <f t="shared" si="112"/>
        <v>operator (remastered version)</v>
      </c>
      <c r="F3437" t="s">
        <v>6713</v>
      </c>
      <c r="G3437" t="str">
        <f>_xlfn.IFNA(VLOOKUP(F3437,songs!$B$1:$C$1539, 2, FALSE),"")</f>
        <v>Operator</v>
      </c>
      <c r="H3437" t="s">
        <v>7867</v>
      </c>
    </row>
    <row r="3438" spans="1:8" x14ac:dyDescent="0.25">
      <c r="A3438">
        <v>3437</v>
      </c>
      <c r="B3438" t="s">
        <v>4373</v>
      </c>
      <c r="C3438" t="s">
        <v>30</v>
      </c>
      <c r="D3438" t="str">
        <f t="shared" si="113"/>
        <v/>
      </c>
      <c r="E3438" t="str">
        <f t="shared" si="112"/>
        <v>sugar magnolia</v>
      </c>
      <c r="F3438" t="s">
        <v>7150</v>
      </c>
      <c r="G3438" t="str">
        <f>_xlfn.IFNA(VLOOKUP(F3438,songs!$B$1:$C$1539, 2, FALSE),"")</f>
        <v>Sugar Magnolia</v>
      </c>
      <c r="H3438" t="s">
        <v>30</v>
      </c>
    </row>
    <row r="3439" spans="1:8" x14ac:dyDescent="0.25">
      <c r="A3439">
        <v>3439</v>
      </c>
      <c r="B3439" t="s">
        <v>4376</v>
      </c>
      <c r="C3439" t="s">
        <v>4377</v>
      </c>
      <c r="D3439" t="str">
        <f t="shared" si="113"/>
        <v/>
      </c>
      <c r="E3439" t="str">
        <f t="shared" si="112"/>
        <v>candyman (remastered version)</v>
      </c>
      <c r="F3439" t="s">
        <v>5278</v>
      </c>
      <c r="G3439" t="str">
        <f>_xlfn.IFNA(VLOOKUP(F3439,songs!$B$1:$C$1539, 2, FALSE),"")</f>
        <v>Candyman</v>
      </c>
      <c r="H3439" t="s">
        <v>7867</v>
      </c>
    </row>
    <row r="3440" spans="1:8" x14ac:dyDescent="0.25">
      <c r="A3440">
        <v>3440</v>
      </c>
      <c r="B3440" t="s">
        <v>4378</v>
      </c>
      <c r="C3440" t="s">
        <v>4379</v>
      </c>
      <c r="D3440" t="str">
        <f t="shared" si="113"/>
        <v/>
      </c>
      <c r="E3440" t="str">
        <f t="shared" si="112"/>
        <v>ripple (remastered version)</v>
      </c>
      <c r="F3440" t="s">
        <v>6864</v>
      </c>
      <c r="G3440" t="str">
        <f>_xlfn.IFNA(VLOOKUP(F3440,songs!$B$1:$C$1539, 2, FALSE),"")</f>
        <v>Ripple</v>
      </c>
      <c r="H3440" t="s">
        <v>7867</v>
      </c>
    </row>
    <row r="3441" spans="1:8" x14ac:dyDescent="0.25">
      <c r="A3441">
        <v>3441</v>
      </c>
      <c r="B3441" t="s">
        <v>4380</v>
      </c>
      <c r="C3441" t="s">
        <v>4381</v>
      </c>
      <c r="D3441" t="str">
        <f t="shared" si="113"/>
        <v/>
      </c>
      <c r="E3441" t="str">
        <f t="shared" si="112"/>
        <v>brokedown palace (remastered version)</v>
      </c>
      <c r="F3441" t="s">
        <v>5250</v>
      </c>
      <c r="G3441" t="str">
        <f>_xlfn.IFNA(VLOOKUP(F3441,songs!$B$1:$C$1539, 2, FALSE),"")</f>
        <v>Brokedown Palace</v>
      </c>
      <c r="H3441" t="s">
        <v>7867</v>
      </c>
    </row>
    <row r="3442" spans="1:8" x14ac:dyDescent="0.25">
      <c r="A3442">
        <v>3442</v>
      </c>
      <c r="B3442" t="s">
        <v>4382</v>
      </c>
      <c r="C3442" t="s">
        <v>4383</v>
      </c>
      <c r="D3442" t="str">
        <f t="shared" si="113"/>
        <v/>
      </c>
      <c r="E3442" t="str">
        <f t="shared" si="112"/>
        <v>till the morning comes (remastered version)</v>
      </c>
      <c r="F3442" t="s">
        <v>7392</v>
      </c>
      <c r="G3442" t="str">
        <f>_xlfn.IFNA(VLOOKUP(F3442,songs!$B$1:$C$1539, 2, FALSE),"")</f>
        <v>Till The Morning Comes</v>
      </c>
      <c r="H3442" t="s">
        <v>7867</v>
      </c>
    </row>
    <row r="3443" spans="1:8" x14ac:dyDescent="0.25">
      <c r="A3443">
        <v>3443</v>
      </c>
      <c r="B3443" t="s">
        <v>4384</v>
      </c>
      <c r="C3443" t="s">
        <v>4385</v>
      </c>
      <c r="D3443" t="str">
        <f t="shared" si="113"/>
        <v/>
      </c>
      <c r="E3443" t="str">
        <f t="shared" si="112"/>
        <v>attics of my life (remastered version)</v>
      </c>
      <c r="F3443" t="s">
        <v>5108</v>
      </c>
      <c r="G3443" t="str">
        <f>_xlfn.IFNA(VLOOKUP(F3443,songs!$B$1:$C$1539, 2, FALSE),"")</f>
        <v>Attics Of My Life</v>
      </c>
      <c r="H3443" t="s">
        <v>7867</v>
      </c>
    </row>
    <row r="3444" spans="1:8" x14ac:dyDescent="0.25">
      <c r="A3444">
        <v>3444</v>
      </c>
      <c r="B3444" t="s">
        <v>4386</v>
      </c>
      <c r="C3444" t="s">
        <v>4387</v>
      </c>
      <c r="D3444" t="str">
        <f t="shared" si="113"/>
        <v/>
      </c>
      <c r="E3444" t="str">
        <f t="shared" si="112"/>
        <v>truckin' (remastered version)</v>
      </c>
      <c r="F3444" t="s">
        <v>7436</v>
      </c>
      <c r="G3444" t="str">
        <f>_xlfn.IFNA(VLOOKUP(F3444,songs!$B$1:$C$1539, 2, FALSE),"")</f>
        <v>Truckin'</v>
      </c>
      <c r="H3444" t="s">
        <v>7867</v>
      </c>
    </row>
    <row r="3445" spans="1:8" x14ac:dyDescent="0.25">
      <c r="A3445">
        <v>3459</v>
      </c>
      <c r="B3445" t="s">
        <v>4402</v>
      </c>
      <c r="C3445" t="s">
        <v>7</v>
      </c>
      <c r="D3445" t="str">
        <f t="shared" si="113"/>
        <v/>
      </c>
      <c r="E3445" t="str">
        <f t="shared" si="112"/>
        <v>weather report suite</v>
      </c>
      <c r="F3445" t="s">
        <v>7816</v>
      </c>
      <c r="G3445" t="s">
        <v>7879</v>
      </c>
      <c r="H3445" t="s">
        <v>7867</v>
      </c>
    </row>
    <row r="3446" spans="1:8" x14ac:dyDescent="0.25">
      <c r="A3446">
        <v>3445</v>
      </c>
      <c r="B3446" t="s">
        <v>4388</v>
      </c>
      <c r="C3446" t="s">
        <v>133</v>
      </c>
      <c r="D3446" t="str">
        <f t="shared" si="113"/>
        <v/>
      </c>
      <c r="E3446" t="str">
        <f t="shared" si="112"/>
        <v>uncle john's band</v>
      </c>
      <c r="F3446" t="s">
        <v>7466</v>
      </c>
      <c r="G3446" t="str">
        <f>_xlfn.IFNA(VLOOKUP(F3446,songs!$B$1:$C$1539, 2, FALSE),"")</f>
        <v>Uncle John's Band</v>
      </c>
      <c r="H3446" t="s">
        <v>133</v>
      </c>
    </row>
    <row r="3447" spans="1:8" x14ac:dyDescent="0.25">
      <c r="A3447">
        <v>3446</v>
      </c>
      <c r="B3447" t="s">
        <v>4389</v>
      </c>
      <c r="C3447" t="s">
        <v>88</v>
      </c>
      <c r="D3447" t="str">
        <f t="shared" si="113"/>
        <v/>
      </c>
      <c r="E3447" t="str">
        <f t="shared" si="112"/>
        <v>high time</v>
      </c>
      <c r="F3447" t="s">
        <v>5920</v>
      </c>
      <c r="G3447" t="str">
        <f>_xlfn.IFNA(VLOOKUP(F3447,songs!$B$1:$C$1539, 2, FALSE),"")</f>
        <v>High Time</v>
      </c>
      <c r="H3447" t="s">
        <v>88</v>
      </c>
    </row>
    <row r="3448" spans="1:8" x14ac:dyDescent="0.25">
      <c r="A3448">
        <v>3447</v>
      </c>
      <c r="B3448" t="s">
        <v>4390</v>
      </c>
      <c r="C3448" t="s">
        <v>90</v>
      </c>
      <c r="D3448" t="str">
        <f t="shared" si="113"/>
        <v/>
      </c>
      <c r="E3448" t="str">
        <f t="shared" si="112"/>
        <v>dire wolf</v>
      </c>
      <c r="F3448" t="s">
        <v>5497</v>
      </c>
      <c r="G3448" t="str">
        <f>_xlfn.IFNA(VLOOKUP(F3448,songs!$B$1:$C$1539, 2, FALSE),"")</f>
        <v>Dire Wolf</v>
      </c>
      <c r="H3448" t="s">
        <v>90</v>
      </c>
    </row>
    <row r="3449" spans="1:8" x14ac:dyDescent="0.25">
      <c r="A3449">
        <v>3448</v>
      </c>
      <c r="B3449" t="s">
        <v>4391</v>
      </c>
      <c r="C3449" t="s">
        <v>1435</v>
      </c>
      <c r="D3449" t="str">
        <f t="shared" si="113"/>
        <v/>
      </c>
      <c r="E3449" t="str">
        <f t="shared" si="112"/>
        <v>new speedway boogie</v>
      </c>
      <c r="F3449" t="s">
        <v>6624</v>
      </c>
      <c r="G3449" t="str">
        <f>_xlfn.IFNA(VLOOKUP(F3449,songs!$B$1:$C$1539, 2, FALSE),"")</f>
        <v>New Speedway Boogie</v>
      </c>
      <c r="H3449" t="s">
        <v>1435</v>
      </c>
    </row>
    <row r="3450" spans="1:8" x14ac:dyDescent="0.25">
      <c r="A3450">
        <v>3449</v>
      </c>
      <c r="B3450" t="s">
        <v>4392</v>
      </c>
      <c r="C3450" t="s">
        <v>225</v>
      </c>
      <c r="D3450" t="str">
        <f t="shared" si="113"/>
        <v/>
      </c>
      <c r="E3450" t="str">
        <f t="shared" si="112"/>
        <v>cumberland blues</v>
      </c>
      <c r="F3450" t="s">
        <v>5411</v>
      </c>
      <c r="G3450" t="str">
        <f>_xlfn.IFNA(VLOOKUP(F3450,songs!$B$1:$C$1539, 2, FALSE),"")</f>
        <v>Cumberland Blues</v>
      </c>
      <c r="H3450" t="s">
        <v>225</v>
      </c>
    </row>
    <row r="3451" spans="1:8" x14ac:dyDescent="0.25">
      <c r="A3451">
        <v>3450</v>
      </c>
      <c r="B3451" t="s">
        <v>4393</v>
      </c>
      <c r="C3451" t="s">
        <v>221</v>
      </c>
      <c r="D3451" t="str">
        <f t="shared" si="113"/>
        <v/>
      </c>
      <c r="E3451" t="str">
        <f t="shared" si="112"/>
        <v>black peter</v>
      </c>
      <c r="F3451" t="s">
        <v>5190</v>
      </c>
      <c r="G3451" t="str">
        <f>_xlfn.IFNA(VLOOKUP(F3451,songs!$B$1:$C$1539, 2, FALSE),"")</f>
        <v>Black Peter</v>
      </c>
      <c r="H3451" t="s">
        <v>221</v>
      </c>
    </row>
    <row r="3452" spans="1:8" x14ac:dyDescent="0.25">
      <c r="A3452">
        <v>3451</v>
      </c>
      <c r="B3452" t="s">
        <v>4394</v>
      </c>
      <c r="C3452" t="s">
        <v>483</v>
      </c>
      <c r="D3452" t="str">
        <f t="shared" si="113"/>
        <v/>
      </c>
      <c r="E3452" t="str">
        <f t="shared" si="112"/>
        <v>easy wind</v>
      </c>
      <c r="F3452" t="s">
        <v>5587</v>
      </c>
      <c r="G3452" t="str">
        <f>_xlfn.IFNA(VLOOKUP(F3452,songs!$B$1:$C$1539, 2, FALSE),"")</f>
        <v>Easy Wind</v>
      </c>
      <c r="H3452" t="s">
        <v>483</v>
      </c>
    </row>
    <row r="3453" spans="1:8" x14ac:dyDescent="0.25">
      <c r="A3453">
        <v>3452</v>
      </c>
      <c r="B3453" t="s">
        <v>4395</v>
      </c>
      <c r="C3453" t="s">
        <v>81</v>
      </c>
      <c r="D3453" t="str">
        <f t="shared" si="113"/>
        <v/>
      </c>
      <c r="E3453" t="str">
        <f t="shared" si="112"/>
        <v>casey jones</v>
      </c>
      <c r="F3453" t="s">
        <v>5290</v>
      </c>
      <c r="G3453" t="str">
        <f>_xlfn.IFNA(VLOOKUP(F3453,songs!$B$1:$C$1539, 2, FALSE),"")</f>
        <v>Casey Jones</v>
      </c>
      <c r="H3453" t="s">
        <v>81</v>
      </c>
    </row>
    <row r="3454" spans="1:8" x14ac:dyDescent="0.25">
      <c r="A3454">
        <v>3453</v>
      </c>
      <c r="B3454" t="s">
        <v>4396</v>
      </c>
      <c r="C3454" t="s">
        <v>458</v>
      </c>
      <c r="D3454" t="str">
        <f t="shared" si="113"/>
        <v/>
      </c>
      <c r="E3454" t="str">
        <f t="shared" si="112"/>
        <v>mississippi half-step uptown toodeloo</v>
      </c>
      <c r="F3454" t="s">
        <v>6531</v>
      </c>
      <c r="G3454" t="str">
        <f>_xlfn.IFNA(VLOOKUP(F3454,songs!$B$1:$C$1539, 2, FALSE),"")</f>
        <v>Mississippi Half-Step Uptown Toodeloo</v>
      </c>
      <c r="H3454" t="s">
        <v>458</v>
      </c>
    </row>
    <row r="3455" spans="1:8" x14ac:dyDescent="0.25">
      <c r="A3455">
        <v>3454</v>
      </c>
      <c r="B3455" t="s">
        <v>4397</v>
      </c>
      <c r="C3455" t="s">
        <v>2333</v>
      </c>
      <c r="D3455" t="str">
        <f t="shared" si="113"/>
        <v/>
      </c>
      <c r="E3455" t="str">
        <f t="shared" si="112"/>
        <v>let me sing your blues away</v>
      </c>
      <c r="F3455" t="s">
        <v>6314</v>
      </c>
      <c r="G3455" t="str">
        <f>_xlfn.IFNA(VLOOKUP(F3455,songs!$B$1:$C$1539, 2, FALSE),"")</f>
        <v>Let Me Sing Your Blues Away</v>
      </c>
      <c r="H3455" t="s">
        <v>2333</v>
      </c>
    </row>
    <row r="3456" spans="1:8" x14ac:dyDescent="0.25">
      <c r="A3456">
        <v>3455</v>
      </c>
      <c r="B3456" t="s">
        <v>4398</v>
      </c>
      <c r="C3456" t="s">
        <v>188</v>
      </c>
      <c r="D3456" t="str">
        <f t="shared" si="113"/>
        <v/>
      </c>
      <c r="E3456" t="str">
        <f t="shared" si="112"/>
        <v>row jimmy</v>
      </c>
      <c r="F3456" t="s">
        <v>6893</v>
      </c>
      <c r="G3456" t="str">
        <f>_xlfn.IFNA(VLOOKUP(F3456,songs!$B$1:$C$1539, 2, FALSE),"")</f>
        <v>Row Jimmy</v>
      </c>
      <c r="H3456" t="s">
        <v>188</v>
      </c>
    </row>
    <row r="3457" spans="1:8" x14ac:dyDescent="0.25">
      <c r="A3457">
        <v>3456</v>
      </c>
      <c r="B3457" t="s">
        <v>4399</v>
      </c>
      <c r="C3457" t="s">
        <v>24</v>
      </c>
      <c r="D3457" t="str">
        <f t="shared" si="113"/>
        <v/>
      </c>
      <c r="E3457" t="str">
        <f t="shared" si="112"/>
        <v>stella blue</v>
      </c>
      <c r="F3457" t="s">
        <v>7123</v>
      </c>
      <c r="G3457" t="str">
        <f>_xlfn.IFNA(VLOOKUP(F3457,songs!$B$1:$C$1539, 2, FALSE),"")</f>
        <v>Stella Blue</v>
      </c>
      <c r="H3457" t="s">
        <v>24</v>
      </c>
    </row>
    <row r="3458" spans="1:8" x14ac:dyDescent="0.25">
      <c r="A3458">
        <v>3457</v>
      </c>
      <c r="B3458" t="s">
        <v>4400</v>
      </c>
      <c r="C3458" t="s">
        <v>1</v>
      </c>
      <c r="D3458" t="str">
        <f t="shared" si="113"/>
        <v/>
      </c>
      <c r="E3458" t="str">
        <f t="shared" si="112"/>
        <v>here comes sunshine</v>
      </c>
      <c r="F3458" t="s">
        <v>5898</v>
      </c>
      <c r="G3458" t="str">
        <f>_xlfn.IFNA(VLOOKUP(F3458,songs!$B$1:$C$1539, 2, FALSE),"")</f>
        <v>Here Comes Sunshine</v>
      </c>
      <c r="H3458" t="s">
        <v>1</v>
      </c>
    </row>
    <row r="3459" spans="1:8" x14ac:dyDescent="0.25">
      <c r="A3459">
        <v>3458</v>
      </c>
      <c r="B3459" t="s">
        <v>4401</v>
      </c>
      <c r="C3459" t="s">
        <v>471</v>
      </c>
      <c r="D3459" t="str">
        <f t="shared" si="113"/>
        <v/>
      </c>
      <c r="E3459" t="str">
        <f t="shared" si="112"/>
        <v>eyes of the world</v>
      </c>
      <c r="F3459" t="s">
        <v>5633</v>
      </c>
      <c r="G3459" t="str">
        <f>_xlfn.IFNA(VLOOKUP(F3459,songs!$B$1:$C$1539, 2, FALSE),"")</f>
        <v>Eyes Of The World</v>
      </c>
      <c r="H3459" t="s">
        <v>471</v>
      </c>
    </row>
    <row r="3460" spans="1:8" x14ac:dyDescent="0.25">
      <c r="A3460">
        <v>3468</v>
      </c>
      <c r="B3460" t="s">
        <v>4411</v>
      </c>
      <c r="C3460" t="s">
        <v>4412</v>
      </c>
      <c r="D3460" t="str">
        <f t="shared" si="113"/>
        <v/>
      </c>
      <c r="E3460" t="str">
        <f t="shared" ref="E3460:E3523" si="114">LOWER(TRIM(SUBSTITUTE(IF(RIGHT(TRIM(C3460),2)="-&gt;",LEFT(TRIM(C3460),LEN(TRIM(C3460))-2),IF(RIGHT(TRIM(C3460),1)="&gt;",LEFT(TRIM(C3460),LEN(TRIM(C3460))-1),C3460)),"//","")))</f>
        <v>help on the way / slipknot!</v>
      </c>
      <c r="F3460" t="s">
        <v>7863</v>
      </c>
      <c r="G3460" t="s">
        <v>7878</v>
      </c>
      <c r="H3460" t="s">
        <v>7867</v>
      </c>
    </row>
    <row r="3461" spans="1:8" x14ac:dyDescent="0.25">
      <c r="A3461">
        <v>3460</v>
      </c>
      <c r="B3461" t="s">
        <v>4403</v>
      </c>
      <c r="C3461" t="s">
        <v>183</v>
      </c>
      <c r="D3461" t="str">
        <f t="shared" si="113"/>
        <v/>
      </c>
      <c r="E3461" t="str">
        <f t="shared" si="114"/>
        <v>u.s. blues</v>
      </c>
      <c r="F3461" t="s">
        <v>7464</v>
      </c>
      <c r="G3461" t="str">
        <f>_xlfn.IFNA(VLOOKUP(F3461,songs!$B$1:$C$1539, 2, FALSE),"")</f>
        <v>U.S. Blues</v>
      </c>
      <c r="H3461" t="s">
        <v>183</v>
      </c>
    </row>
    <row r="3462" spans="1:8" x14ac:dyDescent="0.25">
      <c r="A3462">
        <v>3461</v>
      </c>
      <c r="B3462" t="s">
        <v>4404</v>
      </c>
      <c r="C3462" t="s">
        <v>304</v>
      </c>
      <c r="D3462" t="str">
        <f t="shared" si="113"/>
        <v/>
      </c>
      <c r="E3462" t="str">
        <f t="shared" si="114"/>
        <v>china doll</v>
      </c>
      <c r="F3462" t="s">
        <v>5320</v>
      </c>
      <c r="G3462" t="str">
        <f>_xlfn.IFNA(VLOOKUP(F3462,songs!$B$1:$C$1539, 2, FALSE),"")</f>
        <v>China Doll</v>
      </c>
      <c r="H3462" t="s">
        <v>304</v>
      </c>
    </row>
    <row r="3463" spans="1:8" x14ac:dyDescent="0.25">
      <c r="A3463">
        <v>3462</v>
      </c>
      <c r="B3463" t="s">
        <v>4405</v>
      </c>
      <c r="C3463" t="s">
        <v>3922</v>
      </c>
      <c r="D3463" t="str">
        <f t="shared" si="113"/>
        <v/>
      </c>
      <c r="E3463" t="str">
        <f t="shared" si="114"/>
        <v>unbroken chain</v>
      </c>
      <c r="F3463" t="s">
        <v>7465</v>
      </c>
      <c r="G3463" t="str">
        <f>_xlfn.IFNA(VLOOKUP(F3463,songs!$B$1:$C$1539, 2, FALSE),"")</f>
        <v>Unbroken Chain</v>
      </c>
      <c r="H3463" t="s">
        <v>3922</v>
      </c>
    </row>
    <row r="3464" spans="1:8" x14ac:dyDescent="0.25">
      <c r="A3464">
        <v>3463</v>
      </c>
      <c r="B3464" t="s">
        <v>4406</v>
      </c>
      <c r="C3464" t="s">
        <v>858</v>
      </c>
      <c r="D3464" t="str">
        <f t="shared" si="113"/>
        <v/>
      </c>
      <c r="E3464" t="str">
        <f t="shared" si="114"/>
        <v>loose lucy</v>
      </c>
      <c r="F3464" t="s">
        <v>6399</v>
      </c>
      <c r="G3464" t="str">
        <f>_xlfn.IFNA(VLOOKUP(F3464,songs!$B$1:$C$1539, 2, FALSE),"")</f>
        <v>Loose Lucy</v>
      </c>
      <c r="H3464" t="s">
        <v>858</v>
      </c>
    </row>
    <row r="3465" spans="1:8" x14ac:dyDescent="0.25">
      <c r="A3465">
        <v>3464</v>
      </c>
      <c r="B3465" t="s">
        <v>4407</v>
      </c>
      <c r="C3465" t="s">
        <v>170</v>
      </c>
      <c r="D3465" t="str">
        <f t="shared" ref="D3465:D3528" si="115">IF(RIGHT(TRIM(C3465),2)="-&gt;","&gt;",IF(RIGHT(TRIM(C3465),1)="&gt;","&gt;",""))</f>
        <v/>
      </c>
      <c r="E3465" t="str">
        <f t="shared" si="114"/>
        <v>scarlet begonias</v>
      </c>
      <c r="F3465" t="s">
        <v>6944</v>
      </c>
      <c r="G3465" t="str">
        <f>_xlfn.IFNA(VLOOKUP(F3465,songs!$B$1:$C$1539, 2, FALSE),"")</f>
        <v>Scarlet Begonias</v>
      </c>
      <c r="H3465" t="s">
        <v>170</v>
      </c>
    </row>
    <row r="3466" spans="1:8" x14ac:dyDescent="0.25">
      <c r="A3466">
        <v>3465</v>
      </c>
      <c r="B3466" t="s">
        <v>4408</v>
      </c>
      <c r="C3466" t="s">
        <v>4144</v>
      </c>
      <c r="D3466" t="str">
        <f t="shared" si="115"/>
        <v/>
      </c>
      <c r="E3466" t="str">
        <f t="shared" si="114"/>
        <v>pride of cucamonga</v>
      </c>
      <c r="F3466" t="s">
        <v>6794</v>
      </c>
      <c r="G3466" t="str">
        <f>_xlfn.IFNA(VLOOKUP(F3466,songs!$B$1:$C$1539, 2, FALSE),"")</f>
        <v>Pride Of Cucamonga</v>
      </c>
      <c r="H3466" t="s">
        <v>4144</v>
      </c>
    </row>
    <row r="3467" spans="1:8" x14ac:dyDescent="0.25">
      <c r="A3467">
        <v>3466</v>
      </c>
      <c r="B3467" t="s">
        <v>4409</v>
      </c>
      <c r="C3467" t="s">
        <v>3928</v>
      </c>
      <c r="D3467" t="str">
        <f t="shared" si="115"/>
        <v/>
      </c>
      <c r="E3467" t="str">
        <f t="shared" si="114"/>
        <v>money money</v>
      </c>
      <c r="F3467" t="s">
        <v>6543</v>
      </c>
      <c r="G3467" t="str">
        <f>_xlfn.IFNA(VLOOKUP(F3467,songs!$B$1:$C$1539, 2, FALSE),"")</f>
        <v>Money Money</v>
      </c>
      <c r="H3467" t="s">
        <v>3928</v>
      </c>
    </row>
    <row r="3468" spans="1:8" x14ac:dyDescent="0.25">
      <c r="A3468">
        <v>3467</v>
      </c>
      <c r="B3468" t="s">
        <v>4410</v>
      </c>
      <c r="C3468" t="s">
        <v>866</v>
      </c>
      <c r="D3468" t="str">
        <f t="shared" si="115"/>
        <v/>
      </c>
      <c r="E3468" t="str">
        <f t="shared" si="114"/>
        <v>ship of fools</v>
      </c>
      <c r="F3468" t="s">
        <v>6999</v>
      </c>
      <c r="G3468" t="str">
        <f>_xlfn.IFNA(VLOOKUP(F3468,songs!$B$1:$C$1539, 2, FALSE),"")</f>
        <v>Ship Of Fools</v>
      </c>
      <c r="H3468" t="s">
        <v>866</v>
      </c>
    </row>
    <row r="3469" spans="1:8" x14ac:dyDescent="0.25">
      <c r="A3469">
        <v>3473</v>
      </c>
      <c r="B3469" t="s">
        <v>4417</v>
      </c>
      <c r="C3469" t="s">
        <v>4158</v>
      </c>
      <c r="D3469" t="str">
        <f t="shared" si="115"/>
        <v/>
      </c>
      <c r="E3469" t="str">
        <f t="shared" si="114"/>
        <v>sage &amp; spirit</v>
      </c>
      <c r="F3469" t="s">
        <v>6903</v>
      </c>
      <c r="G3469" t="str">
        <f>_xlfn.IFNA(VLOOKUP(F3469,songs!$B$1:$C$1539, 2, FALSE),"")</f>
        <v>Sage And Spirit</v>
      </c>
      <c r="H3469" t="s">
        <v>7867</v>
      </c>
    </row>
    <row r="3470" spans="1:8" x14ac:dyDescent="0.25">
      <c r="A3470">
        <v>3469</v>
      </c>
      <c r="B3470" t="s">
        <v>4413</v>
      </c>
      <c r="C3470" t="s">
        <v>63</v>
      </c>
      <c r="D3470" t="str">
        <f t="shared" si="115"/>
        <v/>
      </c>
      <c r="E3470" t="str">
        <f t="shared" si="114"/>
        <v>franklin's tower</v>
      </c>
      <c r="F3470" t="s">
        <v>5712</v>
      </c>
      <c r="G3470" t="str">
        <f>_xlfn.IFNA(VLOOKUP(F3470,songs!$B$1:$C$1539, 2, FALSE),"")</f>
        <v>Franklin's Tower</v>
      </c>
      <c r="H3470" t="s">
        <v>63</v>
      </c>
    </row>
    <row r="3471" spans="1:8" x14ac:dyDescent="0.25">
      <c r="A3471">
        <v>3470</v>
      </c>
      <c r="B3471" t="s">
        <v>4414</v>
      </c>
      <c r="C3471" t="s">
        <v>4152</v>
      </c>
      <c r="D3471" t="str">
        <f t="shared" si="115"/>
        <v/>
      </c>
      <c r="E3471" t="str">
        <f t="shared" si="114"/>
        <v>king solomon's marbles</v>
      </c>
      <c r="F3471" t="s">
        <v>6246</v>
      </c>
      <c r="G3471" t="str">
        <f>_xlfn.IFNA(VLOOKUP(F3471,songs!$B$1:$C$1539, 2, FALSE),"")</f>
        <v>King Solomon's Marbles</v>
      </c>
      <c r="H3471" t="s">
        <v>4152</v>
      </c>
    </row>
    <row r="3472" spans="1:8" x14ac:dyDescent="0.25">
      <c r="A3472">
        <v>3471</v>
      </c>
      <c r="B3472" t="s">
        <v>4415</v>
      </c>
      <c r="C3472" t="s">
        <v>49</v>
      </c>
      <c r="D3472" t="str">
        <f t="shared" si="115"/>
        <v/>
      </c>
      <c r="E3472" t="str">
        <f t="shared" si="114"/>
        <v>the music never stopped</v>
      </c>
      <c r="F3472" t="s">
        <v>7316</v>
      </c>
      <c r="G3472" t="str">
        <f>_xlfn.IFNA(VLOOKUP(F3472,songs!$B$1:$C$1539, 2, FALSE),"")</f>
        <v>The Music Never Stopped</v>
      </c>
      <c r="H3472" t="s">
        <v>49</v>
      </c>
    </row>
    <row r="3473" spans="1:8" x14ac:dyDescent="0.25">
      <c r="A3473">
        <v>3472</v>
      </c>
      <c r="B3473" t="s">
        <v>4416</v>
      </c>
      <c r="C3473" t="s">
        <v>526</v>
      </c>
      <c r="D3473" t="str">
        <f t="shared" si="115"/>
        <v/>
      </c>
      <c r="E3473" t="str">
        <f t="shared" si="114"/>
        <v>crazy fingers</v>
      </c>
      <c r="F3473" t="s">
        <v>5390</v>
      </c>
      <c r="G3473" t="str">
        <f>_xlfn.IFNA(VLOOKUP(F3473,songs!$B$1:$C$1539, 2, FALSE),"")</f>
        <v>Crazy Fingers</v>
      </c>
      <c r="H3473" t="s">
        <v>526</v>
      </c>
    </row>
    <row r="3474" spans="1:8" x14ac:dyDescent="0.25">
      <c r="A3474">
        <v>3474</v>
      </c>
      <c r="B3474" t="s">
        <v>4418</v>
      </c>
      <c r="C3474" t="s">
        <v>4419</v>
      </c>
      <c r="D3474" t="str">
        <f t="shared" si="115"/>
        <v/>
      </c>
      <c r="E3474" t="str">
        <f t="shared" si="114"/>
        <v>blues for allah: sand castles and glass camels / unusual occurrences in the desert</v>
      </c>
      <c r="F3474" t="s">
        <v>5215</v>
      </c>
      <c r="G3474" t="str">
        <f>_xlfn.IFNA(VLOOKUP(F3474,songs!$B$1:$C$1539, 2, FALSE),"")</f>
        <v>Blues For Allah</v>
      </c>
      <c r="H3474" t="s">
        <v>7867</v>
      </c>
    </row>
    <row r="3475" spans="1:8" x14ac:dyDescent="0.25">
      <c r="A3475">
        <v>3477</v>
      </c>
      <c r="B3475" t="s">
        <v>4422</v>
      </c>
      <c r="C3475" t="s">
        <v>4423</v>
      </c>
      <c r="D3475" t="str">
        <f t="shared" si="115"/>
        <v/>
      </c>
      <c r="E3475" t="str">
        <f t="shared" si="114"/>
        <v>- around and around</v>
      </c>
      <c r="F3475" t="s">
        <v>5103</v>
      </c>
      <c r="G3475" t="str">
        <f>_xlfn.IFNA(VLOOKUP(F3475,songs!$B$1:$C$1539, 2, FALSE),"")</f>
        <v>Around And Around</v>
      </c>
      <c r="H3475" t="s">
        <v>7867</v>
      </c>
    </row>
    <row r="3476" spans="1:8" x14ac:dyDescent="0.25">
      <c r="A3476">
        <v>3475</v>
      </c>
      <c r="B3476" t="s">
        <v>4420</v>
      </c>
      <c r="C3476" t="e" cm="1">
        <f t="array" ref="C3476">- The Promised Land</f>
        <v>#NAME?</v>
      </c>
      <c r="D3476" t="e">
        <f t="shared" si="115"/>
        <v>#NAME?</v>
      </c>
      <c r="E3476" t="e">
        <f t="shared" si="114"/>
        <v>#NAME?</v>
      </c>
      <c r="F3476" t="e">
        <v>#NAME?</v>
      </c>
      <c r="G3476" t="e">
        <f>_xlfn.IFNA(VLOOKUP(F3476,songs!$B$1:$C$1539, 2, FALSE),"")</f>
        <v>#NAME?</v>
      </c>
      <c r="H3476" t="e">
        <v>#NAME?</v>
      </c>
    </row>
    <row r="3477" spans="1:8" x14ac:dyDescent="0.25">
      <c r="A3477">
        <v>3476</v>
      </c>
      <c r="B3477" t="s">
        <v>4421</v>
      </c>
      <c r="C3477" t="e" cm="1">
        <f t="array" ref="C3477">- Cold Rain &amp; Snow</f>
        <v>#NAME?</v>
      </c>
      <c r="D3477" t="e">
        <f t="shared" si="115"/>
        <v>#NAME?</v>
      </c>
      <c r="E3477" t="e">
        <f t="shared" si="114"/>
        <v>#NAME?</v>
      </c>
      <c r="F3477" t="e">
        <v>#NAME?</v>
      </c>
      <c r="G3477" t="e">
        <f>_xlfn.IFNA(VLOOKUP(F3477,songs!$B$1:$C$1539, 2, FALSE),"")</f>
        <v>#NAME?</v>
      </c>
      <c r="H3477" t="e">
        <v>#NAME?</v>
      </c>
    </row>
    <row r="3478" spans="1:8" x14ac:dyDescent="0.25">
      <c r="A3478">
        <v>3494</v>
      </c>
      <c r="B3478" t="s">
        <v>4440</v>
      </c>
      <c r="C3478" t="s">
        <v>4441</v>
      </c>
      <c r="D3478" t="str">
        <f t="shared" si="115"/>
        <v/>
      </c>
      <c r="E3478" t="str">
        <f t="shared" si="114"/>
        <v>terrapin station medley</v>
      </c>
      <c r="F3478" t="s">
        <v>7237</v>
      </c>
      <c r="G3478" t="str">
        <f>_xlfn.IFNA(VLOOKUP(F3478,songs!$B$1:$C$1539, 2, FALSE),"")</f>
        <v>Terrapin Station</v>
      </c>
      <c r="H3478" t="s">
        <v>7867</v>
      </c>
    </row>
    <row r="3479" spans="1:8" x14ac:dyDescent="0.25">
      <c r="A3479">
        <v>3478</v>
      </c>
      <c r="B3479" t="s">
        <v>4424</v>
      </c>
      <c r="C3479" t="e" cm="1">
        <f t="array" ref="C3479">- Stella Blue</f>
        <v>#NAME?</v>
      </c>
      <c r="D3479" t="e">
        <f t="shared" si="115"/>
        <v>#NAME?</v>
      </c>
      <c r="E3479" t="e">
        <f t="shared" si="114"/>
        <v>#NAME?</v>
      </c>
      <c r="F3479" t="e">
        <v>#NAME?</v>
      </c>
      <c r="G3479" t="e">
        <f>_xlfn.IFNA(VLOOKUP(F3479,songs!$B$1:$C$1539, 2, FALSE),"")</f>
        <v>#NAME?</v>
      </c>
      <c r="H3479" t="e">
        <v>#NAME?</v>
      </c>
    </row>
    <row r="3480" spans="1:8" x14ac:dyDescent="0.25">
      <c r="A3480">
        <v>3479</v>
      </c>
      <c r="B3480" t="s">
        <v>4425</v>
      </c>
      <c r="C3480" t="e" cm="1">
        <f t="array" ref="C3480">- Mississippi Half-Step Uptown Toodeloo</f>
        <v>#NAME?</v>
      </c>
      <c r="D3480" t="e">
        <f t="shared" si="115"/>
        <v>#NAME?</v>
      </c>
      <c r="E3480" t="e">
        <f t="shared" si="114"/>
        <v>#NAME?</v>
      </c>
      <c r="F3480" t="e">
        <v>#NAME?</v>
      </c>
      <c r="G3480" t="e">
        <f>_xlfn.IFNA(VLOOKUP(F3480,songs!$B$1:$C$1539, 2, FALSE),"")</f>
        <v>#NAME?</v>
      </c>
      <c r="H3480" t="e">
        <v>#NAME?</v>
      </c>
    </row>
    <row r="3481" spans="1:8" x14ac:dyDescent="0.25">
      <c r="A3481">
        <v>3480</v>
      </c>
      <c r="B3481" t="s">
        <v>4426</v>
      </c>
      <c r="C3481" t="e" cm="1">
        <f t="array" ref="C3481">- Ship Of Fools</f>
        <v>#NAME?</v>
      </c>
      <c r="D3481" t="e">
        <f t="shared" si="115"/>
        <v>#NAME?</v>
      </c>
      <c r="E3481" t="e">
        <f t="shared" si="114"/>
        <v>#NAME?</v>
      </c>
      <c r="F3481" t="e">
        <v>#NAME?</v>
      </c>
      <c r="G3481" t="e">
        <f>_xlfn.IFNA(VLOOKUP(F3481,songs!$B$1:$C$1539, 2, FALSE),"")</f>
        <v>#NAME?</v>
      </c>
      <c r="H3481" t="e">
        <v>#NAME?</v>
      </c>
    </row>
    <row r="3482" spans="1:8" x14ac:dyDescent="0.25">
      <c r="A3482">
        <v>3481</v>
      </c>
      <c r="B3482" t="s">
        <v>4427</v>
      </c>
      <c r="C3482" t="e" cm="1">
        <f t="array" ref="C3482">- Beat It On Down The Line</f>
        <v>#NAME?</v>
      </c>
      <c r="D3482" t="e">
        <f t="shared" si="115"/>
        <v>#NAME?</v>
      </c>
      <c r="E3482" t="e">
        <f t="shared" si="114"/>
        <v>#NAME?</v>
      </c>
      <c r="F3482" t="e">
        <v>#NAME?</v>
      </c>
      <c r="G3482" t="e">
        <f>_xlfn.IFNA(VLOOKUP(F3482,songs!$B$1:$C$1539, 2, FALSE),"")</f>
        <v>#NAME?</v>
      </c>
      <c r="H3482" t="e">
        <v>#NAME?</v>
      </c>
    </row>
    <row r="3483" spans="1:8" x14ac:dyDescent="0.25">
      <c r="A3483">
        <v>3482</v>
      </c>
      <c r="B3483" t="s">
        <v>4428</v>
      </c>
      <c r="C3483" t="e" cm="1">
        <f t="array" ref="C3483">- Big River</f>
        <v>#NAME?</v>
      </c>
      <c r="D3483" t="e">
        <f t="shared" si="115"/>
        <v>#NAME?</v>
      </c>
      <c r="E3483" t="e">
        <f t="shared" si="114"/>
        <v>#NAME?</v>
      </c>
      <c r="F3483" t="e">
        <v>#NAME?</v>
      </c>
      <c r="G3483" t="e">
        <f>_xlfn.IFNA(VLOOKUP(F3483,songs!$B$1:$C$1539, 2, FALSE),"")</f>
        <v>#NAME?</v>
      </c>
      <c r="H3483" t="e">
        <v>#NAME?</v>
      </c>
    </row>
    <row r="3484" spans="1:8" x14ac:dyDescent="0.25">
      <c r="A3484">
        <v>3483</v>
      </c>
      <c r="B3484" t="s">
        <v>4429</v>
      </c>
      <c r="C3484" t="e" cm="1">
        <f t="array" ref="C3484">- Black-Throated Wind</f>
        <v>#NAME?</v>
      </c>
      <c r="D3484" t="e">
        <f t="shared" si="115"/>
        <v>#NAME?</v>
      </c>
      <c r="E3484" t="e">
        <f t="shared" si="114"/>
        <v>#NAME?</v>
      </c>
      <c r="F3484" t="e">
        <v>#NAME?</v>
      </c>
      <c r="G3484" t="e">
        <f>_xlfn.IFNA(VLOOKUP(F3484,songs!$B$1:$C$1539, 2, FALSE),"")</f>
        <v>#NAME?</v>
      </c>
      <c r="H3484" t="e">
        <v>#NAME?</v>
      </c>
    </row>
    <row r="3485" spans="1:8" x14ac:dyDescent="0.25">
      <c r="A3485">
        <v>3484</v>
      </c>
      <c r="B3485" t="s">
        <v>4430</v>
      </c>
      <c r="C3485" t="e" cm="1">
        <f t="array" ref="C3485">- U.S. Blues</f>
        <v>#NAME?</v>
      </c>
      <c r="D3485" t="e">
        <f t="shared" si="115"/>
        <v>#NAME?</v>
      </c>
      <c r="E3485" t="e">
        <f t="shared" si="114"/>
        <v>#NAME?</v>
      </c>
      <c r="F3485" t="e">
        <v>#NAME?</v>
      </c>
      <c r="G3485" t="e">
        <f>_xlfn.IFNA(VLOOKUP(F3485,songs!$B$1:$C$1539, 2, FALSE),"")</f>
        <v>#NAME?</v>
      </c>
      <c r="H3485" t="e">
        <v>#NAME?</v>
      </c>
    </row>
    <row r="3486" spans="1:8" x14ac:dyDescent="0.25">
      <c r="A3486">
        <v>3485</v>
      </c>
      <c r="B3486" t="s">
        <v>4431</v>
      </c>
      <c r="C3486" t="e" cm="1">
        <f t="array" ref="C3486">- El Paso</f>
        <v>#NAME?</v>
      </c>
      <c r="D3486" t="e">
        <f t="shared" si="115"/>
        <v>#NAME?</v>
      </c>
      <c r="E3486" t="e">
        <f t="shared" si="114"/>
        <v>#NAME?</v>
      </c>
      <c r="F3486" t="e">
        <v>#NAME?</v>
      </c>
      <c r="G3486" t="e">
        <f>_xlfn.IFNA(VLOOKUP(F3486,songs!$B$1:$C$1539, 2, FALSE),"")</f>
        <v>#NAME?</v>
      </c>
      <c r="H3486" t="e">
        <v>#NAME?</v>
      </c>
    </row>
    <row r="3487" spans="1:8" x14ac:dyDescent="0.25">
      <c r="A3487">
        <v>3486</v>
      </c>
      <c r="B3487" t="s">
        <v>4432</v>
      </c>
      <c r="C3487" t="e" cm="1">
        <f t="array" ref="C3487">- Sugaree</f>
        <v>#NAME?</v>
      </c>
      <c r="D3487" t="e">
        <f t="shared" si="115"/>
        <v>#NAME?</v>
      </c>
      <c r="E3487" t="e">
        <f t="shared" si="114"/>
        <v>#NAME?</v>
      </c>
      <c r="F3487" t="e">
        <v>#NAME?</v>
      </c>
      <c r="G3487" t="e">
        <f>_xlfn.IFNA(VLOOKUP(F3487,songs!$B$1:$C$1539, 2, FALSE),"")</f>
        <v>#NAME?</v>
      </c>
      <c r="H3487" t="e">
        <v>#NAME?</v>
      </c>
    </row>
    <row r="3488" spans="1:8" x14ac:dyDescent="0.25">
      <c r="A3488">
        <v>3487</v>
      </c>
      <c r="B3488" t="s">
        <v>4433</v>
      </c>
      <c r="C3488" t="e" cm="1">
        <f t="array" ref="C3488">- It Must Have Been The Roses</f>
        <v>#NAME?</v>
      </c>
      <c r="D3488" t="e">
        <f t="shared" si="115"/>
        <v>#NAME?</v>
      </c>
      <c r="E3488" t="e">
        <f t="shared" si="114"/>
        <v>#NAME?</v>
      </c>
      <c r="F3488" t="e">
        <v>#NAME?</v>
      </c>
      <c r="G3488" t="e">
        <f>_xlfn.IFNA(VLOOKUP(F3488,songs!$B$1:$C$1539, 2, FALSE),"")</f>
        <v>#NAME?</v>
      </c>
      <c r="H3488" t="e">
        <v>#NAME?</v>
      </c>
    </row>
    <row r="3489" spans="1:8" x14ac:dyDescent="0.25">
      <c r="A3489">
        <v>3488</v>
      </c>
      <c r="B3489" t="s">
        <v>4434</v>
      </c>
      <c r="C3489" t="e" cm="1">
        <f t="array" ref="C3489">- Casey Jones</f>
        <v>#NAME?</v>
      </c>
      <c r="D3489" t="e">
        <f t="shared" si="115"/>
        <v>#NAME?</v>
      </c>
      <c r="E3489" t="e">
        <f t="shared" si="114"/>
        <v>#NAME?</v>
      </c>
      <c r="F3489" t="e">
        <v>#NAME?</v>
      </c>
      <c r="G3489" t="e">
        <f>_xlfn.IFNA(VLOOKUP(F3489,songs!$B$1:$C$1539, 2, FALSE),"")</f>
        <v>#NAME?</v>
      </c>
      <c r="H3489" t="e">
        <v>#NAME?</v>
      </c>
    </row>
    <row r="3490" spans="1:8" x14ac:dyDescent="0.25">
      <c r="A3490">
        <v>3489</v>
      </c>
      <c r="B3490" t="s">
        <v>4435</v>
      </c>
      <c r="C3490" t="s">
        <v>69</v>
      </c>
      <c r="D3490" t="str">
        <f t="shared" si="115"/>
        <v/>
      </c>
      <c r="E3490" t="str">
        <f t="shared" si="114"/>
        <v>estimated prophet</v>
      </c>
      <c r="F3490" t="s">
        <v>5612</v>
      </c>
      <c r="G3490" t="str">
        <f>_xlfn.IFNA(VLOOKUP(F3490,songs!$B$1:$C$1539, 2, FALSE),"")</f>
        <v>Estimated Prophet</v>
      </c>
      <c r="H3490" t="s">
        <v>69</v>
      </c>
    </row>
    <row r="3491" spans="1:8" x14ac:dyDescent="0.25">
      <c r="A3491">
        <v>3490</v>
      </c>
      <c r="B3491" t="s">
        <v>4436</v>
      </c>
      <c r="C3491" t="s">
        <v>2062</v>
      </c>
      <c r="D3491" t="str">
        <f t="shared" si="115"/>
        <v/>
      </c>
      <c r="E3491" t="str">
        <f t="shared" si="114"/>
        <v>dancin' in the streets</v>
      </c>
      <c r="F3491" t="s">
        <v>5418</v>
      </c>
      <c r="G3491" t="str">
        <f>_xlfn.IFNA(VLOOKUP(F3491,songs!$B$1:$C$1539, 2, FALSE),"")</f>
        <v>Dancin' In The Streets</v>
      </c>
      <c r="H3491" t="s">
        <v>2062</v>
      </c>
    </row>
    <row r="3492" spans="1:8" x14ac:dyDescent="0.25">
      <c r="A3492">
        <v>3491</v>
      </c>
      <c r="B3492" t="s">
        <v>4437</v>
      </c>
      <c r="C3492" t="s">
        <v>560</v>
      </c>
      <c r="D3492" t="str">
        <f t="shared" si="115"/>
        <v/>
      </c>
      <c r="E3492" t="str">
        <f t="shared" si="114"/>
        <v>passenger</v>
      </c>
      <c r="F3492" t="s">
        <v>6738</v>
      </c>
      <c r="G3492" t="str">
        <f>_xlfn.IFNA(VLOOKUP(F3492,songs!$B$1:$C$1539, 2, FALSE),"")</f>
        <v>Passenger</v>
      </c>
      <c r="H3492" t="s">
        <v>560</v>
      </c>
    </row>
    <row r="3493" spans="1:8" x14ac:dyDescent="0.25">
      <c r="A3493">
        <v>3492</v>
      </c>
      <c r="B3493" t="s">
        <v>4438</v>
      </c>
      <c r="C3493" t="s">
        <v>266</v>
      </c>
      <c r="D3493" t="str">
        <f t="shared" si="115"/>
        <v/>
      </c>
      <c r="E3493" t="str">
        <f t="shared" si="114"/>
        <v>samson and delilah</v>
      </c>
      <c r="F3493" t="s">
        <v>6925</v>
      </c>
      <c r="G3493" t="str">
        <f>_xlfn.IFNA(VLOOKUP(F3493,songs!$B$1:$C$1539, 2, FALSE),"")</f>
        <v>Samson And Delilah</v>
      </c>
      <c r="H3493" t="s">
        <v>266</v>
      </c>
    </row>
    <row r="3494" spans="1:8" x14ac:dyDescent="0.25">
      <c r="A3494">
        <v>3493</v>
      </c>
      <c r="B3494" t="s">
        <v>4439</v>
      </c>
      <c r="C3494" t="s">
        <v>67</v>
      </c>
      <c r="D3494" t="str">
        <f t="shared" si="115"/>
        <v/>
      </c>
      <c r="E3494" t="str">
        <f t="shared" si="114"/>
        <v>sunrise</v>
      </c>
      <c r="F3494" t="s">
        <v>7156</v>
      </c>
      <c r="G3494" t="str">
        <f>_xlfn.IFNA(VLOOKUP(F3494,songs!$B$1:$C$1539, 2, FALSE),"")</f>
        <v>Sunrise</v>
      </c>
      <c r="H3494" t="s">
        <v>67</v>
      </c>
    </row>
    <row r="3495" spans="1:8" x14ac:dyDescent="0.25">
      <c r="A3495">
        <v>3503</v>
      </c>
      <c r="B3495" t="s">
        <v>4450</v>
      </c>
      <c r="C3495" t="s">
        <v>4198</v>
      </c>
      <c r="D3495" t="str">
        <f t="shared" si="115"/>
        <v/>
      </c>
      <c r="E3495" t="str">
        <f t="shared" si="114"/>
        <v>all new minglewood blues</v>
      </c>
      <c r="F3495" t="s">
        <v>7869</v>
      </c>
      <c r="G3495" t="str">
        <f>_xlfn.IFNA(VLOOKUP(F3495,songs!$B$1:$C$1539, 2, FALSE),"")</f>
        <v>Minglewood Blues</v>
      </c>
      <c r="H3495" t="s">
        <v>7867</v>
      </c>
    </row>
    <row r="3496" spans="1:8" x14ac:dyDescent="0.25">
      <c r="A3496">
        <v>3495</v>
      </c>
      <c r="B3496" t="s">
        <v>4442</v>
      </c>
      <c r="C3496" t="s">
        <v>242</v>
      </c>
      <c r="D3496" t="str">
        <f t="shared" si="115"/>
        <v/>
      </c>
      <c r="E3496" t="str">
        <f t="shared" si="114"/>
        <v>good lovin'</v>
      </c>
      <c r="F3496" t="s">
        <v>5810</v>
      </c>
      <c r="G3496" t="str">
        <f>_xlfn.IFNA(VLOOKUP(F3496,songs!$B$1:$C$1539, 2, FALSE),"")</f>
        <v>Good Lovin'</v>
      </c>
      <c r="H3496" t="s">
        <v>242</v>
      </c>
    </row>
    <row r="3497" spans="1:8" x14ac:dyDescent="0.25">
      <c r="A3497">
        <v>3496</v>
      </c>
      <c r="B3497" t="s">
        <v>4443</v>
      </c>
      <c r="C3497" t="s">
        <v>4188</v>
      </c>
      <c r="D3497" t="str">
        <f t="shared" si="115"/>
        <v/>
      </c>
      <c r="E3497" t="str">
        <f t="shared" si="114"/>
        <v>france</v>
      </c>
      <c r="F3497" t="s">
        <v>5711</v>
      </c>
      <c r="G3497" t="str">
        <f>_xlfn.IFNA(VLOOKUP(F3497,songs!$B$1:$C$1539, 2, FALSE),"")</f>
        <v>France</v>
      </c>
      <c r="H3497" t="s">
        <v>4188</v>
      </c>
    </row>
    <row r="3498" spans="1:8" x14ac:dyDescent="0.25">
      <c r="A3498">
        <v>3497</v>
      </c>
      <c r="B3498" t="s">
        <v>4444</v>
      </c>
      <c r="C3498" t="s">
        <v>150</v>
      </c>
      <c r="D3498" t="str">
        <f t="shared" si="115"/>
        <v/>
      </c>
      <c r="E3498" t="str">
        <f t="shared" si="114"/>
        <v>shakedown street</v>
      </c>
      <c r="F3498" t="s">
        <v>6972</v>
      </c>
      <c r="G3498" t="str">
        <f>_xlfn.IFNA(VLOOKUP(F3498,songs!$B$1:$C$1539, 2, FALSE),"")</f>
        <v>Shakedown Street</v>
      </c>
      <c r="H3498" t="s">
        <v>150</v>
      </c>
    </row>
    <row r="3499" spans="1:8" x14ac:dyDescent="0.25">
      <c r="A3499">
        <v>3530</v>
      </c>
      <c r="B3499" t="s">
        <v>4477</v>
      </c>
      <c r="C3499" t="s">
        <v>713</v>
      </c>
      <c r="D3499" t="str">
        <f t="shared" si="115"/>
        <v/>
      </c>
      <c r="E3499" t="str">
        <f t="shared" si="114"/>
        <v>good morning little school girl</v>
      </c>
      <c r="F3499" t="s">
        <v>5811</v>
      </c>
      <c r="G3499" t="str">
        <f>_xlfn.IFNA(VLOOKUP(F3499,songs!$B$1:$C$1539, 2, FALSE),"")</f>
        <v>Good Morning Little Schoolgirl</v>
      </c>
      <c r="H3499" t="s">
        <v>7867</v>
      </c>
    </row>
    <row r="3500" spans="1:8" x14ac:dyDescent="0.25">
      <c r="A3500">
        <v>3499</v>
      </c>
      <c r="B3500" t="s">
        <v>4446</v>
      </c>
      <c r="C3500" t="s">
        <v>573</v>
      </c>
      <c r="D3500" t="str">
        <f t="shared" si="115"/>
        <v/>
      </c>
      <c r="E3500" t="str">
        <f t="shared" si="114"/>
        <v>fire on the mountain</v>
      </c>
      <c r="F3500" t="s">
        <v>5675</v>
      </c>
      <c r="G3500" t="str">
        <f>_xlfn.IFNA(VLOOKUP(F3500,songs!$B$1:$C$1539, 2, FALSE),"")</f>
        <v>Fire On The Mountain</v>
      </c>
      <c r="H3500" t="s">
        <v>573</v>
      </c>
    </row>
    <row r="3501" spans="1:8" x14ac:dyDescent="0.25">
      <c r="A3501">
        <v>3500</v>
      </c>
      <c r="B3501" t="s">
        <v>4447</v>
      </c>
      <c r="C3501" t="s">
        <v>2237</v>
      </c>
      <c r="D3501" t="str">
        <f t="shared" si="115"/>
        <v/>
      </c>
      <c r="E3501" t="str">
        <f t="shared" si="114"/>
        <v>i need a miracle</v>
      </c>
      <c r="F3501" t="s">
        <v>6021</v>
      </c>
      <c r="G3501" t="str">
        <f>_xlfn.IFNA(VLOOKUP(F3501,songs!$B$1:$C$1539, 2, FALSE),"")</f>
        <v>I Need A Miracle</v>
      </c>
      <c r="H3501" t="s">
        <v>2237</v>
      </c>
    </row>
    <row r="3502" spans="1:8" x14ac:dyDescent="0.25">
      <c r="A3502">
        <v>3501</v>
      </c>
      <c r="B3502" t="s">
        <v>4448</v>
      </c>
      <c r="C3502" t="s">
        <v>4195</v>
      </c>
      <c r="D3502" t="str">
        <f t="shared" si="115"/>
        <v/>
      </c>
      <c r="E3502" t="str">
        <f t="shared" si="114"/>
        <v>from the heart of me</v>
      </c>
      <c r="F3502" t="s">
        <v>5726</v>
      </c>
      <c r="G3502" t="str">
        <f>_xlfn.IFNA(VLOOKUP(F3502,songs!$B$1:$C$1539, 2, FALSE),"")</f>
        <v>From The Heart Of Me</v>
      </c>
      <c r="H3502" t="s">
        <v>4195</v>
      </c>
    </row>
    <row r="3503" spans="1:8" x14ac:dyDescent="0.25">
      <c r="A3503">
        <v>3502</v>
      </c>
      <c r="B3503" t="s">
        <v>4449</v>
      </c>
      <c r="C3503" t="s">
        <v>257</v>
      </c>
      <c r="D3503" t="str">
        <f t="shared" si="115"/>
        <v/>
      </c>
      <c r="E3503" t="str">
        <f t="shared" si="114"/>
        <v>stagger lee</v>
      </c>
      <c r="F3503" t="s">
        <v>7101</v>
      </c>
      <c r="G3503" t="str">
        <f>_xlfn.IFNA(VLOOKUP(F3503,songs!$B$1:$C$1539, 2, FALSE),"")</f>
        <v>Stagger Lee</v>
      </c>
      <c r="H3503" t="s">
        <v>257</v>
      </c>
    </row>
    <row r="3504" spans="1:8" x14ac:dyDescent="0.25">
      <c r="A3504">
        <v>3535</v>
      </c>
      <c r="B3504" t="s">
        <v>4483</v>
      </c>
      <c r="C3504" t="s">
        <v>4484</v>
      </c>
      <c r="D3504" t="str">
        <f t="shared" si="115"/>
        <v/>
      </c>
      <c r="E3504" t="str">
        <f t="shared" si="114"/>
        <v>it hurts me too</v>
      </c>
      <c r="F3504" t="s">
        <v>5979</v>
      </c>
      <c r="G3504" t="str">
        <f>_xlfn.IFNA(VLOOKUP(F3504,songs!$B$1:$C$1539, 2, FALSE),"")</f>
        <v>Hurts Me Too</v>
      </c>
      <c r="H3504" t="s">
        <v>7867</v>
      </c>
    </row>
    <row r="3505" spans="1:8" x14ac:dyDescent="0.25">
      <c r="A3505">
        <v>3504</v>
      </c>
      <c r="B3505" t="s">
        <v>4451</v>
      </c>
      <c r="C3505" t="s">
        <v>4200</v>
      </c>
      <c r="D3505" t="str">
        <f t="shared" si="115"/>
        <v/>
      </c>
      <c r="E3505" t="str">
        <f t="shared" si="114"/>
        <v>if i had the world to give</v>
      </c>
      <c r="F3505" t="s">
        <v>6048</v>
      </c>
      <c r="G3505" t="str">
        <f>_xlfn.IFNA(VLOOKUP(F3505,songs!$B$1:$C$1539, 2, FALSE),"")</f>
        <v>If I Had The World To Give</v>
      </c>
      <c r="H3505" t="s">
        <v>4200</v>
      </c>
    </row>
    <row r="3506" spans="1:8" x14ac:dyDescent="0.25">
      <c r="A3506">
        <v>3505</v>
      </c>
      <c r="B3506" t="s">
        <v>4452</v>
      </c>
      <c r="C3506" t="s">
        <v>128</v>
      </c>
      <c r="D3506" t="str">
        <f t="shared" si="115"/>
        <v/>
      </c>
      <c r="E3506" t="str">
        <f t="shared" si="114"/>
        <v>alabama getaway</v>
      </c>
      <c r="F3506" t="s">
        <v>5047</v>
      </c>
      <c r="G3506" t="str">
        <f>_xlfn.IFNA(VLOOKUP(F3506,songs!$B$1:$C$1539, 2, FALSE),"")</f>
        <v>Alabama Getaway</v>
      </c>
      <c r="H3506" t="s">
        <v>128</v>
      </c>
    </row>
    <row r="3507" spans="1:8" x14ac:dyDescent="0.25">
      <c r="A3507">
        <v>3506</v>
      </c>
      <c r="B3507" t="s">
        <v>4453</v>
      </c>
      <c r="C3507" t="s">
        <v>2610</v>
      </c>
      <c r="D3507" t="str">
        <f t="shared" si="115"/>
        <v/>
      </c>
      <c r="E3507" t="str">
        <f t="shared" si="114"/>
        <v>far from me</v>
      </c>
      <c r="F3507" t="s">
        <v>5644</v>
      </c>
      <c r="G3507" t="str">
        <f>_xlfn.IFNA(VLOOKUP(F3507,songs!$B$1:$C$1539, 2, FALSE),"")</f>
        <v>Far From Me</v>
      </c>
      <c r="H3507" t="s">
        <v>2610</v>
      </c>
    </row>
    <row r="3508" spans="1:8" x14ac:dyDescent="0.25">
      <c r="A3508">
        <v>3507</v>
      </c>
      <c r="B3508" t="s">
        <v>4454</v>
      </c>
      <c r="C3508" t="s">
        <v>161</v>
      </c>
      <c r="D3508" t="str">
        <f t="shared" si="115"/>
        <v/>
      </c>
      <c r="E3508" t="str">
        <f t="shared" si="114"/>
        <v>althea</v>
      </c>
      <c r="F3508" t="s">
        <v>5073</v>
      </c>
      <c r="G3508" t="str">
        <f>_xlfn.IFNA(VLOOKUP(F3508,songs!$B$1:$C$1539, 2, FALSE),"")</f>
        <v>Althea</v>
      </c>
      <c r="H3508" t="s">
        <v>161</v>
      </c>
    </row>
    <row r="3509" spans="1:8" x14ac:dyDescent="0.25">
      <c r="A3509">
        <v>3508</v>
      </c>
      <c r="B3509" t="s">
        <v>4455</v>
      </c>
      <c r="C3509" t="s">
        <v>853</v>
      </c>
      <c r="D3509" t="str">
        <f t="shared" si="115"/>
        <v/>
      </c>
      <c r="E3509" t="str">
        <f t="shared" si="114"/>
        <v>feel like a stranger</v>
      </c>
      <c r="F3509" t="s">
        <v>5658</v>
      </c>
      <c r="G3509" t="str">
        <f>_xlfn.IFNA(VLOOKUP(F3509,songs!$B$1:$C$1539, 2, FALSE),"")</f>
        <v>Feel Like A Stranger</v>
      </c>
      <c r="H3509" t="s">
        <v>853</v>
      </c>
    </row>
    <row r="3510" spans="1:8" x14ac:dyDescent="0.25">
      <c r="A3510">
        <v>3509</v>
      </c>
      <c r="B3510" t="s">
        <v>4456</v>
      </c>
      <c r="C3510" t="s">
        <v>394</v>
      </c>
      <c r="D3510" t="str">
        <f t="shared" si="115"/>
        <v/>
      </c>
      <c r="E3510" t="str">
        <f t="shared" si="114"/>
        <v>lost sailor</v>
      </c>
      <c r="F3510" t="s">
        <v>6403</v>
      </c>
      <c r="G3510" t="str">
        <f>_xlfn.IFNA(VLOOKUP(F3510,songs!$B$1:$C$1539, 2, FALSE),"")</f>
        <v>Lost Sailor</v>
      </c>
      <c r="H3510" t="s">
        <v>394</v>
      </c>
    </row>
    <row r="3511" spans="1:8" x14ac:dyDescent="0.25">
      <c r="A3511">
        <v>3510</v>
      </c>
      <c r="B3511" t="s">
        <v>4457</v>
      </c>
      <c r="C3511" t="s">
        <v>1486</v>
      </c>
      <c r="D3511" t="str">
        <f t="shared" si="115"/>
        <v/>
      </c>
      <c r="E3511" t="str">
        <f t="shared" si="114"/>
        <v>saint of circumstance</v>
      </c>
      <c r="F3511" t="s">
        <v>6909</v>
      </c>
      <c r="G3511" t="str">
        <f>_xlfn.IFNA(VLOOKUP(F3511,songs!$B$1:$C$1539, 2, FALSE),"")</f>
        <v>Saint Of Circumstance</v>
      </c>
      <c r="H3511" t="s">
        <v>1486</v>
      </c>
    </row>
    <row r="3512" spans="1:8" x14ac:dyDescent="0.25">
      <c r="A3512">
        <v>3536</v>
      </c>
      <c r="B3512" t="s">
        <v>4485</v>
      </c>
      <c r="C3512" t="s">
        <v>4486</v>
      </c>
      <c r="D3512" t="str">
        <f t="shared" si="115"/>
        <v/>
      </c>
      <c r="E3512" t="str">
        <f t="shared" si="114"/>
        <v>it's all over now baby blue</v>
      </c>
      <c r="F3512" t="s">
        <v>6136</v>
      </c>
      <c r="G3512" t="str">
        <f>_xlfn.IFNA(VLOOKUP(F3512,songs!$B$1:$C$1539, 2, FALSE),"")</f>
        <v>It's All Over Now, Baby Blue</v>
      </c>
      <c r="H3512" t="s">
        <v>7867</v>
      </c>
    </row>
    <row r="3513" spans="1:8" x14ac:dyDescent="0.25">
      <c r="A3513">
        <v>3512</v>
      </c>
      <c r="B3513" t="s">
        <v>4459</v>
      </c>
      <c r="C3513" t="s">
        <v>2386</v>
      </c>
      <c r="D3513" t="str">
        <f t="shared" si="115"/>
        <v/>
      </c>
      <c r="E3513" t="str">
        <f t="shared" si="114"/>
        <v>easy to love you</v>
      </c>
      <c r="F3513" t="s">
        <v>5584</v>
      </c>
      <c r="G3513" t="str">
        <f>_xlfn.IFNA(VLOOKUP(F3513,songs!$B$1:$C$1539, 2, FALSE),"")</f>
        <v>Easy To Love You</v>
      </c>
      <c r="H3513" t="s">
        <v>2386</v>
      </c>
    </row>
    <row r="3514" spans="1:8" x14ac:dyDescent="0.25">
      <c r="A3514">
        <v>3513</v>
      </c>
      <c r="B3514" t="s">
        <v>4460</v>
      </c>
      <c r="C3514" t="s">
        <v>215</v>
      </c>
      <c r="D3514" t="str">
        <f t="shared" si="115"/>
        <v/>
      </c>
      <c r="E3514" t="str">
        <f t="shared" si="114"/>
        <v>don't ease me in</v>
      </c>
      <c r="F3514" t="s">
        <v>5513</v>
      </c>
      <c r="G3514" t="str">
        <f>_xlfn.IFNA(VLOOKUP(F3514,songs!$B$1:$C$1539, 2, FALSE),"")</f>
        <v>Don't Ease Me In</v>
      </c>
      <c r="H3514" t="s">
        <v>215</v>
      </c>
    </row>
    <row r="3515" spans="1:8" x14ac:dyDescent="0.25">
      <c r="A3515">
        <v>3514</v>
      </c>
      <c r="B3515" t="s">
        <v>4461</v>
      </c>
      <c r="C3515" t="s">
        <v>2253</v>
      </c>
      <c r="D3515" t="str">
        <f t="shared" si="115"/>
        <v/>
      </c>
      <c r="E3515" t="str">
        <f t="shared" si="114"/>
        <v>touch of grey</v>
      </c>
      <c r="F3515" t="s">
        <v>7419</v>
      </c>
      <c r="G3515" t="str">
        <f>_xlfn.IFNA(VLOOKUP(F3515,songs!$B$1:$C$1539, 2, FALSE),"")</f>
        <v>Touch Of Grey</v>
      </c>
      <c r="H3515" t="s">
        <v>2253</v>
      </c>
    </row>
    <row r="3516" spans="1:8" x14ac:dyDescent="0.25">
      <c r="A3516">
        <v>3515</v>
      </c>
      <c r="B3516" t="s">
        <v>4462</v>
      </c>
      <c r="C3516" t="s">
        <v>4271</v>
      </c>
      <c r="D3516" t="str">
        <f t="shared" si="115"/>
        <v/>
      </c>
      <c r="E3516" t="str">
        <f t="shared" si="114"/>
        <v>hell in a bucket</v>
      </c>
      <c r="F3516" t="s">
        <v>5884</v>
      </c>
      <c r="G3516" t="str">
        <f>_xlfn.IFNA(VLOOKUP(F3516,songs!$B$1:$C$1539, 2, FALSE),"")</f>
        <v>Hell In A Bucket</v>
      </c>
      <c r="H3516" t="s">
        <v>4271</v>
      </c>
    </row>
    <row r="3517" spans="1:8" x14ac:dyDescent="0.25">
      <c r="A3517">
        <v>3516</v>
      </c>
      <c r="B3517" t="s">
        <v>4463</v>
      </c>
      <c r="C3517" t="s">
        <v>2225</v>
      </c>
      <c r="D3517" t="str">
        <f t="shared" si="115"/>
        <v/>
      </c>
      <c r="E3517" t="str">
        <f t="shared" si="114"/>
        <v>when push comes to shove</v>
      </c>
      <c r="F3517" t="s">
        <v>7695</v>
      </c>
      <c r="G3517" t="str">
        <f>_xlfn.IFNA(VLOOKUP(F3517,songs!$B$1:$C$1539, 2, FALSE),"")</f>
        <v>When Push Comes To Shove</v>
      </c>
      <c r="H3517" t="s">
        <v>2225</v>
      </c>
    </row>
    <row r="3518" spans="1:8" x14ac:dyDescent="0.25">
      <c r="A3518">
        <v>3517</v>
      </c>
      <c r="B3518" t="s">
        <v>4464</v>
      </c>
      <c r="C3518" t="s">
        <v>2355</v>
      </c>
      <c r="D3518" t="str">
        <f t="shared" si="115"/>
        <v/>
      </c>
      <c r="E3518" t="str">
        <f t="shared" si="114"/>
        <v>west l.a. fadeaway</v>
      </c>
      <c r="F3518" t="s">
        <v>7663</v>
      </c>
      <c r="G3518" t="str">
        <f>_xlfn.IFNA(VLOOKUP(F3518,songs!$B$1:$C$1539, 2, FALSE),"")</f>
        <v>West L.A. Fadeaway</v>
      </c>
      <c r="H3518" t="s">
        <v>2355</v>
      </c>
    </row>
    <row r="3519" spans="1:8" x14ac:dyDescent="0.25">
      <c r="A3519">
        <v>3518</v>
      </c>
      <c r="B3519" t="s">
        <v>4465</v>
      </c>
      <c r="C3519" t="s">
        <v>4275</v>
      </c>
      <c r="D3519" t="str">
        <f t="shared" si="115"/>
        <v/>
      </c>
      <c r="E3519" t="str">
        <f t="shared" si="114"/>
        <v>tons of steel</v>
      </c>
      <c r="F3519" t="s">
        <v>7414</v>
      </c>
      <c r="G3519" t="str">
        <f>_xlfn.IFNA(VLOOKUP(F3519,songs!$B$1:$C$1539, 2, FALSE),"")</f>
        <v>Tons Of Steel</v>
      </c>
      <c r="H3519" t="s">
        <v>4275</v>
      </c>
    </row>
    <row r="3520" spans="1:8" x14ac:dyDescent="0.25">
      <c r="A3520">
        <v>3519</v>
      </c>
      <c r="B3520" t="s">
        <v>4466</v>
      </c>
      <c r="C3520" t="s">
        <v>877</v>
      </c>
      <c r="D3520" t="str">
        <f t="shared" si="115"/>
        <v/>
      </c>
      <c r="E3520" t="str">
        <f t="shared" si="114"/>
        <v>throwing stones</v>
      </c>
      <c r="F3520" t="s">
        <v>7383</v>
      </c>
      <c r="G3520" t="str">
        <f>_xlfn.IFNA(VLOOKUP(F3520,songs!$B$1:$C$1539, 2, FALSE),"")</f>
        <v>Throwing Stones</v>
      </c>
      <c r="H3520" t="s">
        <v>877</v>
      </c>
    </row>
    <row r="3521" spans="1:8" x14ac:dyDescent="0.25">
      <c r="A3521">
        <v>3520</v>
      </c>
      <c r="B3521" t="s">
        <v>4467</v>
      </c>
      <c r="C3521" t="s">
        <v>4278</v>
      </c>
      <c r="D3521" t="str">
        <f t="shared" si="115"/>
        <v/>
      </c>
      <c r="E3521" t="str">
        <f t="shared" si="114"/>
        <v>black muddy river</v>
      </c>
      <c r="F3521" t="s">
        <v>5189</v>
      </c>
      <c r="G3521" t="str">
        <f>_xlfn.IFNA(VLOOKUP(F3521,songs!$B$1:$C$1539, 2, FALSE),"")</f>
        <v>Black Muddy River</v>
      </c>
      <c r="H3521" t="s">
        <v>4278</v>
      </c>
    </row>
    <row r="3522" spans="1:8" x14ac:dyDescent="0.25">
      <c r="A3522">
        <v>3521</v>
      </c>
      <c r="B3522" t="s">
        <v>4468</v>
      </c>
      <c r="C3522" t="s">
        <v>2414</v>
      </c>
      <c r="D3522" t="str">
        <f t="shared" si="115"/>
        <v/>
      </c>
      <c r="E3522" t="str">
        <f t="shared" si="114"/>
        <v>foolish heart</v>
      </c>
      <c r="F3522" t="s">
        <v>5700</v>
      </c>
      <c r="G3522" t="str">
        <f>_xlfn.IFNA(VLOOKUP(F3522,songs!$B$1:$C$1539, 2, FALSE),"")</f>
        <v>Foolish Heart</v>
      </c>
      <c r="H3522" t="s">
        <v>2414</v>
      </c>
    </row>
    <row r="3523" spans="1:8" x14ac:dyDescent="0.25">
      <c r="A3523">
        <v>3522</v>
      </c>
      <c r="B3523" t="s">
        <v>4469</v>
      </c>
      <c r="C3523" t="s">
        <v>4281</v>
      </c>
      <c r="D3523" t="str">
        <f t="shared" si="115"/>
        <v/>
      </c>
      <c r="E3523" t="str">
        <f t="shared" si="114"/>
        <v>just a little light</v>
      </c>
      <c r="F3523" t="s">
        <v>6209</v>
      </c>
      <c r="G3523" t="str">
        <f>_xlfn.IFNA(VLOOKUP(F3523,songs!$B$1:$C$1539, 2, FALSE),"")</f>
        <v>Just A Little Light</v>
      </c>
      <c r="H3523" t="s">
        <v>4281</v>
      </c>
    </row>
    <row r="3524" spans="1:8" x14ac:dyDescent="0.25">
      <c r="A3524">
        <v>3523</v>
      </c>
      <c r="B3524" t="s">
        <v>4470</v>
      </c>
      <c r="C3524" t="s">
        <v>4283</v>
      </c>
      <c r="D3524" t="str">
        <f t="shared" si="115"/>
        <v/>
      </c>
      <c r="E3524" t="str">
        <f t="shared" ref="E3524:E3587" si="116">LOWER(TRIM(SUBSTITUTE(IF(RIGHT(TRIM(C3524),2)="-&gt;",LEFT(TRIM(C3524),LEN(TRIM(C3524))-2),IF(RIGHT(TRIM(C3524),1)="&gt;",LEFT(TRIM(C3524),LEN(TRIM(C3524))-1),C3524)),"//","")))</f>
        <v>built to last</v>
      </c>
      <c r="F3524" t="s">
        <v>5264</v>
      </c>
      <c r="G3524" t="str">
        <f>_xlfn.IFNA(VLOOKUP(F3524,songs!$B$1:$C$1539, 2, FALSE),"")</f>
        <v>Built To Last</v>
      </c>
      <c r="H3524" t="s">
        <v>4283</v>
      </c>
    </row>
    <row r="3525" spans="1:8" x14ac:dyDescent="0.25">
      <c r="A3525">
        <v>3524</v>
      </c>
      <c r="B3525" t="s">
        <v>4471</v>
      </c>
      <c r="C3525" t="s">
        <v>4285</v>
      </c>
      <c r="D3525" t="str">
        <f t="shared" si="115"/>
        <v/>
      </c>
      <c r="E3525" t="str">
        <f t="shared" si="116"/>
        <v>blow away</v>
      </c>
      <c r="F3525" t="s">
        <v>5198</v>
      </c>
      <c r="G3525" t="str">
        <f>_xlfn.IFNA(VLOOKUP(F3525,songs!$B$1:$C$1539, 2, FALSE),"")</f>
        <v>Blow Away</v>
      </c>
      <c r="H3525" t="s">
        <v>4285</v>
      </c>
    </row>
    <row r="3526" spans="1:8" x14ac:dyDescent="0.25">
      <c r="A3526">
        <v>3525</v>
      </c>
      <c r="B3526" t="s">
        <v>4472</v>
      </c>
      <c r="C3526" t="s">
        <v>524</v>
      </c>
      <c r="D3526" t="str">
        <f t="shared" si="115"/>
        <v/>
      </c>
      <c r="E3526" t="str">
        <f t="shared" si="116"/>
        <v>victim or the crime</v>
      </c>
      <c r="F3526" t="s">
        <v>7594</v>
      </c>
      <c r="G3526" t="str">
        <f>_xlfn.IFNA(VLOOKUP(F3526,songs!$B$1:$C$1539, 2, FALSE),"")</f>
        <v>Victim Or The Crime</v>
      </c>
      <c r="H3526" t="s">
        <v>524</v>
      </c>
    </row>
    <row r="3527" spans="1:8" x14ac:dyDescent="0.25">
      <c r="A3527">
        <v>3526</v>
      </c>
      <c r="B3527" t="s">
        <v>4473</v>
      </c>
      <c r="C3527" t="s">
        <v>4289</v>
      </c>
      <c r="D3527" t="str">
        <f t="shared" si="115"/>
        <v/>
      </c>
      <c r="E3527" t="str">
        <f t="shared" si="116"/>
        <v>we can run</v>
      </c>
      <c r="F3527" t="s">
        <v>7652</v>
      </c>
      <c r="G3527" t="str">
        <f>_xlfn.IFNA(VLOOKUP(F3527,songs!$B$1:$C$1539, 2, FALSE),"")</f>
        <v>We Can Run</v>
      </c>
      <c r="H3527" t="s">
        <v>4289</v>
      </c>
    </row>
    <row r="3528" spans="1:8" x14ac:dyDescent="0.25">
      <c r="A3528">
        <v>3527</v>
      </c>
      <c r="B3528" t="s">
        <v>4474</v>
      </c>
      <c r="C3528" t="s">
        <v>4291</v>
      </c>
      <c r="D3528" t="str">
        <f t="shared" si="115"/>
        <v/>
      </c>
      <c r="E3528" t="str">
        <f t="shared" si="116"/>
        <v>standing on the moon</v>
      </c>
      <c r="F3528" t="s">
        <v>7109</v>
      </c>
      <c r="G3528" t="str">
        <f>_xlfn.IFNA(VLOOKUP(F3528,songs!$B$1:$C$1539, 2, FALSE),"")</f>
        <v>Standing On The Moon</v>
      </c>
      <c r="H3528" t="s">
        <v>4291</v>
      </c>
    </row>
    <row r="3529" spans="1:8" x14ac:dyDescent="0.25">
      <c r="A3529">
        <v>3528</v>
      </c>
      <c r="B3529" t="s">
        <v>4475</v>
      </c>
      <c r="C3529" t="s">
        <v>2409</v>
      </c>
      <c r="D3529" t="str">
        <f t="shared" ref="D3529:D3592" si="117">IF(RIGHT(TRIM(C3529),2)="-&gt;","&gt;",IF(RIGHT(TRIM(C3529),1)="&gt;","&gt;",""))</f>
        <v/>
      </c>
      <c r="E3529" t="str">
        <f t="shared" si="116"/>
        <v>picasso moon</v>
      </c>
      <c r="F3529" t="s">
        <v>6756</v>
      </c>
      <c r="G3529" t="str">
        <f>_xlfn.IFNA(VLOOKUP(F3529,songs!$B$1:$C$1539, 2, FALSE),"")</f>
        <v>Picasso Moon</v>
      </c>
      <c r="H3529" t="s">
        <v>2409</v>
      </c>
    </row>
    <row r="3530" spans="1:8" x14ac:dyDescent="0.25">
      <c r="A3530">
        <v>3529</v>
      </c>
      <c r="B3530" t="s">
        <v>4476</v>
      </c>
      <c r="C3530" t="s">
        <v>4294</v>
      </c>
      <c r="D3530" t="str">
        <f t="shared" si="117"/>
        <v/>
      </c>
      <c r="E3530" t="str">
        <f t="shared" si="116"/>
        <v>i will take you home</v>
      </c>
      <c r="F3530" t="s">
        <v>6041</v>
      </c>
      <c r="G3530" t="str">
        <f>_xlfn.IFNA(VLOOKUP(F3530,songs!$B$1:$C$1539, 2, FALSE),"")</f>
        <v>I Will Take You Home</v>
      </c>
      <c r="H3530" t="s">
        <v>4294</v>
      </c>
    </row>
    <row r="3531" spans="1:8" x14ac:dyDescent="0.25">
      <c r="A3531">
        <v>3537</v>
      </c>
      <c r="B3531" t="s">
        <v>4487</v>
      </c>
      <c r="C3531" t="s">
        <v>626</v>
      </c>
      <c r="D3531" t="str">
        <f t="shared" si="117"/>
        <v/>
      </c>
      <c r="E3531" t="str">
        <f t="shared" si="116"/>
        <v>dancing in the streets</v>
      </c>
      <c r="F3531" t="s">
        <v>5418</v>
      </c>
      <c r="G3531" t="str">
        <f>_xlfn.IFNA(VLOOKUP(F3531,songs!$B$1:$C$1539, 2, FALSE),"")</f>
        <v>Dancin' In The Streets</v>
      </c>
      <c r="H3531" t="s">
        <v>7867</v>
      </c>
    </row>
    <row r="3532" spans="1:8" x14ac:dyDescent="0.25">
      <c r="A3532">
        <v>3531</v>
      </c>
      <c r="B3532" t="s">
        <v>4478</v>
      </c>
      <c r="C3532" t="s">
        <v>4479</v>
      </c>
      <c r="D3532" t="str">
        <f t="shared" si="117"/>
        <v/>
      </c>
      <c r="E3532" t="str">
        <f t="shared" si="116"/>
        <v>lindy</v>
      </c>
      <c r="F3532" t="s">
        <v>6343</v>
      </c>
      <c r="G3532" t="str">
        <f>_xlfn.IFNA(VLOOKUP(F3532,songs!$B$1:$C$1539, 2, FALSE),"")</f>
        <v>Lindy</v>
      </c>
      <c r="H3532" t="s">
        <v>4479</v>
      </c>
    </row>
    <row r="3533" spans="1:8" x14ac:dyDescent="0.25">
      <c r="A3533">
        <v>3532</v>
      </c>
      <c r="B3533" t="s">
        <v>4480</v>
      </c>
      <c r="C3533" t="s">
        <v>3064</v>
      </c>
      <c r="D3533" t="str">
        <f t="shared" si="117"/>
        <v/>
      </c>
      <c r="E3533" t="str">
        <f t="shared" si="116"/>
        <v>stealin'</v>
      </c>
      <c r="F3533" t="s">
        <v>7122</v>
      </c>
      <c r="G3533" t="str">
        <f>_xlfn.IFNA(VLOOKUP(F3533,songs!$B$1:$C$1539, 2, FALSE),"")</f>
        <v>Stealin'</v>
      </c>
      <c r="H3533" t="s">
        <v>3064</v>
      </c>
    </row>
    <row r="3534" spans="1:8" x14ac:dyDescent="0.25">
      <c r="A3534">
        <v>3533</v>
      </c>
      <c r="B3534" t="s">
        <v>4481</v>
      </c>
      <c r="C3534" t="s">
        <v>856</v>
      </c>
      <c r="D3534" t="str">
        <f t="shared" si="117"/>
        <v/>
      </c>
      <c r="E3534" t="str">
        <f t="shared" si="116"/>
        <v>the same thing</v>
      </c>
      <c r="F3534" t="s">
        <v>7329</v>
      </c>
      <c r="G3534" t="str">
        <f>_xlfn.IFNA(VLOOKUP(F3534,songs!$B$1:$C$1539, 2, FALSE),"")</f>
        <v>The Same Thing</v>
      </c>
      <c r="H3534" t="s">
        <v>856</v>
      </c>
    </row>
    <row r="3535" spans="1:8" x14ac:dyDescent="0.25">
      <c r="A3535">
        <v>3534</v>
      </c>
      <c r="B3535" t="s">
        <v>4482</v>
      </c>
      <c r="C3535" t="s">
        <v>86</v>
      </c>
      <c r="D3535" t="str">
        <f t="shared" si="117"/>
        <v/>
      </c>
      <c r="E3535" t="str">
        <f t="shared" si="116"/>
        <v>i know you rider</v>
      </c>
      <c r="F3535" t="s">
        <v>6020</v>
      </c>
      <c r="G3535" t="str">
        <f>_xlfn.IFNA(VLOOKUP(F3535,songs!$B$1:$C$1539, 2, FALSE),"")</f>
        <v>I Know You Rider</v>
      </c>
      <c r="H3535" t="s">
        <v>86</v>
      </c>
    </row>
    <row r="3536" spans="1:8" x14ac:dyDescent="0.25">
      <c r="A3536">
        <v>3538</v>
      </c>
      <c r="B3536" t="s">
        <v>4488</v>
      </c>
      <c r="C3536" t="s">
        <v>2065</v>
      </c>
      <c r="D3536" t="str">
        <f t="shared" si="117"/>
        <v/>
      </c>
      <c r="E3536" t="str">
        <f t="shared" si="116"/>
        <v>in the midnight hour</v>
      </c>
      <c r="F3536" t="s">
        <v>6508</v>
      </c>
      <c r="G3536" t="str">
        <f>_xlfn.IFNA(VLOOKUP(F3536,songs!$B$1:$C$1539, 2, FALSE),"")</f>
        <v>Midnight Hour</v>
      </c>
      <c r="H3536" t="s">
        <v>7867</v>
      </c>
    </row>
    <row r="3537" spans="1:8" x14ac:dyDescent="0.25">
      <c r="A3537">
        <v>3539</v>
      </c>
      <c r="B3537" t="s">
        <v>4489</v>
      </c>
      <c r="C3537" t="s">
        <v>4344</v>
      </c>
      <c r="D3537" t="str">
        <f t="shared" si="117"/>
        <v/>
      </c>
      <c r="E3537" t="str">
        <f t="shared" si="116"/>
        <v>the golden road (to unlimited devotion)</v>
      </c>
      <c r="F3537" t="s">
        <v>5800</v>
      </c>
      <c r="G3537" t="str">
        <f>_xlfn.IFNA(VLOOKUP(F3537,songs!$B$1:$C$1539, 2, FALSE),"")</f>
        <v>Golden Road To Unlimited Devotion</v>
      </c>
      <c r="H3537" t="s">
        <v>7867</v>
      </c>
    </row>
    <row r="3538" spans="1:8" x14ac:dyDescent="0.25">
      <c r="A3538">
        <v>3540</v>
      </c>
      <c r="B3538" t="s">
        <v>4490</v>
      </c>
      <c r="C3538" t="s">
        <v>4491</v>
      </c>
      <c r="D3538" t="str">
        <f t="shared" si="117"/>
        <v/>
      </c>
      <c r="E3538" t="str">
        <f t="shared" si="116"/>
        <v>beat it down the line</v>
      </c>
      <c r="F3538" t="s">
        <v>431</v>
      </c>
      <c r="G3538" t="str">
        <f>_xlfn.IFNA(VLOOKUP(F3538,songs!$B$1:$C$1539, 2, FALSE),"")</f>
        <v>Beat It On Down The Line</v>
      </c>
      <c r="H3538" t="s">
        <v>7867</v>
      </c>
    </row>
    <row r="3539" spans="1:8" x14ac:dyDescent="0.25">
      <c r="A3539">
        <v>3150</v>
      </c>
      <c r="B3539" t="s">
        <v>4005</v>
      </c>
      <c r="C3539" t="s">
        <v>4006</v>
      </c>
      <c r="D3539" t="str">
        <f t="shared" si="117"/>
        <v/>
      </c>
      <c r="E3539" t="str">
        <f t="shared" si="116"/>
        <v>the only game in town</v>
      </c>
      <c r="F3539" t="s">
        <v>7887</v>
      </c>
      <c r="G3539" t="str">
        <f>_xlfn.IFNA(VLOOKUP(F3539,songs!$B$1:$C$1539, 2, FALSE),"")</f>
        <v/>
      </c>
      <c r="H3539" t="s">
        <v>7867</v>
      </c>
    </row>
    <row r="3540" spans="1:8" x14ac:dyDescent="0.25">
      <c r="A3540">
        <v>3541</v>
      </c>
      <c r="B3540" t="s">
        <v>4492</v>
      </c>
      <c r="C3540" t="s">
        <v>4493</v>
      </c>
      <c r="D3540" t="str">
        <f t="shared" si="117"/>
        <v/>
      </c>
      <c r="E3540" t="str">
        <f t="shared" si="116"/>
        <v>good morning little school girl [full-length version]</v>
      </c>
      <c r="F3540" t="s">
        <v>5811</v>
      </c>
      <c r="G3540" t="str">
        <f>_xlfn.IFNA(VLOOKUP(F3540,songs!$B$1:$C$1539, 2, FALSE),"")</f>
        <v>Good Morning Little Schoolgirl</v>
      </c>
      <c r="H3540" t="s">
        <v>7867</v>
      </c>
    </row>
    <row r="3541" spans="1:8" x14ac:dyDescent="0.25">
      <c r="A3541">
        <v>3543</v>
      </c>
      <c r="B3541" t="s">
        <v>4495</v>
      </c>
      <c r="C3541" t="s">
        <v>4496</v>
      </c>
      <c r="D3541" t="str">
        <f t="shared" si="117"/>
        <v/>
      </c>
      <c r="E3541" t="str">
        <f t="shared" si="116"/>
        <v>sitting on top of the world [full-length version]</v>
      </c>
      <c r="F3541" t="s">
        <v>7024</v>
      </c>
      <c r="G3541" t="str">
        <f>_xlfn.IFNA(VLOOKUP(F3541,songs!$B$1:$C$1539, 2, FALSE),"")</f>
        <v>Sitting On Top Of The World</v>
      </c>
      <c r="H3541" t="s">
        <v>7867</v>
      </c>
    </row>
    <row r="3542" spans="1:8" x14ac:dyDescent="0.25">
      <c r="A3542">
        <v>3544</v>
      </c>
      <c r="B3542" t="s">
        <v>4497</v>
      </c>
      <c r="C3542" t="s">
        <v>4498</v>
      </c>
      <c r="D3542" t="str">
        <f t="shared" si="117"/>
        <v/>
      </c>
      <c r="E3542" t="str">
        <f t="shared" si="116"/>
        <v>cream puff war [full-length version]</v>
      </c>
      <c r="F3542" t="s">
        <v>5395</v>
      </c>
      <c r="G3542" t="str">
        <f>_xlfn.IFNA(VLOOKUP(F3542,songs!$B$1:$C$1539, 2, FALSE),"")</f>
        <v>Cream Puff War</v>
      </c>
      <c r="H3542" t="s">
        <v>7867</v>
      </c>
    </row>
    <row r="3543" spans="1:8" x14ac:dyDescent="0.25">
      <c r="A3543">
        <v>3542</v>
      </c>
      <c r="B3543" t="s">
        <v>4494</v>
      </c>
      <c r="C3543" t="s">
        <v>113</v>
      </c>
      <c r="D3543" t="str">
        <f t="shared" si="117"/>
        <v/>
      </c>
      <c r="E3543" t="str">
        <f t="shared" si="116"/>
        <v>cold rain and snow</v>
      </c>
      <c r="F3543" t="s">
        <v>5347</v>
      </c>
      <c r="G3543" t="str">
        <f>_xlfn.IFNA(VLOOKUP(F3543,songs!$B$1:$C$1539, 2, FALSE),"")</f>
        <v>Cold Rain And Snow</v>
      </c>
      <c r="H3543" t="s">
        <v>429</v>
      </c>
    </row>
    <row r="3544" spans="1:8" x14ac:dyDescent="0.25">
      <c r="A3544">
        <v>3545</v>
      </c>
      <c r="B3544" t="s">
        <v>4499</v>
      </c>
      <c r="C3544" t="s">
        <v>4500</v>
      </c>
      <c r="D3544" t="str">
        <f t="shared" si="117"/>
        <v/>
      </c>
      <c r="E3544" t="str">
        <f t="shared" si="116"/>
        <v>morning dew [full-length version]</v>
      </c>
      <c r="F3544" t="s">
        <v>6555</v>
      </c>
      <c r="G3544" t="str">
        <f>_xlfn.IFNA(VLOOKUP(F3544,songs!$B$1:$C$1539, 2, FALSE),"")</f>
        <v>Morning Dew</v>
      </c>
      <c r="H3544" t="s">
        <v>7867</v>
      </c>
    </row>
    <row r="3545" spans="1:8" x14ac:dyDescent="0.25">
      <c r="A3545">
        <v>3546</v>
      </c>
      <c r="B3545" t="s">
        <v>4501</v>
      </c>
      <c r="C3545" t="s">
        <v>4502</v>
      </c>
      <c r="D3545" t="str">
        <f t="shared" si="117"/>
        <v/>
      </c>
      <c r="E3545" t="str">
        <f t="shared" si="116"/>
        <v>new, new minglewood blues [full-length version]</v>
      </c>
      <c r="F3545" t="s">
        <v>7869</v>
      </c>
      <c r="G3545" t="str">
        <f>_xlfn.IFNA(VLOOKUP(F3545,songs!$B$1:$C$1539, 2, FALSE),"")</f>
        <v>Minglewood Blues</v>
      </c>
      <c r="H3545" t="s">
        <v>7867</v>
      </c>
    </row>
    <row r="3546" spans="1:8" x14ac:dyDescent="0.25">
      <c r="A3546">
        <v>3549</v>
      </c>
      <c r="B3546" t="s">
        <v>4506</v>
      </c>
      <c r="C3546" t="s">
        <v>4507</v>
      </c>
      <c r="D3546" t="str">
        <f t="shared" si="117"/>
        <v/>
      </c>
      <c r="E3546" t="str">
        <f t="shared" si="116"/>
        <v>overseas stomp (the lindy)</v>
      </c>
      <c r="F3546" t="s">
        <v>6343</v>
      </c>
      <c r="G3546" t="str">
        <f>_xlfn.IFNA(VLOOKUP(F3546,songs!$B$1:$C$1539, 2, FALSE),"")</f>
        <v>Lindy</v>
      </c>
      <c r="H3546" t="s">
        <v>7867</v>
      </c>
    </row>
    <row r="3547" spans="1:8" x14ac:dyDescent="0.25">
      <c r="A3547">
        <v>3552</v>
      </c>
      <c r="B3547" t="s">
        <v>4511</v>
      </c>
      <c r="C3547" t="s">
        <v>4512</v>
      </c>
      <c r="D3547" t="str">
        <f t="shared" si="117"/>
        <v/>
      </c>
      <c r="E3547" t="str">
        <f t="shared" si="116"/>
        <v>viola lee blues [edited version</v>
      </c>
      <c r="F3547" t="s">
        <v>7595</v>
      </c>
      <c r="G3547" t="str">
        <f>_xlfn.IFNA(VLOOKUP(F3547,songs!$B$1:$C$1539, 2, FALSE),"")</f>
        <v>Viola Lee Blues</v>
      </c>
      <c r="H3547" t="s">
        <v>7867</v>
      </c>
    </row>
    <row r="3548" spans="1:8" x14ac:dyDescent="0.25">
      <c r="A3548">
        <v>3547</v>
      </c>
      <c r="B3548" t="s">
        <v>4503</v>
      </c>
      <c r="C3548" t="s">
        <v>250</v>
      </c>
      <c r="D3548" t="str">
        <f t="shared" si="117"/>
        <v/>
      </c>
      <c r="E3548" t="str">
        <f t="shared" si="116"/>
        <v>viola lee blues</v>
      </c>
      <c r="F3548" t="s">
        <v>7595</v>
      </c>
      <c r="G3548" t="str">
        <f>_xlfn.IFNA(VLOOKUP(F3548,songs!$B$1:$C$1539, 2, FALSE),"")</f>
        <v>Viola Lee Blues</v>
      </c>
      <c r="H3548" t="s">
        <v>250</v>
      </c>
    </row>
    <row r="3549" spans="1:8" x14ac:dyDescent="0.25">
      <c r="A3549">
        <v>3548</v>
      </c>
      <c r="B3549" t="s">
        <v>4504</v>
      </c>
      <c r="C3549" t="s">
        <v>4505</v>
      </c>
      <c r="D3549" t="str">
        <f t="shared" si="117"/>
        <v/>
      </c>
      <c r="E3549" t="str">
        <f t="shared" si="116"/>
        <v>alice d. millionaire</v>
      </c>
      <c r="F3549" t="s">
        <v>5050</v>
      </c>
      <c r="G3549" t="str">
        <f>_xlfn.IFNA(VLOOKUP(F3549,songs!$B$1:$C$1539, 2, FALSE),"")</f>
        <v>Alice D. Millionaire</v>
      </c>
      <c r="H3549" t="s">
        <v>4505</v>
      </c>
    </row>
    <row r="3550" spans="1:8" x14ac:dyDescent="0.25">
      <c r="A3550">
        <v>3553</v>
      </c>
      <c r="B3550" t="s">
        <v>4513</v>
      </c>
      <c r="C3550" t="s">
        <v>4514</v>
      </c>
      <c r="D3550" t="str">
        <f t="shared" si="117"/>
        <v/>
      </c>
      <c r="E3550" t="str">
        <f t="shared" si="116"/>
        <v>viola lee blues [live]</v>
      </c>
      <c r="F3550" t="s">
        <v>7595</v>
      </c>
      <c r="G3550" t="str">
        <f>_xlfn.IFNA(VLOOKUP(F3550,songs!$B$1:$C$1539, 2, FALSE),"")</f>
        <v>Viola Lee Blues</v>
      </c>
      <c r="H3550" t="s">
        <v>7867</v>
      </c>
    </row>
    <row r="3551" spans="1:8" x14ac:dyDescent="0.25">
      <c r="A3551">
        <v>3550</v>
      </c>
      <c r="B3551" t="s">
        <v>4508</v>
      </c>
      <c r="C3551" t="s">
        <v>4509</v>
      </c>
      <c r="D3551" t="str">
        <f t="shared" si="117"/>
        <v/>
      </c>
      <c r="E3551" t="str">
        <f t="shared" si="116"/>
        <v>tastebud</v>
      </c>
      <c r="F3551" t="s">
        <v>7213</v>
      </c>
      <c r="G3551" t="str">
        <f>_xlfn.IFNA(VLOOKUP(F3551,songs!$B$1:$C$1539, 2, FALSE),"")</f>
        <v>Tastebud</v>
      </c>
      <c r="H3551" t="s">
        <v>4509</v>
      </c>
    </row>
    <row r="3552" spans="1:8" x14ac:dyDescent="0.25">
      <c r="A3552">
        <v>3551</v>
      </c>
      <c r="B3552" t="s">
        <v>4510</v>
      </c>
      <c r="C3552" t="s">
        <v>4041</v>
      </c>
      <c r="D3552" t="str">
        <f t="shared" si="117"/>
        <v/>
      </c>
      <c r="E3552" t="str">
        <f t="shared" si="116"/>
        <v>death don't have no mercy</v>
      </c>
      <c r="F3552" t="s">
        <v>5468</v>
      </c>
      <c r="G3552" t="str">
        <f>_xlfn.IFNA(VLOOKUP(F3552,songs!$B$1:$C$1539, 2, FALSE),"")</f>
        <v>Death Don't Have No Mercy</v>
      </c>
      <c r="H3552" t="s">
        <v>4041</v>
      </c>
    </row>
    <row r="3553" spans="1:8" x14ac:dyDescent="0.25">
      <c r="A3553">
        <v>3585</v>
      </c>
      <c r="B3553" t="s">
        <v>4546</v>
      </c>
      <c r="C3553" t="s">
        <v>4547</v>
      </c>
      <c r="D3553" t="str">
        <f t="shared" si="117"/>
        <v/>
      </c>
      <c r="E3553" t="str">
        <f t="shared" si="116"/>
        <v>china cat sunflower -- i know you rider</v>
      </c>
      <c r="F3553" t="s">
        <v>7872</v>
      </c>
      <c r="G3553" t="s">
        <v>7872</v>
      </c>
      <c r="H3553" t="s">
        <v>7867</v>
      </c>
    </row>
    <row r="3554" spans="1:8" x14ac:dyDescent="0.25">
      <c r="A3554">
        <v>3586</v>
      </c>
      <c r="B3554" t="s">
        <v>4548</v>
      </c>
      <c r="C3554" t="s">
        <v>120</v>
      </c>
      <c r="D3554" t="str">
        <f t="shared" si="117"/>
        <v/>
      </c>
      <c r="E3554" t="str">
        <f t="shared" si="116"/>
        <v>brown-eyed woman</v>
      </c>
      <c r="F3554" t="s">
        <v>5255</v>
      </c>
      <c r="G3554" t="str">
        <f>_xlfn.IFNA(VLOOKUP(F3554,songs!$B$1:$C$1539, 2, FALSE),"")</f>
        <v>Brown Eyed Women</v>
      </c>
      <c r="H3554" t="s">
        <v>7867</v>
      </c>
    </row>
    <row r="3555" spans="1:8" x14ac:dyDescent="0.25">
      <c r="A3555">
        <v>3554</v>
      </c>
      <c r="B3555" t="s">
        <v>4515</v>
      </c>
      <c r="C3555" t="s">
        <v>915</v>
      </c>
      <c r="D3555" t="str">
        <f t="shared" si="117"/>
        <v/>
      </c>
      <c r="E3555" t="str">
        <f t="shared" si="116"/>
        <v>box of rain</v>
      </c>
      <c r="F3555" t="s">
        <v>5237</v>
      </c>
      <c r="G3555" t="str">
        <f>_xlfn.IFNA(VLOOKUP(F3555,songs!$B$1:$C$1539, 2, FALSE),"")</f>
        <v>Box Of Rain</v>
      </c>
      <c r="H3555" t="s">
        <v>915</v>
      </c>
    </row>
    <row r="3556" spans="1:8" x14ac:dyDescent="0.25">
      <c r="A3556">
        <v>3555</v>
      </c>
      <c r="B3556" t="s">
        <v>4516</v>
      </c>
      <c r="C3556" t="s">
        <v>464</v>
      </c>
      <c r="D3556" t="str">
        <f t="shared" si="117"/>
        <v/>
      </c>
      <c r="E3556" t="str">
        <f t="shared" si="116"/>
        <v>friend of the devil</v>
      </c>
      <c r="F3556" t="s">
        <v>5721</v>
      </c>
      <c r="G3556" t="str">
        <f>_xlfn.IFNA(VLOOKUP(F3556,songs!$B$1:$C$1539, 2, FALSE),"")</f>
        <v>Friend Of The Devil</v>
      </c>
      <c r="H3556" t="s">
        <v>464</v>
      </c>
    </row>
    <row r="3557" spans="1:8" x14ac:dyDescent="0.25">
      <c r="A3557">
        <v>3556</v>
      </c>
      <c r="B3557" t="s">
        <v>4517</v>
      </c>
      <c r="C3557" t="s">
        <v>30</v>
      </c>
      <c r="D3557" t="str">
        <f t="shared" si="117"/>
        <v/>
      </c>
      <c r="E3557" t="str">
        <f t="shared" si="116"/>
        <v>sugar magnolia</v>
      </c>
      <c r="F3557" t="s">
        <v>7150</v>
      </c>
      <c r="G3557" t="str">
        <f>_xlfn.IFNA(VLOOKUP(F3557,songs!$B$1:$C$1539, 2, FALSE),"")</f>
        <v>Sugar Magnolia</v>
      </c>
      <c r="H3557" t="s">
        <v>30</v>
      </c>
    </row>
    <row r="3558" spans="1:8" x14ac:dyDescent="0.25">
      <c r="A3558">
        <v>3557</v>
      </c>
      <c r="B3558" t="s">
        <v>4518</v>
      </c>
      <c r="C3558" t="s">
        <v>3163</v>
      </c>
      <c r="D3558" t="str">
        <f t="shared" si="117"/>
        <v/>
      </c>
      <c r="E3558" t="str">
        <f t="shared" si="116"/>
        <v>operator</v>
      </c>
      <c r="F3558" t="s">
        <v>6713</v>
      </c>
      <c r="G3558" t="str">
        <f>_xlfn.IFNA(VLOOKUP(F3558,songs!$B$1:$C$1539, 2, FALSE),"")</f>
        <v>Operator</v>
      </c>
      <c r="H3558" t="s">
        <v>3163</v>
      </c>
    </row>
    <row r="3559" spans="1:8" x14ac:dyDescent="0.25">
      <c r="A3559">
        <v>3558</v>
      </c>
      <c r="B3559" t="s">
        <v>4519</v>
      </c>
      <c r="C3559" t="s">
        <v>641</v>
      </c>
      <c r="D3559" t="str">
        <f t="shared" si="117"/>
        <v/>
      </c>
      <c r="E3559" t="str">
        <f t="shared" si="116"/>
        <v>candyman</v>
      </c>
      <c r="F3559" t="s">
        <v>5278</v>
      </c>
      <c r="G3559" t="str">
        <f>_xlfn.IFNA(VLOOKUP(F3559,songs!$B$1:$C$1539, 2, FALSE),"")</f>
        <v>Candyman</v>
      </c>
      <c r="H3559" t="s">
        <v>641</v>
      </c>
    </row>
    <row r="3560" spans="1:8" x14ac:dyDescent="0.25">
      <c r="A3560">
        <v>3559</v>
      </c>
      <c r="B3560" t="s">
        <v>4520</v>
      </c>
      <c r="C3560" t="s">
        <v>3166</v>
      </c>
      <c r="D3560" t="str">
        <f t="shared" si="117"/>
        <v/>
      </c>
      <c r="E3560" t="str">
        <f t="shared" si="116"/>
        <v>ripple</v>
      </c>
      <c r="F3560" t="s">
        <v>6864</v>
      </c>
      <c r="G3560" t="str">
        <f>_xlfn.IFNA(VLOOKUP(F3560,songs!$B$1:$C$1539, 2, FALSE),"")</f>
        <v>Ripple</v>
      </c>
      <c r="H3560" t="s">
        <v>3166</v>
      </c>
    </row>
    <row r="3561" spans="1:8" x14ac:dyDescent="0.25">
      <c r="A3561">
        <v>3560</v>
      </c>
      <c r="B3561" t="s">
        <v>4521</v>
      </c>
      <c r="C3561" t="s">
        <v>145</v>
      </c>
      <c r="D3561" t="str">
        <f t="shared" si="117"/>
        <v/>
      </c>
      <c r="E3561" t="str">
        <f t="shared" si="116"/>
        <v>brokedown palace</v>
      </c>
      <c r="F3561" t="s">
        <v>5250</v>
      </c>
      <c r="G3561" t="str">
        <f>_xlfn.IFNA(VLOOKUP(F3561,songs!$B$1:$C$1539, 2, FALSE),"")</f>
        <v>Brokedown Palace</v>
      </c>
      <c r="H3561" t="s">
        <v>145</v>
      </c>
    </row>
    <row r="3562" spans="1:8" x14ac:dyDescent="0.25">
      <c r="A3562">
        <v>3561</v>
      </c>
      <c r="B3562" t="s">
        <v>4522</v>
      </c>
      <c r="C3562" t="s">
        <v>3169</v>
      </c>
      <c r="D3562" t="str">
        <f t="shared" si="117"/>
        <v/>
      </c>
      <c r="E3562" t="str">
        <f t="shared" si="116"/>
        <v>till the morning comes</v>
      </c>
      <c r="F3562" t="s">
        <v>7392</v>
      </c>
      <c r="G3562" t="str">
        <f>_xlfn.IFNA(VLOOKUP(F3562,songs!$B$1:$C$1539, 2, FALSE),"")</f>
        <v>Till The Morning Comes</v>
      </c>
      <c r="H3562" t="s">
        <v>3169</v>
      </c>
    </row>
    <row r="3563" spans="1:8" x14ac:dyDescent="0.25">
      <c r="A3563">
        <v>3562</v>
      </c>
      <c r="B3563" t="s">
        <v>4523</v>
      </c>
      <c r="C3563" t="s">
        <v>2859</v>
      </c>
      <c r="D3563" t="str">
        <f t="shared" si="117"/>
        <v/>
      </c>
      <c r="E3563" t="str">
        <f t="shared" si="116"/>
        <v>attics of my life</v>
      </c>
      <c r="F3563" t="s">
        <v>5108</v>
      </c>
      <c r="G3563" t="str">
        <f>_xlfn.IFNA(VLOOKUP(F3563,songs!$B$1:$C$1539, 2, FALSE),"")</f>
        <v>Attics Of My Life</v>
      </c>
      <c r="H3563" t="s">
        <v>2859</v>
      </c>
    </row>
    <row r="3564" spans="1:8" x14ac:dyDescent="0.25">
      <c r="A3564">
        <v>3563</v>
      </c>
      <c r="B3564" t="s">
        <v>4524</v>
      </c>
      <c r="C3564" t="s">
        <v>15</v>
      </c>
      <c r="D3564" t="str">
        <f t="shared" si="117"/>
        <v/>
      </c>
      <c r="E3564" t="str">
        <f t="shared" si="116"/>
        <v>truckin'</v>
      </c>
      <c r="F3564" t="s">
        <v>7436</v>
      </c>
      <c r="G3564" t="str">
        <f>_xlfn.IFNA(VLOOKUP(F3564,songs!$B$1:$C$1539, 2, FALSE),"")</f>
        <v>Truckin'</v>
      </c>
      <c r="H3564" t="s">
        <v>15</v>
      </c>
    </row>
    <row r="3565" spans="1:8" x14ac:dyDescent="0.25">
      <c r="A3565">
        <v>3564</v>
      </c>
      <c r="B3565" t="s">
        <v>4525</v>
      </c>
      <c r="C3565" t="s">
        <v>133</v>
      </c>
      <c r="D3565" t="str">
        <f t="shared" si="117"/>
        <v/>
      </c>
      <c r="E3565" t="str">
        <f t="shared" si="116"/>
        <v>uncle john's band</v>
      </c>
      <c r="F3565" t="s">
        <v>7466</v>
      </c>
      <c r="G3565" t="str">
        <f>_xlfn.IFNA(VLOOKUP(F3565,songs!$B$1:$C$1539, 2, FALSE),"")</f>
        <v>Uncle John's Band</v>
      </c>
      <c r="H3565" t="s">
        <v>133</v>
      </c>
    </row>
    <row r="3566" spans="1:8" x14ac:dyDescent="0.25">
      <c r="A3566">
        <v>3565</v>
      </c>
      <c r="B3566" t="s">
        <v>4526</v>
      </c>
      <c r="C3566" t="s">
        <v>88</v>
      </c>
      <c r="D3566" t="str">
        <f t="shared" si="117"/>
        <v/>
      </c>
      <c r="E3566" t="str">
        <f t="shared" si="116"/>
        <v>high time</v>
      </c>
      <c r="F3566" t="s">
        <v>5920</v>
      </c>
      <c r="G3566" t="str">
        <f>_xlfn.IFNA(VLOOKUP(F3566,songs!$B$1:$C$1539, 2, FALSE),"")</f>
        <v>High Time</v>
      </c>
      <c r="H3566" t="s">
        <v>88</v>
      </c>
    </row>
    <row r="3567" spans="1:8" x14ac:dyDescent="0.25">
      <c r="A3567">
        <v>3566</v>
      </c>
      <c r="B3567" t="s">
        <v>4527</v>
      </c>
      <c r="C3567" t="s">
        <v>90</v>
      </c>
      <c r="D3567" t="str">
        <f t="shared" si="117"/>
        <v/>
      </c>
      <c r="E3567" t="str">
        <f t="shared" si="116"/>
        <v>dire wolf</v>
      </c>
      <c r="F3567" t="s">
        <v>5497</v>
      </c>
      <c r="G3567" t="str">
        <f>_xlfn.IFNA(VLOOKUP(F3567,songs!$B$1:$C$1539, 2, FALSE),"")</f>
        <v>Dire Wolf</v>
      </c>
      <c r="H3567" t="s">
        <v>90</v>
      </c>
    </row>
    <row r="3568" spans="1:8" x14ac:dyDescent="0.25">
      <c r="A3568">
        <v>3567</v>
      </c>
      <c r="B3568" t="s">
        <v>4528</v>
      </c>
      <c r="C3568" t="s">
        <v>1435</v>
      </c>
      <c r="D3568" t="str">
        <f t="shared" si="117"/>
        <v/>
      </c>
      <c r="E3568" t="str">
        <f t="shared" si="116"/>
        <v>new speedway boogie</v>
      </c>
      <c r="F3568" t="s">
        <v>6624</v>
      </c>
      <c r="G3568" t="str">
        <f>_xlfn.IFNA(VLOOKUP(F3568,songs!$B$1:$C$1539, 2, FALSE),"")</f>
        <v>New Speedway Boogie</v>
      </c>
      <c r="H3568" t="s">
        <v>1435</v>
      </c>
    </row>
    <row r="3569" spans="1:8" x14ac:dyDescent="0.25">
      <c r="A3569">
        <v>3568</v>
      </c>
      <c r="B3569" t="s">
        <v>4529</v>
      </c>
      <c r="C3569" t="s">
        <v>225</v>
      </c>
      <c r="D3569" t="str">
        <f t="shared" si="117"/>
        <v/>
      </c>
      <c r="E3569" t="str">
        <f t="shared" si="116"/>
        <v>cumberland blues</v>
      </c>
      <c r="F3569" t="s">
        <v>5411</v>
      </c>
      <c r="G3569" t="str">
        <f>_xlfn.IFNA(VLOOKUP(F3569,songs!$B$1:$C$1539, 2, FALSE),"")</f>
        <v>Cumberland Blues</v>
      </c>
      <c r="H3569" t="s">
        <v>225</v>
      </c>
    </row>
    <row r="3570" spans="1:8" x14ac:dyDescent="0.25">
      <c r="A3570">
        <v>3569</v>
      </c>
      <c r="B3570" t="s">
        <v>4530</v>
      </c>
      <c r="C3570" t="s">
        <v>221</v>
      </c>
      <c r="D3570" t="str">
        <f t="shared" si="117"/>
        <v/>
      </c>
      <c r="E3570" t="str">
        <f t="shared" si="116"/>
        <v>black peter</v>
      </c>
      <c r="F3570" t="s">
        <v>5190</v>
      </c>
      <c r="G3570" t="str">
        <f>_xlfn.IFNA(VLOOKUP(F3570,songs!$B$1:$C$1539, 2, FALSE),"")</f>
        <v>Black Peter</v>
      </c>
      <c r="H3570" t="s">
        <v>221</v>
      </c>
    </row>
    <row r="3571" spans="1:8" x14ac:dyDescent="0.25">
      <c r="A3571">
        <v>3570</v>
      </c>
      <c r="B3571" t="s">
        <v>4531</v>
      </c>
      <c r="C3571" t="s">
        <v>483</v>
      </c>
      <c r="D3571" t="str">
        <f t="shared" si="117"/>
        <v/>
      </c>
      <c r="E3571" t="str">
        <f t="shared" si="116"/>
        <v>easy wind</v>
      </c>
      <c r="F3571" t="s">
        <v>5587</v>
      </c>
      <c r="G3571" t="str">
        <f>_xlfn.IFNA(VLOOKUP(F3571,songs!$B$1:$C$1539, 2, FALSE),"")</f>
        <v>Easy Wind</v>
      </c>
      <c r="H3571" t="s">
        <v>483</v>
      </c>
    </row>
    <row r="3572" spans="1:8" x14ac:dyDescent="0.25">
      <c r="A3572">
        <v>3571</v>
      </c>
      <c r="B3572" t="s">
        <v>4532</v>
      </c>
      <c r="C3572" t="s">
        <v>81</v>
      </c>
      <c r="D3572" t="str">
        <f t="shared" si="117"/>
        <v/>
      </c>
      <c r="E3572" t="str">
        <f t="shared" si="116"/>
        <v>casey jones</v>
      </c>
      <c r="F3572" t="s">
        <v>5290</v>
      </c>
      <c r="G3572" t="str">
        <f>_xlfn.IFNA(VLOOKUP(F3572,songs!$B$1:$C$1539, 2, FALSE),"")</f>
        <v>Casey Jones</v>
      </c>
      <c r="H3572" t="s">
        <v>81</v>
      </c>
    </row>
    <row r="3573" spans="1:8" x14ac:dyDescent="0.25">
      <c r="A3573">
        <v>3572</v>
      </c>
      <c r="B3573" t="s">
        <v>4533</v>
      </c>
      <c r="C3573" t="s">
        <v>133</v>
      </c>
      <c r="D3573" t="str">
        <f t="shared" si="117"/>
        <v/>
      </c>
      <c r="E3573" t="str">
        <f t="shared" si="116"/>
        <v>uncle john's band</v>
      </c>
      <c r="F3573" t="s">
        <v>7466</v>
      </c>
      <c r="G3573" t="str">
        <f>_xlfn.IFNA(VLOOKUP(F3573,songs!$B$1:$C$1539, 2, FALSE),"")</f>
        <v>Uncle John's Band</v>
      </c>
      <c r="H3573" t="s">
        <v>133</v>
      </c>
    </row>
    <row r="3574" spans="1:8" x14ac:dyDescent="0.25">
      <c r="A3574">
        <v>3573</v>
      </c>
      <c r="B3574" t="s">
        <v>4534</v>
      </c>
      <c r="C3574" t="s">
        <v>88</v>
      </c>
      <c r="D3574" t="str">
        <f t="shared" si="117"/>
        <v/>
      </c>
      <c r="E3574" t="str">
        <f t="shared" si="116"/>
        <v>high time</v>
      </c>
      <c r="F3574" t="s">
        <v>5920</v>
      </c>
      <c r="G3574" t="str">
        <f>_xlfn.IFNA(VLOOKUP(F3574,songs!$B$1:$C$1539, 2, FALSE),"")</f>
        <v>High Time</v>
      </c>
      <c r="H3574" t="s">
        <v>88</v>
      </c>
    </row>
    <row r="3575" spans="1:8" x14ac:dyDescent="0.25">
      <c r="A3575">
        <v>3574</v>
      </c>
      <c r="B3575" t="s">
        <v>4535</v>
      </c>
      <c r="C3575" t="s">
        <v>90</v>
      </c>
      <c r="D3575" t="str">
        <f t="shared" si="117"/>
        <v/>
      </c>
      <c r="E3575" t="str">
        <f t="shared" si="116"/>
        <v>dire wolf</v>
      </c>
      <c r="F3575" t="s">
        <v>5497</v>
      </c>
      <c r="G3575" t="str">
        <f>_xlfn.IFNA(VLOOKUP(F3575,songs!$B$1:$C$1539, 2, FALSE),"")</f>
        <v>Dire Wolf</v>
      </c>
      <c r="H3575" t="s">
        <v>90</v>
      </c>
    </row>
    <row r="3576" spans="1:8" x14ac:dyDescent="0.25">
      <c r="A3576">
        <v>3575</v>
      </c>
      <c r="B3576" t="s">
        <v>4536</v>
      </c>
      <c r="C3576" t="s">
        <v>1435</v>
      </c>
      <c r="D3576" t="str">
        <f t="shared" si="117"/>
        <v/>
      </c>
      <c r="E3576" t="str">
        <f t="shared" si="116"/>
        <v>new speedway boogie</v>
      </c>
      <c r="F3576" t="s">
        <v>6624</v>
      </c>
      <c r="G3576" t="str">
        <f>_xlfn.IFNA(VLOOKUP(F3576,songs!$B$1:$C$1539, 2, FALSE),"")</f>
        <v>New Speedway Boogie</v>
      </c>
      <c r="H3576" t="s">
        <v>1435</v>
      </c>
    </row>
    <row r="3577" spans="1:8" x14ac:dyDescent="0.25">
      <c r="A3577">
        <v>3576</v>
      </c>
      <c r="B3577" t="s">
        <v>4537</v>
      </c>
      <c r="C3577" t="s">
        <v>225</v>
      </c>
      <c r="D3577" t="str">
        <f t="shared" si="117"/>
        <v/>
      </c>
      <c r="E3577" t="str">
        <f t="shared" si="116"/>
        <v>cumberland blues</v>
      </c>
      <c r="F3577" t="s">
        <v>5411</v>
      </c>
      <c r="G3577" t="str">
        <f>_xlfn.IFNA(VLOOKUP(F3577,songs!$B$1:$C$1539, 2, FALSE),"")</f>
        <v>Cumberland Blues</v>
      </c>
      <c r="H3577" t="s">
        <v>225</v>
      </c>
    </row>
    <row r="3578" spans="1:8" x14ac:dyDescent="0.25">
      <c r="A3578">
        <v>3577</v>
      </c>
      <c r="B3578" t="s">
        <v>4538</v>
      </c>
      <c r="C3578" t="s">
        <v>221</v>
      </c>
      <c r="D3578" t="str">
        <f t="shared" si="117"/>
        <v/>
      </c>
      <c r="E3578" t="str">
        <f t="shared" si="116"/>
        <v>black peter</v>
      </c>
      <c r="F3578" t="s">
        <v>5190</v>
      </c>
      <c r="G3578" t="str">
        <f>_xlfn.IFNA(VLOOKUP(F3578,songs!$B$1:$C$1539, 2, FALSE),"")</f>
        <v>Black Peter</v>
      </c>
      <c r="H3578" t="s">
        <v>221</v>
      </c>
    </row>
    <row r="3579" spans="1:8" x14ac:dyDescent="0.25">
      <c r="A3579">
        <v>3578</v>
      </c>
      <c r="B3579" t="s">
        <v>4539</v>
      </c>
      <c r="C3579" t="s">
        <v>483</v>
      </c>
      <c r="D3579" t="str">
        <f t="shared" si="117"/>
        <v/>
      </c>
      <c r="E3579" t="str">
        <f t="shared" si="116"/>
        <v>easy wind</v>
      </c>
      <c r="F3579" t="s">
        <v>5587</v>
      </c>
      <c r="G3579" t="str">
        <f>_xlfn.IFNA(VLOOKUP(F3579,songs!$B$1:$C$1539, 2, FALSE),"")</f>
        <v>Easy Wind</v>
      </c>
      <c r="H3579" t="s">
        <v>483</v>
      </c>
    </row>
    <row r="3580" spans="1:8" x14ac:dyDescent="0.25">
      <c r="A3580">
        <v>3579</v>
      </c>
      <c r="B3580" t="s">
        <v>4540</v>
      </c>
      <c r="C3580" t="s">
        <v>81</v>
      </c>
      <c r="D3580" t="str">
        <f t="shared" si="117"/>
        <v/>
      </c>
      <c r="E3580" t="str">
        <f t="shared" si="116"/>
        <v>casey jones</v>
      </c>
      <c r="F3580" t="s">
        <v>5290</v>
      </c>
      <c r="G3580" t="str">
        <f>_xlfn.IFNA(VLOOKUP(F3580,songs!$B$1:$C$1539, 2, FALSE),"")</f>
        <v>Casey Jones</v>
      </c>
      <c r="H3580" t="s">
        <v>81</v>
      </c>
    </row>
    <row r="3581" spans="1:8" x14ac:dyDescent="0.25">
      <c r="A3581">
        <v>3580</v>
      </c>
      <c r="B3581" t="s">
        <v>4541</v>
      </c>
      <c r="C3581" t="s">
        <v>225</v>
      </c>
      <c r="D3581" t="str">
        <f t="shared" si="117"/>
        <v/>
      </c>
      <c r="E3581" t="str">
        <f t="shared" si="116"/>
        <v>cumberland blues</v>
      </c>
      <c r="F3581" t="s">
        <v>5411</v>
      </c>
      <c r="G3581" t="str">
        <f>_xlfn.IFNA(VLOOKUP(F3581,songs!$B$1:$C$1539, 2, FALSE),"")</f>
        <v>Cumberland Blues</v>
      </c>
      <c r="H3581" t="s">
        <v>225</v>
      </c>
    </row>
    <row r="3582" spans="1:8" x14ac:dyDescent="0.25">
      <c r="A3582">
        <v>3581</v>
      </c>
      <c r="B3582" t="s">
        <v>4542</v>
      </c>
      <c r="C3582" t="s">
        <v>13</v>
      </c>
      <c r="D3582" t="str">
        <f t="shared" si="117"/>
        <v/>
      </c>
      <c r="E3582" t="str">
        <f t="shared" si="116"/>
        <v>he's gone</v>
      </c>
      <c r="F3582" t="s">
        <v>5903</v>
      </c>
      <c r="G3582" t="str">
        <f>_xlfn.IFNA(VLOOKUP(F3582,songs!$B$1:$C$1539, 2, FALSE),"")</f>
        <v>He's Gone</v>
      </c>
      <c r="H3582" t="s">
        <v>13</v>
      </c>
    </row>
    <row r="3583" spans="1:8" x14ac:dyDescent="0.25">
      <c r="A3583">
        <v>3582</v>
      </c>
      <c r="B3583" t="s">
        <v>4543</v>
      </c>
      <c r="C3583" t="s">
        <v>956</v>
      </c>
      <c r="D3583" t="str">
        <f t="shared" si="117"/>
        <v/>
      </c>
      <c r="E3583" t="str">
        <f t="shared" si="116"/>
        <v>one more saturday night</v>
      </c>
      <c r="F3583" t="s">
        <v>6702</v>
      </c>
      <c r="G3583" t="str">
        <f>_xlfn.IFNA(VLOOKUP(F3583,songs!$B$1:$C$1539, 2, FALSE),"")</f>
        <v>One More Saturday Night</v>
      </c>
      <c r="H3583" t="s">
        <v>956</v>
      </c>
    </row>
    <row r="3584" spans="1:8" x14ac:dyDescent="0.25">
      <c r="A3584">
        <v>3583</v>
      </c>
      <c r="B3584" t="s">
        <v>4544</v>
      </c>
      <c r="C3584" t="s">
        <v>199</v>
      </c>
      <c r="D3584" t="str">
        <f t="shared" si="117"/>
        <v/>
      </c>
      <c r="E3584" t="str">
        <f t="shared" si="116"/>
        <v>jack straw</v>
      </c>
      <c r="F3584" t="s">
        <v>6161</v>
      </c>
      <c r="G3584" t="str">
        <f>_xlfn.IFNA(VLOOKUP(F3584,songs!$B$1:$C$1539, 2, FALSE),"")</f>
        <v>Jack Straw</v>
      </c>
      <c r="H3584" t="s">
        <v>199</v>
      </c>
    </row>
    <row r="3585" spans="1:8" x14ac:dyDescent="0.25">
      <c r="A3585">
        <v>3584</v>
      </c>
      <c r="B3585" t="s">
        <v>4545</v>
      </c>
      <c r="C3585" t="s">
        <v>1011</v>
      </c>
      <c r="D3585" t="str">
        <f t="shared" si="117"/>
        <v/>
      </c>
      <c r="E3585" t="str">
        <f t="shared" si="116"/>
        <v>you win again</v>
      </c>
      <c r="F3585" t="s">
        <v>7793</v>
      </c>
      <c r="G3585" t="str">
        <f>_xlfn.IFNA(VLOOKUP(F3585,songs!$B$1:$C$1539, 2, FALSE),"")</f>
        <v>You Win Again</v>
      </c>
      <c r="H3585" t="s">
        <v>1011</v>
      </c>
    </row>
    <row r="3586" spans="1:8" x14ac:dyDescent="0.25">
      <c r="A3586">
        <v>3592</v>
      </c>
      <c r="B3586" t="s">
        <v>4554</v>
      </c>
      <c r="C3586" t="s">
        <v>4555</v>
      </c>
      <c r="D3586" t="str">
        <f t="shared" si="117"/>
        <v/>
      </c>
      <c r="E3586" t="str">
        <f t="shared" si="116"/>
        <v>truckin' -- epilogue</v>
      </c>
      <c r="F3586" t="s">
        <v>7436</v>
      </c>
      <c r="G3586" t="str">
        <f>_xlfn.IFNA(VLOOKUP(F3586,songs!$B$1:$C$1539, 2, FALSE),"")</f>
        <v>Truckin'</v>
      </c>
      <c r="H3586" t="s">
        <v>7867</v>
      </c>
    </row>
    <row r="3587" spans="1:8" x14ac:dyDescent="0.25">
      <c r="A3587">
        <v>3593</v>
      </c>
      <c r="B3587" t="s">
        <v>4556</v>
      </c>
      <c r="C3587" t="s">
        <v>4557</v>
      </c>
      <c r="D3587" t="str">
        <f t="shared" si="117"/>
        <v/>
      </c>
      <c r="E3587" t="str">
        <f t="shared" si="116"/>
        <v>prelude -- walk me out in the morning dew</v>
      </c>
      <c r="F3587" t="s">
        <v>6555</v>
      </c>
      <c r="G3587" t="str">
        <f>_xlfn.IFNA(VLOOKUP(F3587,songs!$B$1:$C$1539, 2, FALSE),"")</f>
        <v>Morning Dew</v>
      </c>
      <c r="H3587" t="s">
        <v>7867</v>
      </c>
    </row>
    <row r="3588" spans="1:8" x14ac:dyDescent="0.25">
      <c r="A3588">
        <v>3587</v>
      </c>
      <c r="B3588" t="s">
        <v>4549</v>
      </c>
      <c r="C3588" t="s">
        <v>701</v>
      </c>
      <c r="D3588" t="str">
        <f t="shared" si="117"/>
        <v/>
      </c>
      <c r="E3588" t="str">
        <f t="shared" ref="E3588:E3651" si="118">LOWER(TRIM(SUBSTITUTE(IF(RIGHT(TRIM(C3588),2)="-&gt;",LEFT(TRIM(C3588),LEN(TRIM(C3588))-2),IF(RIGHT(TRIM(C3588),1)="&gt;",LEFT(TRIM(C3588),LEN(TRIM(C3588))-1),C3588)),"//","")))</f>
        <v>hurts me too</v>
      </c>
      <c r="F3588" t="s">
        <v>5979</v>
      </c>
      <c r="G3588" t="str">
        <f>_xlfn.IFNA(VLOOKUP(F3588,songs!$B$1:$C$1539, 2, FALSE),"")</f>
        <v>Hurts Me Too</v>
      </c>
      <c r="H3588" t="s">
        <v>701</v>
      </c>
    </row>
    <row r="3589" spans="1:8" x14ac:dyDescent="0.25">
      <c r="A3589">
        <v>3588</v>
      </c>
      <c r="B3589" t="s">
        <v>4550</v>
      </c>
      <c r="C3589" t="s">
        <v>436</v>
      </c>
      <c r="D3589" t="str">
        <f t="shared" si="117"/>
        <v/>
      </c>
      <c r="E3589" t="str">
        <f t="shared" si="118"/>
        <v>ramble on rose</v>
      </c>
      <c r="F3589" t="s">
        <v>6827</v>
      </c>
      <c r="G3589" t="str">
        <f>_xlfn.IFNA(VLOOKUP(F3589,songs!$B$1:$C$1539, 2, FALSE),"")</f>
        <v>Ramble On Rose</v>
      </c>
      <c r="H3589" t="s">
        <v>436</v>
      </c>
    </row>
    <row r="3590" spans="1:8" x14ac:dyDescent="0.25">
      <c r="A3590">
        <v>3589</v>
      </c>
      <c r="B3590" t="s">
        <v>4551</v>
      </c>
      <c r="C3590" t="s">
        <v>30</v>
      </c>
      <c r="D3590" t="str">
        <f t="shared" si="117"/>
        <v/>
      </c>
      <c r="E3590" t="str">
        <f t="shared" si="118"/>
        <v>sugar magnolia</v>
      </c>
      <c r="F3590" t="s">
        <v>7150</v>
      </c>
      <c r="G3590" t="str">
        <f>_xlfn.IFNA(VLOOKUP(F3590,songs!$B$1:$C$1539, 2, FALSE),"")</f>
        <v>Sugar Magnolia</v>
      </c>
      <c r="H3590" t="s">
        <v>30</v>
      </c>
    </row>
    <row r="3591" spans="1:8" x14ac:dyDescent="0.25">
      <c r="A3591">
        <v>3590</v>
      </c>
      <c r="B3591" t="s">
        <v>4552</v>
      </c>
      <c r="C3591" t="s">
        <v>1013</v>
      </c>
      <c r="D3591" t="str">
        <f t="shared" si="117"/>
        <v/>
      </c>
      <c r="E3591" t="str">
        <f t="shared" si="118"/>
        <v>mr. charlie</v>
      </c>
      <c r="F3591" t="s">
        <v>6571</v>
      </c>
      <c r="G3591" t="str">
        <f>_xlfn.IFNA(VLOOKUP(F3591,songs!$B$1:$C$1539, 2, FALSE),"")</f>
        <v>Mr. Charlie</v>
      </c>
      <c r="H3591" t="s">
        <v>1013</v>
      </c>
    </row>
    <row r="3592" spans="1:8" x14ac:dyDescent="0.25">
      <c r="A3592">
        <v>3591</v>
      </c>
      <c r="B3592" t="s">
        <v>4553</v>
      </c>
      <c r="C3592" t="s">
        <v>164</v>
      </c>
      <c r="D3592" t="str">
        <f t="shared" si="117"/>
        <v/>
      </c>
      <c r="E3592" t="str">
        <f t="shared" si="118"/>
        <v>tennessee jed</v>
      </c>
      <c r="F3592" t="s">
        <v>7234</v>
      </c>
      <c r="G3592" t="str">
        <f>_xlfn.IFNA(VLOOKUP(F3592,songs!$B$1:$C$1539, 2, FALSE),"")</f>
        <v>Tennessee Jed</v>
      </c>
      <c r="H3592" t="s">
        <v>164</v>
      </c>
    </row>
    <row r="3593" spans="1:8" x14ac:dyDescent="0.25">
      <c r="A3593">
        <v>3602</v>
      </c>
      <c r="B3593" t="s">
        <v>4566</v>
      </c>
      <c r="C3593" t="s">
        <v>4567</v>
      </c>
      <c r="D3593" t="str">
        <f t="shared" ref="D3593:D3656" si="119">IF(RIGHT(TRIM(C3593),2)="-&gt;","&gt;",IF(RIGHT(TRIM(C3593),1)="&gt;","&gt;",""))</f>
        <v/>
      </c>
      <c r="E3593" t="str">
        <f t="shared" si="118"/>
        <v>help on the way-slipknot!</v>
      </c>
      <c r="F3593" t="s">
        <v>5895</v>
      </c>
      <c r="G3593" t="str">
        <f>_xlfn.IFNA(VLOOKUP(F3593,songs!$B$1:$C$1539, 2, FALSE),"")</f>
        <v>Help On The Way</v>
      </c>
      <c r="H3593" t="s">
        <v>7867</v>
      </c>
    </row>
    <row r="3594" spans="1:8" x14ac:dyDescent="0.25">
      <c r="A3594">
        <v>3607</v>
      </c>
      <c r="B3594" t="s">
        <v>4572</v>
      </c>
      <c r="C3594" t="s">
        <v>4158</v>
      </c>
      <c r="D3594" t="str">
        <f t="shared" si="119"/>
        <v/>
      </c>
      <c r="E3594" t="str">
        <f t="shared" si="118"/>
        <v>sage &amp; spirit</v>
      </c>
      <c r="F3594" t="s">
        <v>6903</v>
      </c>
      <c r="G3594" t="str">
        <f>_xlfn.IFNA(VLOOKUP(F3594,songs!$B$1:$C$1539, 2, FALSE),"")</f>
        <v>Sage And Spirit</v>
      </c>
      <c r="H3594" t="s">
        <v>7867</v>
      </c>
    </row>
    <row r="3595" spans="1:8" x14ac:dyDescent="0.25">
      <c r="A3595">
        <v>3594</v>
      </c>
      <c r="B3595" t="s">
        <v>4558</v>
      </c>
      <c r="C3595" t="s">
        <v>183</v>
      </c>
      <c r="D3595" t="str">
        <f t="shared" si="119"/>
        <v/>
      </c>
      <c r="E3595" t="str">
        <f t="shared" si="118"/>
        <v>u.s. blues</v>
      </c>
      <c r="F3595" t="s">
        <v>7464</v>
      </c>
      <c r="G3595" t="str">
        <f>_xlfn.IFNA(VLOOKUP(F3595,songs!$B$1:$C$1539, 2, FALSE),"")</f>
        <v>U.S. Blues</v>
      </c>
      <c r="H3595" t="s">
        <v>183</v>
      </c>
    </row>
    <row r="3596" spans="1:8" x14ac:dyDescent="0.25">
      <c r="A3596">
        <v>3595</v>
      </c>
      <c r="B3596" t="s">
        <v>4559</v>
      </c>
      <c r="C3596" t="s">
        <v>304</v>
      </c>
      <c r="D3596" t="str">
        <f t="shared" si="119"/>
        <v/>
      </c>
      <c r="E3596" t="str">
        <f t="shared" si="118"/>
        <v>china doll</v>
      </c>
      <c r="F3596" t="s">
        <v>5320</v>
      </c>
      <c r="G3596" t="str">
        <f>_xlfn.IFNA(VLOOKUP(F3596,songs!$B$1:$C$1539, 2, FALSE),"")</f>
        <v>China Doll</v>
      </c>
      <c r="H3596" t="s">
        <v>304</v>
      </c>
    </row>
    <row r="3597" spans="1:8" x14ac:dyDescent="0.25">
      <c r="A3597">
        <v>3596</v>
      </c>
      <c r="B3597" t="s">
        <v>4560</v>
      </c>
      <c r="C3597" t="s">
        <v>3922</v>
      </c>
      <c r="D3597" t="str">
        <f t="shared" si="119"/>
        <v/>
      </c>
      <c r="E3597" t="str">
        <f t="shared" si="118"/>
        <v>unbroken chain</v>
      </c>
      <c r="F3597" t="s">
        <v>7465</v>
      </c>
      <c r="G3597" t="str">
        <f>_xlfn.IFNA(VLOOKUP(F3597,songs!$B$1:$C$1539, 2, FALSE),"")</f>
        <v>Unbroken Chain</v>
      </c>
      <c r="H3597" t="s">
        <v>3922</v>
      </c>
    </row>
    <row r="3598" spans="1:8" x14ac:dyDescent="0.25">
      <c r="A3598">
        <v>3597</v>
      </c>
      <c r="B3598" t="s">
        <v>4561</v>
      </c>
      <c r="C3598" t="s">
        <v>858</v>
      </c>
      <c r="D3598" t="str">
        <f t="shared" si="119"/>
        <v/>
      </c>
      <c r="E3598" t="str">
        <f t="shared" si="118"/>
        <v>loose lucy</v>
      </c>
      <c r="F3598" t="s">
        <v>6399</v>
      </c>
      <c r="G3598" t="str">
        <f>_xlfn.IFNA(VLOOKUP(F3598,songs!$B$1:$C$1539, 2, FALSE),"")</f>
        <v>Loose Lucy</v>
      </c>
      <c r="H3598" t="s">
        <v>858</v>
      </c>
    </row>
    <row r="3599" spans="1:8" x14ac:dyDescent="0.25">
      <c r="A3599">
        <v>3598</v>
      </c>
      <c r="B3599" t="s">
        <v>4562</v>
      </c>
      <c r="C3599" t="s">
        <v>170</v>
      </c>
      <c r="D3599" t="str">
        <f t="shared" si="119"/>
        <v/>
      </c>
      <c r="E3599" t="str">
        <f t="shared" si="118"/>
        <v>scarlet begonias</v>
      </c>
      <c r="F3599" t="s">
        <v>6944</v>
      </c>
      <c r="G3599" t="str">
        <f>_xlfn.IFNA(VLOOKUP(F3599,songs!$B$1:$C$1539, 2, FALSE),"")</f>
        <v>Scarlet Begonias</v>
      </c>
      <c r="H3599" t="s">
        <v>170</v>
      </c>
    </row>
    <row r="3600" spans="1:8" x14ac:dyDescent="0.25">
      <c r="A3600">
        <v>3599</v>
      </c>
      <c r="B3600" t="s">
        <v>4563</v>
      </c>
      <c r="C3600" t="s">
        <v>3926</v>
      </c>
      <c r="D3600" t="str">
        <f t="shared" si="119"/>
        <v/>
      </c>
      <c r="E3600" t="str">
        <f t="shared" si="118"/>
        <v>pride of cucamonga</v>
      </c>
      <c r="F3600" t="s">
        <v>6794</v>
      </c>
      <c r="G3600" t="str">
        <f>_xlfn.IFNA(VLOOKUP(F3600,songs!$B$1:$C$1539, 2, FALSE),"")</f>
        <v>Pride Of Cucamonga</v>
      </c>
      <c r="H3600" t="s">
        <v>4144</v>
      </c>
    </row>
    <row r="3601" spans="1:8" x14ac:dyDescent="0.25">
      <c r="A3601">
        <v>3600</v>
      </c>
      <c r="B3601" t="s">
        <v>4564</v>
      </c>
      <c r="C3601" t="s">
        <v>3928</v>
      </c>
      <c r="D3601" t="str">
        <f t="shared" si="119"/>
        <v/>
      </c>
      <c r="E3601" t="str">
        <f t="shared" si="118"/>
        <v>money money</v>
      </c>
      <c r="F3601" t="s">
        <v>6543</v>
      </c>
      <c r="G3601" t="str">
        <f>_xlfn.IFNA(VLOOKUP(F3601,songs!$B$1:$C$1539, 2, FALSE),"")</f>
        <v>Money Money</v>
      </c>
      <c r="H3601" t="s">
        <v>3928</v>
      </c>
    </row>
    <row r="3602" spans="1:8" x14ac:dyDescent="0.25">
      <c r="A3602">
        <v>3601</v>
      </c>
      <c r="B3602" t="s">
        <v>4565</v>
      </c>
      <c r="C3602" t="s">
        <v>377</v>
      </c>
      <c r="D3602" t="str">
        <f t="shared" si="119"/>
        <v/>
      </c>
      <c r="E3602" t="str">
        <f t="shared" si="118"/>
        <v>ship of fools</v>
      </c>
      <c r="F3602" t="s">
        <v>6999</v>
      </c>
      <c r="G3602" t="str">
        <f>_xlfn.IFNA(VLOOKUP(F3602,songs!$B$1:$C$1539, 2, FALSE),"")</f>
        <v>Ship Of Fools</v>
      </c>
      <c r="H3602" t="s">
        <v>866</v>
      </c>
    </row>
    <row r="3603" spans="1:8" x14ac:dyDescent="0.25">
      <c r="A3603">
        <v>3611</v>
      </c>
      <c r="B3603" t="s">
        <v>4576</v>
      </c>
      <c r="C3603" t="s">
        <v>122</v>
      </c>
      <c r="D3603" t="str">
        <f t="shared" si="119"/>
        <v/>
      </c>
      <c r="E3603" t="str">
        <f t="shared" si="118"/>
        <v>new minglewood blues</v>
      </c>
      <c r="F3603" t="s">
        <v>7869</v>
      </c>
      <c r="G3603" t="str">
        <f>_xlfn.IFNA(VLOOKUP(F3603,songs!$B$1:$C$1539, 2, FALSE),"")</f>
        <v>Minglewood Blues</v>
      </c>
      <c r="H3603" t="s">
        <v>7867</v>
      </c>
    </row>
    <row r="3604" spans="1:8" x14ac:dyDescent="0.25">
      <c r="A3604">
        <v>3603</v>
      </c>
      <c r="B3604" t="s">
        <v>4568</v>
      </c>
      <c r="C3604" t="s">
        <v>63</v>
      </c>
      <c r="D3604" t="str">
        <f t="shared" si="119"/>
        <v/>
      </c>
      <c r="E3604" t="str">
        <f t="shared" si="118"/>
        <v>franklin's tower</v>
      </c>
      <c r="F3604" t="s">
        <v>5712</v>
      </c>
      <c r="G3604" t="str">
        <f>_xlfn.IFNA(VLOOKUP(F3604,songs!$B$1:$C$1539, 2, FALSE),"")</f>
        <v>Franklin's Tower</v>
      </c>
      <c r="H3604" t="s">
        <v>63</v>
      </c>
    </row>
    <row r="3605" spans="1:8" x14ac:dyDescent="0.25">
      <c r="A3605">
        <v>3604</v>
      </c>
      <c r="B3605" t="s">
        <v>4569</v>
      </c>
      <c r="C3605" t="s">
        <v>4152</v>
      </c>
      <c r="D3605" t="str">
        <f t="shared" si="119"/>
        <v/>
      </c>
      <c r="E3605" t="str">
        <f t="shared" si="118"/>
        <v>king solomon's marbles</v>
      </c>
      <c r="F3605" t="s">
        <v>6246</v>
      </c>
      <c r="G3605" t="str">
        <f>_xlfn.IFNA(VLOOKUP(F3605,songs!$B$1:$C$1539, 2, FALSE),"")</f>
        <v>King Solomon's Marbles</v>
      </c>
      <c r="H3605" t="s">
        <v>4152</v>
      </c>
    </row>
    <row r="3606" spans="1:8" x14ac:dyDescent="0.25">
      <c r="A3606">
        <v>3605</v>
      </c>
      <c r="B3606" t="s">
        <v>4570</v>
      </c>
      <c r="C3606" t="s">
        <v>49</v>
      </c>
      <c r="D3606" t="str">
        <f t="shared" si="119"/>
        <v/>
      </c>
      <c r="E3606" t="str">
        <f t="shared" si="118"/>
        <v>the music never stopped</v>
      </c>
      <c r="F3606" t="s">
        <v>7316</v>
      </c>
      <c r="G3606" t="str">
        <f>_xlfn.IFNA(VLOOKUP(F3606,songs!$B$1:$C$1539, 2, FALSE),"")</f>
        <v>The Music Never Stopped</v>
      </c>
      <c r="H3606" t="s">
        <v>49</v>
      </c>
    </row>
    <row r="3607" spans="1:8" x14ac:dyDescent="0.25">
      <c r="A3607">
        <v>3606</v>
      </c>
      <c r="B3607" t="s">
        <v>4571</v>
      </c>
      <c r="C3607" t="s">
        <v>526</v>
      </c>
      <c r="D3607" t="str">
        <f t="shared" si="119"/>
        <v/>
      </c>
      <c r="E3607" t="str">
        <f t="shared" si="118"/>
        <v>crazy fingers</v>
      </c>
      <c r="F3607" t="s">
        <v>5390</v>
      </c>
      <c r="G3607" t="str">
        <f>_xlfn.IFNA(VLOOKUP(F3607,songs!$B$1:$C$1539, 2, FALSE),"")</f>
        <v>Crazy Fingers</v>
      </c>
      <c r="H3607" t="s">
        <v>526</v>
      </c>
    </row>
    <row r="3608" spans="1:8" x14ac:dyDescent="0.25">
      <c r="A3608">
        <v>3619</v>
      </c>
      <c r="B3608" t="s">
        <v>4584</v>
      </c>
      <c r="C3608" t="s">
        <v>1177</v>
      </c>
      <c r="D3608" t="str">
        <f t="shared" si="119"/>
        <v/>
      </c>
      <c r="E3608" t="str">
        <f t="shared" si="118"/>
        <v>rhythm devils</v>
      </c>
      <c r="F3608" t="s">
        <v>7833</v>
      </c>
      <c r="G3608" t="s">
        <v>1177</v>
      </c>
      <c r="H3608" t="s">
        <v>7867</v>
      </c>
    </row>
    <row r="3609" spans="1:8" x14ac:dyDescent="0.25">
      <c r="A3609">
        <v>3608</v>
      </c>
      <c r="B3609" t="s">
        <v>4573</v>
      </c>
      <c r="C3609" t="s">
        <v>4160</v>
      </c>
      <c r="D3609" t="str">
        <f t="shared" si="119"/>
        <v/>
      </c>
      <c r="E3609" t="str">
        <f t="shared" si="118"/>
        <v>blues for allah</v>
      </c>
      <c r="F3609" t="s">
        <v>5215</v>
      </c>
      <c r="G3609" t="str">
        <f>_xlfn.IFNA(VLOOKUP(F3609,songs!$B$1:$C$1539, 2, FALSE),"")</f>
        <v>Blues For Allah</v>
      </c>
      <c r="H3609" t="s">
        <v>4160</v>
      </c>
    </row>
    <row r="3610" spans="1:8" x14ac:dyDescent="0.25">
      <c r="A3610">
        <v>3609</v>
      </c>
      <c r="B3610" t="s">
        <v>4574</v>
      </c>
      <c r="C3610" t="s">
        <v>65</v>
      </c>
      <c r="D3610" t="str">
        <f t="shared" si="119"/>
        <v/>
      </c>
      <c r="E3610" t="str">
        <f t="shared" si="118"/>
        <v>samson and delilah</v>
      </c>
      <c r="F3610" t="s">
        <v>6925</v>
      </c>
      <c r="G3610" t="str">
        <f>_xlfn.IFNA(VLOOKUP(F3610,songs!$B$1:$C$1539, 2, FALSE),"")</f>
        <v>Samson And Delilah</v>
      </c>
      <c r="H3610" t="s">
        <v>266</v>
      </c>
    </row>
    <row r="3611" spans="1:8" x14ac:dyDescent="0.25">
      <c r="A3611">
        <v>3610</v>
      </c>
      <c r="B3611" t="s">
        <v>4575</v>
      </c>
      <c r="C3611" t="s">
        <v>124</v>
      </c>
      <c r="D3611" t="str">
        <f t="shared" si="119"/>
        <v/>
      </c>
      <c r="E3611" t="str">
        <f t="shared" si="118"/>
        <v>friend of the devil</v>
      </c>
      <c r="F3611" t="s">
        <v>5721</v>
      </c>
      <c r="G3611" t="str">
        <f>_xlfn.IFNA(VLOOKUP(F3611,songs!$B$1:$C$1539, 2, FALSE),"")</f>
        <v>Friend Of The Devil</v>
      </c>
      <c r="H3611" t="s">
        <v>464</v>
      </c>
    </row>
    <row r="3612" spans="1:8" x14ac:dyDescent="0.25">
      <c r="A3612">
        <v>3626</v>
      </c>
      <c r="B3612" t="s">
        <v>4591</v>
      </c>
      <c r="C3612" t="s">
        <v>4592</v>
      </c>
      <c r="D3612" t="str">
        <f t="shared" si="119"/>
        <v/>
      </c>
      <c r="E3612" t="str">
        <f t="shared" si="118"/>
        <v>c. c. rider</v>
      </c>
      <c r="F3612" t="s">
        <v>5273</v>
      </c>
      <c r="G3612" t="str">
        <f>_xlfn.IFNA(VLOOKUP(F3612,songs!$B$1:$C$1539, 2, FALSE),"")</f>
        <v>C.C. Rider</v>
      </c>
      <c r="H3612" t="s">
        <v>7867</v>
      </c>
    </row>
    <row r="3613" spans="1:8" x14ac:dyDescent="0.25">
      <c r="A3613">
        <v>3612</v>
      </c>
      <c r="B3613" t="s">
        <v>4577</v>
      </c>
      <c r="C3613" t="s">
        <v>264</v>
      </c>
      <c r="D3613" t="str">
        <f t="shared" si="119"/>
        <v/>
      </c>
      <c r="E3613" t="str">
        <f t="shared" si="118"/>
        <v>deal</v>
      </c>
      <c r="F3613" t="s">
        <v>5461</v>
      </c>
      <c r="G3613" t="str">
        <f>_xlfn.IFNA(VLOOKUP(F3613,songs!$B$1:$C$1539, 2, FALSE),"")</f>
        <v>Deal</v>
      </c>
      <c r="H3613" t="s">
        <v>264</v>
      </c>
    </row>
    <row r="3614" spans="1:8" x14ac:dyDescent="0.25">
      <c r="A3614">
        <v>3613</v>
      </c>
      <c r="B3614" t="s">
        <v>4578</v>
      </c>
      <c r="C3614" t="s">
        <v>641</v>
      </c>
      <c r="D3614" t="str">
        <f t="shared" si="119"/>
        <v/>
      </c>
      <c r="E3614" t="str">
        <f t="shared" si="118"/>
        <v>candyman</v>
      </c>
      <c r="F3614" t="s">
        <v>5278</v>
      </c>
      <c r="G3614" t="str">
        <f>_xlfn.IFNA(VLOOKUP(F3614,songs!$B$1:$C$1539, 2, FALSE),"")</f>
        <v>Candyman</v>
      </c>
      <c r="H3614" t="s">
        <v>641</v>
      </c>
    </row>
    <row r="3615" spans="1:8" x14ac:dyDescent="0.25">
      <c r="A3615">
        <v>3614</v>
      </c>
      <c r="B3615" t="s">
        <v>4579</v>
      </c>
      <c r="C3615" t="s">
        <v>255</v>
      </c>
      <c r="D3615" t="str">
        <f t="shared" si="119"/>
        <v/>
      </c>
      <c r="E3615" t="str">
        <f t="shared" si="118"/>
        <v>little red rooster</v>
      </c>
      <c r="F3615" t="s">
        <v>6360</v>
      </c>
      <c r="G3615" t="str">
        <f>_xlfn.IFNA(VLOOKUP(F3615,songs!$B$1:$C$1539, 2, FALSE),"")</f>
        <v>Little Red Rooster</v>
      </c>
      <c r="H3615" t="s">
        <v>255</v>
      </c>
    </row>
    <row r="3616" spans="1:8" x14ac:dyDescent="0.25">
      <c r="A3616">
        <v>3615</v>
      </c>
      <c r="B3616" t="s">
        <v>4580</v>
      </c>
      <c r="C3616" t="s">
        <v>291</v>
      </c>
      <c r="D3616" t="str">
        <f t="shared" si="119"/>
        <v/>
      </c>
      <c r="E3616" t="str">
        <f t="shared" si="118"/>
        <v>loser</v>
      </c>
      <c r="F3616" t="s">
        <v>6400</v>
      </c>
      <c r="G3616" t="str">
        <f>_xlfn.IFNA(VLOOKUP(F3616,songs!$B$1:$C$1539, 2, FALSE),"")</f>
        <v>Loser</v>
      </c>
      <c r="H3616" t="s">
        <v>291</v>
      </c>
    </row>
    <row r="3617" spans="1:8" x14ac:dyDescent="0.25">
      <c r="A3617">
        <v>3616</v>
      </c>
      <c r="B3617" t="s">
        <v>4581</v>
      </c>
      <c r="C3617" t="s">
        <v>560</v>
      </c>
      <c r="D3617" t="str">
        <f t="shared" si="119"/>
        <v/>
      </c>
      <c r="E3617" t="str">
        <f t="shared" si="118"/>
        <v>passenger</v>
      </c>
      <c r="F3617" t="s">
        <v>6738</v>
      </c>
      <c r="G3617" t="str">
        <f>_xlfn.IFNA(VLOOKUP(F3617,songs!$B$1:$C$1539, 2, FALSE),"")</f>
        <v>Passenger</v>
      </c>
      <c r="H3617" t="s">
        <v>560</v>
      </c>
    </row>
    <row r="3618" spans="1:8" x14ac:dyDescent="0.25">
      <c r="A3618">
        <v>3617</v>
      </c>
      <c r="B3618" t="s">
        <v>4582</v>
      </c>
      <c r="C3618" t="s">
        <v>4220</v>
      </c>
      <c r="D3618" t="str">
        <f t="shared" si="119"/>
        <v/>
      </c>
      <c r="E3618" t="str">
        <f t="shared" si="118"/>
        <v>feel like a stranger</v>
      </c>
      <c r="F3618" t="s">
        <v>5658</v>
      </c>
      <c r="G3618" t="str">
        <f>_xlfn.IFNA(VLOOKUP(F3618,songs!$B$1:$C$1539, 2, FALSE),"")</f>
        <v>Feel Like A Stranger</v>
      </c>
      <c r="H3618" t="s">
        <v>853</v>
      </c>
    </row>
    <row r="3619" spans="1:8" x14ac:dyDescent="0.25">
      <c r="A3619">
        <v>3618</v>
      </c>
      <c r="B3619" t="s">
        <v>4583</v>
      </c>
      <c r="C3619" t="s">
        <v>63</v>
      </c>
      <c r="D3619" t="str">
        <f t="shared" si="119"/>
        <v/>
      </c>
      <c r="E3619" t="str">
        <f t="shared" si="118"/>
        <v>franklin's tower</v>
      </c>
      <c r="F3619" t="s">
        <v>5712</v>
      </c>
      <c r="G3619" t="str">
        <f>_xlfn.IFNA(VLOOKUP(F3619,songs!$B$1:$C$1539, 2, FALSE),"")</f>
        <v>Franklin's Tower</v>
      </c>
      <c r="H3619" t="s">
        <v>63</v>
      </c>
    </row>
    <row r="3620" spans="1:8" x14ac:dyDescent="0.25">
      <c r="A3620">
        <v>3628</v>
      </c>
      <c r="B3620" t="s">
        <v>4594</v>
      </c>
      <c r="C3620" t="s">
        <v>1109</v>
      </c>
      <c r="D3620" t="str">
        <f t="shared" si="119"/>
        <v/>
      </c>
      <c r="E3620" t="str">
        <f t="shared" si="118"/>
        <v>lazy lightnin'</v>
      </c>
      <c r="F3620" t="s">
        <v>6293</v>
      </c>
      <c r="G3620" t="str">
        <f>_xlfn.IFNA(VLOOKUP(F3620,songs!$B$1:$C$1539, 2, FALSE),"")</f>
        <v>Lazy Lightning</v>
      </c>
      <c r="H3620" t="s">
        <v>7867</v>
      </c>
    </row>
    <row r="3621" spans="1:8" x14ac:dyDescent="0.25">
      <c r="A3621">
        <v>3620</v>
      </c>
      <c r="B3621" t="s">
        <v>4585</v>
      </c>
      <c r="C3621" t="s">
        <v>277</v>
      </c>
      <c r="D3621" t="str">
        <f t="shared" si="119"/>
        <v/>
      </c>
      <c r="E3621" t="str">
        <f t="shared" si="118"/>
        <v>space</v>
      </c>
      <c r="F3621" t="s">
        <v>7091</v>
      </c>
      <c r="G3621" t="str">
        <f>_xlfn.IFNA(VLOOKUP(F3621,songs!$B$1:$C$1539, 2, FALSE),"")</f>
        <v>Space</v>
      </c>
      <c r="H3621" t="s">
        <v>277</v>
      </c>
    </row>
    <row r="3622" spans="1:8" x14ac:dyDescent="0.25">
      <c r="A3622">
        <v>3621</v>
      </c>
      <c r="B3622" t="s">
        <v>4586</v>
      </c>
      <c r="C3622" t="s">
        <v>172</v>
      </c>
      <c r="D3622" t="str">
        <f t="shared" si="119"/>
        <v/>
      </c>
      <c r="E3622" t="str">
        <f t="shared" si="118"/>
        <v>fire on the mountain</v>
      </c>
      <c r="F3622" t="s">
        <v>5675</v>
      </c>
      <c r="G3622" t="str">
        <f>_xlfn.IFNA(VLOOKUP(F3622,songs!$B$1:$C$1539, 2, FALSE),"")</f>
        <v>Fire On The Mountain</v>
      </c>
      <c r="H3622" t="s">
        <v>573</v>
      </c>
    </row>
    <row r="3623" spans="1:8" x14ac:dyDescent="0.25">
      <c r="A3623">
        <v>3622</v>
      </c>
      <c r="B3623" t="s">
        <v>4587</v>
      </c>
      <c r="C3623" t="s">
        <v>154</v>
      </c>
      <c r="D3623" t="str">
        <f t="shared" si="119"/>
        <v/>
      </c>
      <c r="E3623" t="str">
        <f t="shared" si="118"/>
        <v>greatest story ever told</v>
      </c>
      <c r="F3623" t="s">
        <v>5826</v>
      </c>
      <c r="G3623" t="str">
        <f>_xlfn.IFNA(VLOOKUP(F3623,songs!$B$1:$C$1539, 2, FALSE),"")</f>
        <v>Greatest Story Ever Told</v>
      </c>
      <c r="H3623" t="s">
        <v>154</v>
      </c>
    </row>
    <row r="3624" spans="1:8" x14ac:dyDescent="0.25">
      <c r="A3624">
        <v>3623</v>
      </c>
      <c r="B3624" t="s">
        <v>4588</v>
      </c>
      <c r="C3624" t="s">
        <v>145</v>
      </c>
      <c r="D3624" t="str">
        <f t="shared" si="119"/>
        <v/>
      </c>
      <c r="E3624" t="str">
        <f t="shared" si="118"/>
        <v>brokedown palace</v>
      </c>
      <c r="F3624" t="s">
        <v>5250</v>
      </c>
      <c r="G3624" t="str">
        <f>_xlfn.IFNA(VLOOKUP(F3624,songs!$B$1:$C$1539, 2, FALSE),"")</f>
        <v>Brokedown Palace</v>
      </c>
      <c r="H3624" t="s">
        <v>145</v>
      </c>
    </row>
    <row r="3625" spans="1:8" x14ac:dyDescent="0.25">
      <c r="A3625">
        <v>3624</v>
      </c>
      <c r="B3625" t="s">
        <v>4589</v>
      </c>
      <c r="C3625" t="s">
        <v>389</v>
      </c>
      <c r="D3625" t="str">
        <f t="shared" si="119"/>
        <v/>
      </c>
      <c r="E3625" t="str">
        <f t="shared" si="118"/>
        <v>let it grow</v>
      </c>
      <c r="F3625" t="s">
        <v>6308</v>
      </c>
      <c r="G3625" t="str">
        <f>_xlfn.IFNA(VLOOKUP(F3625,songs!$B$1:$C$1539, 2, FALSE),"")</f>
        <v>Let It Grow</v>
      </c>
      <c r="H3625" t="s">
        <v>389</v>
      </c>
    </row>
    <row r="3626" spans="1:8" x14ac:dyDescent="0.25">
      <c r="A3626">
        <v>3625</v>
      </c>
      <c r="B3626" t="s">
        <v>4590</v>
      </c>
      <c r="C3626" t="s">
        <v>51</v>
      </c>
      <c r="D3626" t="str">
        <f t="shared" si="119"/>
        <v/>
      </c>
      <c r="E3626" t="str">
        <f t="shared" si="118"/>
        <v>sugaree</v>
      </c>
      <c r="F3626" t="s">
        <v>7151</v>
      </c>
      <c r="G3626" t="str">
        <f>_xlfn.IFNA(VLOOKUP(F3626,songs!$B$1:$C$1539, 2, FALSE),"")</f>
        <v>Sugaree</v>
      </c>
      <c r="H3626" t="s">
        <v>51</v>
      </c>
    </row>
    <row r="3627" spans="1:8" x14ac:dyDescent="0.25">
      <c r="A3627">
        <v>3636</v>
      </c>
      <c r="B3627" t="s">
        <v>4602</v>
      </c>
      <c r="C3627" t="s">
        <v>4249</v>
      </c>
      <c r="D3627" t="str">
        <f t="shared" si="119"/>
        <v/>
      </c>
      <c r="E3627" t="str">
        <f t="shared" si="118"/>
        <v>oh babe it ain't no lie</v>
      </c>
      <c r="F3627" t="s">
        <v>6662</v>
      </c>
      <c r="G3627" t="str">
        <f>_xlfn.IFNA(VLOOKUP(F3627,songs!$B$1:$C$1539, 2, FALSE),"")</f>
        <v>Oh Babe, It Ain't No Lie</v>
      </c>
      <c r="H3627" t="s">
        <v>7867</v>
      </c>
    </row>
    <row r="3628" spans="1:8" x14ac:dyDescent="0.25">
      <c r="A3628">
        <v>3627</v>
      </c>
      <c r="B3628" t="s">
        <v>4593</v>
      </c>
      <c r="C3628" t="s">
        <v>188</v>
      </c>
      <c r="D3628" t="str">
        <f t="shared" si="119"/>
        <v/>
      </c>
      <c r="E3628" t="str">
        <f t="shared" si="118"/>
        <v>row jimmy</v>
      </c>
      <c r="F3628" t="s">
        <v>6893</v>
      </c>
      <c r="G3628" t="str">
        <f>_xlfn.IFNA(VLOOKUP(F3628,songs!$B$1:$C$1539, 2, FALSE),"")</f>
        <v>Row Jimmy</v>
      </c>
      <c r="H3628" t="s">
        <v>188</v>
      </c>
    </row>
    <row r="3629" spans="1:8" x14ac:dyDescent="0.25">
      <c r="A3629">
        <v>3640</v>
      </c>
      <c r="B3629" t="s">
        <v>4606</v>
      </c>
      <c r="C3629" t="s">
        <v>4233</v>
      </c>
      <c r="D3629" t="str">
        <f t="shared" si="119"/>
        <v/>
      </c>
      <c r="E3629" t="str">
        <f t="shared" si="118"/>
        <v>been all around this world</v>
      </c>
      <c r="F3629" t="s">
        <v>7870</v>
      </c>
      <c r="G3629" t="str">
        <f>_xlfn.IFNA(VLOOKUP(F3629,songs!$B$1:$C$1539, 2, FALSE),"")</f>
        <v>I've Been All Around This World</v>
      </c>
      <c r="H3629" t="s">
        <v>7867</v>
      </c>
    </row>
    <row r="3630" spans="1:8" x14ac:dyDescent="0.25">
      <c r="A3630">
        <v>3629</v>
      </c>
      <c r="B3630" t="s">
        <v>4595</v>
      </c>
      <c r="C3630" t="s">
        <v>55</v>
      </c>
      <c r="D3630" t="str">
        <f t="shared" si="119"/>
        <v/>
      </c>
      <c r="E3630" t="str">
        <f t="shared" si="118"/>
        <v>supplication</v>
      </c>
      <c r="F3630" t="s">
        <v>7162</v>
      </c>
      <c r="G3630" t="str">
        <f>_xlfn.IFNA(VLOOKUP(F3630,songs!$B$1:$C$1539, 2, FALSE),"")</f>
        <v>Supplication</v>
      </c>
      <c r="H3630" t="s">
        <v>55</v>
      </c>
    </row>
    <row r="3631" spans="1:8" x14ac:dyDescent="0.25">
      <c r="A3631">
        <v>3630</v>
      </c>
      <c r="B3631" t="s">
        <v>4596</v>
      </c>
      <c r="C3631" t="s">
        <v>88</v>
      </c>
      <c r="D3631" t="str">
        <f t="shared" si="119"/>
        <v/>
      </c>
      <c r="E3631" t="str">
        <f t="shared" si="118"/>
        <v>high time</v>
      </c>
      <c r="F3631" t="s">
        <v>5920</v>
      </c>
      <c r="G3631" t="str">
        <f>_xlfn.IFNA(VLOOKUP(F3631,songs!$B$1:$C$1539, 2, FALSE),"")</f>
        <v>High Time</v>
      </c>
      <c r="H3631" t="s">
        <v>88</v>
      </c>
    </row>
    <row r="3632" spans="1:8" x14ac:dyDescent="0.25">
      <c r="A3632">
        <v>3631</v>
      </c>
      <c r="B3632" t="s">
        <v>4597</v>
      </c>
      <c r="C3632" t="s">
        <v>199</v>
      </c>
      <c r="D3632" t="str">
        <f t="shared" si="119"/>
        <v/>
      </c>
      <c r="E3632" t="str">
        <f t="shared" si="118"/>
        <v>jack straw</v>
      </c>
      <c r="F3632" t="s">
        <v>6161</v>
      </c>
      <c r="G3632" t="str">
        <f>_xlfn.IFNA(VLOOKUP(F3632,songs!$B$1:$C$1539, 2, FALSE),"")</f>
        <v>Jack Straw</v>
      </c>
      <c r="H3632" t="s">
        <v>199</v>
      </c>
    </row>
    <row r="3633" spans="1:8" x14ac:dyDescent="0.25">
      <c r="A3633">
        <v>3632</v>
      </c>
      <c r="B3633" t="s">
        <v>4598</v>
      </c>
      <c r="C3633" t="s">
        <v>150</v>
      </c>
      <c r="D3633" t="str">
        <f t="shared" si="119"/>
        <v/>
      </c>
      <c r="E3633" t="str">
        <f t="shared" si="118"/>
        <v>shakedown street</v>
      </c>
      <c r="F3633" t="s">
        <v>6972</v>
      </c>
      <c r="G3633" t="str">
        <f>_xlfn.IFNA(VLOOKUP(F3633,songs!$B$1:$C$1539, 2, FALSE),"")</f>
        <v>Shakedown Street</v>
      </c>
      <c r="H3633" t="s">
        <v>150</v>
      </c>
    </row>
    <row r="3634" spans="1:8" x14ac:dyDescent="0.25">
      <c r="A3634">
        <v>3633</v>
      </c>
      <c r="B3634" t="s">
        <v>4599</v>
      </c>
      <c r="C3634" t="s">
        <v>34</v>
      </c>
      <c r="D3634" t="str">
        <f t="shared" si="119"/>
        <v/>
      </c>
      <c r="E3634" t="str">
        <f t="shared" si="118"/>
        <v>not fade away</v>
      </c>
      <c r="F3634" t="s">
        <v>6651</v>
      </c>
      <c r="G3634" t="str">
        <f>_xlfn.IFNA(VLOOKUP(F3634,songs!$B$1:$C$1539, 2, FALSE),"")</f>
        <v>Not Fade Away</v>
      </c>
      <c r="H3634" t="s">
        <v>34</v>
      </c>
    </row>
    <row r="3635" spans="1:8" x14ac:dyDescent="0.25">
      <c r="A3635">
        <v>3634</v>
      </c>
      <c r="B3635" t="s">
        <v>4600</v>
      </c>
      <c r="C3635" t="s">
        <v>90</v>
      </c>
      <c r="D3635" t="str">
        <f t="shared" si="119"/>
        <v/>
      </c>
      <c r="E3635" t="str">
        <f t="shared" si="118"/>
        <v>dire wolf</v>
      </c>
      <c r="F3635" t="s">
        <v>5497</v>
      </c>
      <c r="G3635" t="str">
        <f>_xlfn.IFNA(VLOOKUP(F3635,songs!$B$1:$C$1539, 2, FALSE),"")</f>
        <v>Dire Wolf</v>
      </c>
      <c r="H3635" t="s">
        <v>90</v>
      </c>
    </row>
    <row r="3636" spans="1:8" x14ac:dyDescent="0.25">
      <c r="A3636">
        <v>3635</v>
      </c>
      <c r="B3636" t="s">
        <v>4601</v>
      </c>
      <c r="C3636" t="s">
        <v>1400</v>
      </c>
      <c r="D3636" t="str">
        <f t="shared" si="119"/>
        <v/>
      </c>
      <c r="E3636" t="str">
        <f t="shared" si="118"/>
        <v>the race is on</v>
      </c>
      <c r="F3636" t="s">
        <v>7326</v>
      </c>
      <c r="G3636" t="str">
        <f>_xlfn.IFNA(VLOOKUP(F3636,songs!$B$1:$C$1539, 2, FALSE),"")</f>
        <v>The Race Is On</v>
      </c>
      <c r="H3636" t="s">
        <v>1400</v>
      </c>
    </row>
    <row r="3637" spans="1:8" x14ac:dyDescent="0.25">
      <c r="A3637">
        <v>3646</v>
      </c>
      <c r="B3637" t="s">
        <v>4612</v>
      </c>
      <c r="C3637" t="s">
        <v>4263</v>
      </c>
      <c r="D3637" t="str">
        <f t="shared" si="119"/>
        <v/>
      </c>
      <c r="E3637" t="str">
        <f t="shared" si="118"/>
        <v>rosalie mcfall</v>
      </c>
      <c r="F3637" t="s">
        <v>6887</v>
      </c>
      <c r="G3637" t="str">
        <f>_xlfn.IFNA(VLOOKUP(F3637,songs!$B$1:$C$1539, 2, FALSE),"")</f>
        <v>Rosa Lee McFall</v>
      </c>
      <c r="H3637" t="s">
        <v>7867</v>
      </c>
    </row>
    <row r="3638" spans="1:8" x14ac:dyDescent="0.25">
      <c r="A3638">
        <v>3637</v>
      </c>
      <c r="B3638" t="s">
        <v>4603</v>
      </c>
      <c r="C3638" t="s">
        <v>1057</v>
      </c>
      <c r="D3638" t="str">
        <f t="shared" si="119"/>
        <v/>
      </c>
      <c r="E3638" t="str">
        <f t="shared" si="118"/>
        <v>it must have been the roses</v>
      </c>
      <c r="F3638" t="s">
        <v>6128</v>
      </c>
      <c r="G3638" t="str">
        <f>_xlfn.IFNA(VLOOKUP(F3638,songs!$B$1:$C$1539, 2, FALSE),"")</f>
        <v>It Must Have Been The Roses</v>
      </c>
      <c r="H3638" t="s">
        <v>1057</v>
      </c>
    </row>
    <row r="3639" spans="1:8" x14ac:dyDescent="0.25">
      <c r="A3639">
        <v>3638</v>
      </c>
      <c r="B3639" t="s">
        <v>4604</v>
      </c>
      <c r="C3639" t="s">
        <v>4123</v>
      </c>
      <c r="D3639" t="str">
        <f t="shared" si="119"/>
        <v/>
      </c>
      <c r="E3639" t="str">
        <f t="shared" si="118"/>
        <v>dark hollow</v>
      </c>
      <c r="F3639" t="s">
        <v>5427</v>
      </c>
      <c r="G3639" t="str">
        <f>_xlfn.IFNA(VLOOKUP(F3639,songs!$B$1:$C$1539, 2, FALSE),"")</f>
        <v>Dark Hollow</v>
      </c>
      <c r="H3639" t="s">
        <v>4123</v>
      </c>
    </row>
    <row r="3640" spans="1:8" x14ac:dyDescent="0.25">
      <c r="A3640">
        <v>3639</v>
      </c>
      <c r="B3640" t="s">
        <v>4605</v>
      </c>
      <c r="C3640" t="s">
        <v>304</v>
      </c>
      <c r="D3640" t="str">
        <f t="shared" si="119"/>
        <v/>
      </c>
      <c r="E3640" t="str">
        <f t="shared" si="118"/>
        <v>china doll</v>
      </c>
      <c r="F3640" t="s">
        <v>5320</v>
      </c>
      <c r="G3640" t="str">
        <f>_xlfn.IFNA(VLOOKUP(F3640,songs!$B$1:$C$1539, 2, FALSE),"")</f>
        <v>China Doll</v>
      </c>
      <c r="H3640" t="s">
        <v>304</v>
      </c>
    </row>
    <row r="3641" spans="1:8" x14ac:dyDescent="0.25">
      <c r="A3641">
        <v>3650</v>
      </c>
      <c r="B3641" t="s">
        <v>4616</v>
      </c>
      <c r="C3641" t="s">
        <v>4617</v>
      </c>
      <c r="D3641" t="str">
        <f t="shared" si="119"/>
        <v/>
      </c>
      <c r="E3641" t="str">
        <f t="shared" si="118"/>
        <v>to lay me down (studio rehearsal)</v>
      </c>
      <c r="F3641" t="s">
        <v>7397</v>
      </c>
      <c r="G3641" t="str">
        <f>_xlfn.IFNA(VLOOKUP(F3641,songs!$B$1:$C$1539, 2, FALSE),"")</f>
        <v>To Lay Me Down</v>
      </c>
      <c r="H3641" t="s">
        <v>7867</v>
      </c>
    </row>
    <row r="3642" spans="1:8" x14ac:dyDescent="0.25">
      <c r="A3642">
        <v>3641</v>
      </c>
      <c r="B3642" t="s">
        <v>4607</v>
      </c>
      <c r="C3642" t="s">
        <v>4235</v>
      </c>
      <c r="D3642" t="str">
        <f t="shared" si="119"/>
        <v/>
      </c>
      <c r="E3642" t="str">
        <f t="shared" si="118"/>
        <v>monkey and the engineer</v>
      </c>
      <c r="F3642" t="s">
        <v>6544</v>
      </c>
      <c r="G3642" t="str">
        <f>_xlfn.IFNA(VLOOKUP(F3642,songs!$B$1:$C$1539, 2, FALSE),"")</f>
        <v>Monkey And The Engineer</v>
      </c>
      <c r="H3642" t="s">
        <v>4235</v>
      </c>
    </row>
    <row r="3643" spans="1:8" x14ac:dyDescent="0.25">
      <c r="A3643">
        <v>3642</v>
      </c>
      <c r="B3643" t="s">
        <v>4608</v>
      </c>
      <c r="C3643" t="s">
        <v>383</v>
      </c>
      <c r="D3643" t="str">
        <f t="shared" si="119"/>
        <v/>
      </c>
      <c r="E3643" t="str">
        <f t="shared" si="118"/>
        <v>jack-a-roe</v>
      </c>
      <c r="F3643" t="s">
        <v>6162</v>
      </c>
      <c r="G3643" t="str">
        <f>_xlfn.IFNA(VLOOKUP(F3643,songs!$B$1:$C$1539, 2, FALSE),"")</f>
        <v>Jack-A-Roe</v>
      </c>
      <c r="H3643" t="s">
        <v>383</v>
      </c>
    </row>
    <row r="3644" spans="1:8" x14ac:dyDescent="0.25">
      <c r="A3644">
        <v>3643</v>
      </c>
      <c r="B3644" t="s">
        <v>4609</v>
      </c>
      <c r="C3644" t="s">
        <v>227</v>
      </c>
      <c r="D3644" t="str">
        <f t="shared" si="119"/>
        <v/>
      </c>
      <c r="E3644" t="str">
        <f t="shared" si="118"/>
        <v>deep elem blues</v>
      </c>
      <c r="F3644" t="s">
        <v>5471</v>
      </c>
      <c r="G3644" t="str">
        <f>_xlfn.IFNA(VLOOKUP(F3644,songs!$B$1:$C$1539, 2, FALSE),"")</f>
        <v>Deep Elem Blues</v>
      </c>
      <c r="H3644" t="s">
        <v>227</v>
      </c>
    </row>
    <row r="3645" spans="1:8" x14ac:dyDescent="0.25">
      <c r="A3645">
        <v>3644</v>
      </c>
      <c r="B3645" t="s">
        <v>4610</v>
      </c>
      <c r="C3645" t="s">
        <v>262</v>
      </c>
      <c r="D3645" t="str">
        <f t="shared" si="119"/>
        <v/>
      </c>
      <c r="E3645" t="str">
        <f t="shared" si="118"/>
        <v>cassidy</v>
      </c>
      <c r="F3645" t="s">
        <v>5291</v>
      </c>
      <c r="G3645" t="str">
        <f>_xlfn.IFNA(VLOOKUP(F3645,songs!$B$1:$C$1539, 2, FALSE),"")</f>
        <v>Cassidy</v>
      </c>
      <c r="H3645" t="s">
        <v>262</v>
      </c>
    </row>
    <row r="3646" spans="1:8" x14ac:dyDescent="0.25">
      <c r="A3646">
        <v>3645</v>
      </c>
      <c r="B3646" t="s">
        <v>4611</v>
      </c>
      <c r="C3646" t="s">
        <v>365</v>
      </c>
      <c r="D3646" t="str">
        <f t="shared" si="119"/>
        <v/>
      </c>
      <c r="E3646" t="str">
        <f t="shared" si="118"/>
        <v>to lay me down</v>
      </c>
      <c r="F3646" t="s">
        <v>7397</v>
      </c>
      <c r="G3646" t="str">
        <f>_xlfn.IFNA(VLOOKUP(F3646,songs!$B$1:$C$1539, 2, FALSE),"")</f>
        <v>To Lay Me Down</v>
      </c>
      <c r="H3646" t="s">
        <v>365</v>
      </c>
    </row>
    <row r="3647" spans="1:8" x14ac:dyDescent="0.25">
      <c r="A3647">
        <v>1388</v>
      </c>
      <c r="B3647" t="s">
        <v>1752</v>
      </c>
      <c r="C3647" t="s">
        <v>1753</v>
      </c>
      <c r="D3647" t="str">
        <f t="shared" si="119"/>
        <v/>
      </c>
      <c r="E3647" t="str">
        <f t="shared" si="118"/>
        <v>the yellow dog story</v>
      </c>
      <c r="F3647" t="s">
        <v>7835</v>
      </c>
      <c r="G3647" t="str">
        <f>_xlfn.IFNA(VLOOKUP(F3647,songs!$B$1:$C$1539, 2, FALSE),"")</f>
        <v/>
      </c>
      <c r="H3647" t="s">
        <v>7867</v>
      </c>
    </row>
    <row r="3648" spans="1:8" x14ac:dyDescent="0.25">
      <c r="A3648">
        <v>3647</v>
      </c>
      <c r="B3648" t="s">
        <v>4613</v>
      </c>
      <c r="C3648" t="s">
        <v>1084</v>
      </c>
      <c r="D3648" t="str">
        <f t="shared" si="119"/>
        <v/>
      </c>
      <c r="E3648" t="str">
        <f t="shared" si="118"/>
        <v>on the road again</v>
      </c>
      <c r="F3648" t="s">
        <v>6692</v>
      </c>
      <c r="G3648" t="str">
        <f>_xlfn.IFNA(VLOOKUP(F3648,songs!$B$1:$C$1539, 2, FALSE),"")</f>
        <v>On The Road Again</v>
      </c>
      <c r="H3648" t="s">
        <v>1084</v>
      </c>
    </row>
    <row r="3649" spans="1:8" x14ac:dyDescent="0.25">
      <c r="A3649">
        <v>3648</v>
      </c>
      <c r="B3649" t="s">
        <v>4614</v>
      </c>
      <c r="C3649" t="s">
        <v>323</v>
      </c>
      <c r="D3649" t="str">
        <f t="shared" si="119"/>
        <v/>
      </c>
      <c r="E3649" t="str">
        <f t="shared" si="118"/>
        <v>bird song</v>
      </c>
      <c r="F3649" t="s">
        <v>5184</v>
      </c>
      <c r="G3649" t="str">
        <f>_xlfn.IFNA(VLOOKUP(F3649,songs!$B$1:$C$1539, 2, FALSE),"")</f>
        <v>Bird Song</v>
      </c>
      <c r="H3649" t="s">
        <v>323</v>
      </c>
    </row>
    <row r="3650" spans="1:8" x14ac:dyDescent="0.25">
      <c r="A3650">
        <v>3649</v>
      </c>
      <c r="B3650" t="s">
        <v>4615</v>
      </c>
      <c r="C3650" t="s">
        <v>3166</v>
      </c>
      <c r="D3650" t="str">
        <f t="shared" si="119"/>
        <v/>
      </c>
      <c r="E3650" t="str">
        <f t="shared" si="118"/>
        <v>ripple</v>
      </c>
      <c r="F3650" t="s">
        <v>6864</v>
      </c>
      <c r="G3650" t="str">
        <f>_xlfn.IFNA(VLOOKUP(F3650,songs!$B$1:$C$1539, 2, FALSE),"")</f>
        <v>Ripple</v>
      </c>
      <c r="H3650" t="s">
        <v>3166</v>
      </c>
    </row>
    <row r="3651" spans="1:8" x14ac:dyDescent="0.25">
      <c r="A3651">
        <v>3654</v>
      </c>
      <c r="B3651" t="s">
        <v>4622</v>
      </c>
      <c r="C3651" t="s">
        <v>4158</v>
      </c>
      <c r="D3651" t="str">
        <f t="shared" si="119"/>
        <v/>
      </c>
      <c r="E3651" t="str">
        <f t="shared" si="118"/>
        <v>sage &amp; spirit</v>
      </c>
      <c r="F3651" t="s">
        <v>6903</v>
      </c>
      <c r="G3651" t="str">
        <f>_xlfn.IFNA(VLOOKUP(F3651,songs!$B$1:$C$1539, 2, FALSE),"")</f>
        <v>Sage And Spirit</v>
      </c>
      <c r="H3651" t="s">
        <v>7867</v>
      </c>
    </row>
    <row r="3652" spans="1:8" x14ac:dyDescent="0.25">
      <c r="A3652">
        <v>3651</v>
      </c>
      <c r="B3652" t="s">
        <v>4618</v>
      </c>
      <c r="C3652" t="s">
        <v>268</v>
      </c>
      <c r="D3652" t="str">
        <f t="shared" si="119"/>
        <v/>
      </c>
      <c r="E3652" t="str">
        <f t="shared" ref="E3652:E3715" si="120">LOWER(TRIM(SUBSTITUTE(IF(RIGHT(TRIM(C3652),2)="-&gt;",LEFT(TRIM(C3652),LEN(TRIM(C3652))-2),IF(RIGHT(TRIM(C3652),1)="&gt;",LEFT(TRIM(C3652),LEN(TRIM(C3652))-1),C3652)),"//","")))</f>
        <v>iko iko</v>
      </c>
      <c r="F3652" t="s">
        <v>6063</v>
      </c>
      <c r="G3652" t="str">
        <f>_xlfn.IFNA(VLOOKUP(F3652,songs!$B$1:$C$1539, 2, FALSE),"")</f>
        <v>Iko Iko</v>
      </c>
      <c r="H3652" t="s">
        <v>268</v>
      </c>
    </row>
    <row r="3653" spans="1:8" x14ac:dyDescent="0.25">
      <c r="A3653">
        <v>3652</v>
      </c>
      <c r="B3653" t="s">
        <v>4619</v>
      </c>
      <c r="C3653" t="s">
        <v>4620</v>
      </c>
      <c r="D3653" t="str">
        <f t="shared" si="119"/>
        <v/>
      </c>
      <c r="E3653" t="str">
        <f t="shared" si="120"/>
        <v>heaven help the fool</v>
      </c>
      <c r="F3653" t="s">
        <v>5880</v>
      </c>
      <c r="G3653" t="str">
        <f>_xlfn.IFNA(VLOOKUP(F3653,songs!$B$1:$C$1539, 2, FALSE),"")</f>
        <v>Heaven Help The Fool</v>
      </c>
      <c r="H3653" t="s">
        <v>5881</v>
      </c>
    </row>
    <row r="3654" spans="1:8" x14ac:dyDescent="0.25">
      <c r="A3654">
        <v>3653</v>
      </c>
      <c r="B3654" t="s">
        <v>4621</v>
      </c>
      <c r="C3654" t="s">
        <v>327</v>
      </c>
      <c r="D3654" t="str">
        <f t="shared" si="119"/>
        <v/>
      </c>
      <c r="E3654" t="str">
        <f t="shared" si="120"/>
        <v>el paso</v>
      </c>
      <c r="F3654" t="s">
        <v>5600</v>
      </c>
      <c r="G3654" t="str">
        <f>_xlfn.IFNA(VLOOKUP(F3654,songs!$B$1:$C$1539, 2, FALSE),"")</f>
        <v>El Paso</v>
      </c>
      <c r="H3654" t="s">
        <v>327</v>
      </c>
    </row>
    <row r="3655" spans="1:8" x14ac:dyDescent="0.25">
      <c r="A3655">
        <v>3656</v>
      </c>
      <c r="B3655" t="s">
        <v>4624</v>
      </c>
      <c r="C3655" t="s">
        <v>4625</v>
      </c>
      <c r="D3655" t="str">
        <f t="shared" si="119"/>
        <v/>
      </c>
      <c r="E3655" t="str">
        <f t="shared" si="120"/>
        <v>it must have been the roses (alternate live version)</v>
      </c>
      <c r="F3655" t="s">
        <v>6128</v>
      </c>
      <c r="G3655" t="str">
        <f>_xlfn.IFNA(VLOOKUP(F3655,songs!$B$1:$C$1539, 2, FALSE),"")</f>
        <v>It Must Have Been The Roses</v>
      </c>
      <c r="H3655" t="s">
        <v>7867</v>
      </c>
    </row>
    <row r="3656" spans="1:8" x14ac:dyDescent="0.25">
      <c r="A3656">
        <v>3655</v>
      </c>
      <c r="B3656" t="s">
        <v>4623</v>
      </c>
      <c r="C3656" t="s">
        <v>2586</v>
      </c>
      <c r="D3656" t="str">
        <f t="shared" si="119"/>
        <v/>
      </c>
      <c r="E3656" t="str">
        <f t="shared" si="120"/>
        <v>little sadie</v>
      </c>
      <c r="F3656" t="s">
        <v>6361</v>
      </c>
      <c r="G3656" t="str">
        <f>_xlfn.IFNA(VLOOKUP(F3656,songs!$B$1:$C$1539, 2, FALSE),"")</f>
        <v>Little Sadie</v>
      </c>
      <c r="H3656" t="s">
        <v>2586</v>
      </c>
    </row>
    <row r="3657" spans="1:8" x14ac:dyDescent="0.25">
      <c r="A3657">
        <v>3657</v>
      </c>
      <c r="B3657" t="s">
        <v>4626</v>
      </c>
      <c r="C3657" t="s">
        <v>4627</v>
      </c>
      <c r="D3657" t="str">
        <f t="shared" ref="D3657:D3720" si="121">IF(RIGHT(TRIM(C3657),2)="-&gt;","&gt;",IF(RIGHT(TRIM(C3657),1)="&gt;","&gt;",""))</f>
        <v/>
      </c>
      <c r="E3657" t="str">
        <f t="shared" si="120"/>
        <v>dark hollow (alternate live version)</v>
      </c>
      <c r="F3657" t="s">
        <v>5427</v>
      </c>
      <c r="G3657" t="str">
        <f>_xlfn.IFNA(VLOOKUP(F3657,songs!$B$1:$C$1539, 2, FALSE),"")</f>
        <v>Dark Hollow</v>
      </c>
      <c r="H3657" t="s">
        <v>7867</v>
      </c>
    </row>
    <row r="3658" spans="1:8" x14ac:dyDescent="0.25">
      <c r="A3658">
        <v>3658</v>
      </c>
      <c r="B3658" t="s">
        <v>4628</v>
      </c>
      <c r="C3658" t="s">
        <v>4629</v>
      </c>
      <c r="D3658" t="str">
        <f t="shared" si="121"/>
        <v/>
      </c>
      <c r="E3658" t="str">
        <f t="shared" si="120"/>
        <v>jack-a-roe (alternate live version)</v>
      </c>
      <c r="F3658" t="s">
        <v>6162</v>
      </c>
      <c r="G3658" t="str">
        <f>_xlfn.IFNA(VLOOKUP(F3658,songs!$B$1:$C$1539, 2, FALSE),"")</f>
        <v>Jack-A-Roe</v>
      </c>
      <c r="H3658" t="s">
        <v>7867</v>
      </c>
    </row>
    <row r="3659" spans="1:8" x14ac:dyDescent="0.25">
      <c r="A3659">
        <v>3659</v>
      </c>
      <c r="B3659" t="s">
        <v>4630</v>
      </c>
      <c r="C3659" t="s">
        <v>4631</v>
      </c>
      <c r="D3659" t="str">
        <f t="shared" si="121"/>
        <v/>
      </c>
      <c r="E3659" t="str">
        <f t="shared" si="120"/>
        <v>cassidy (alternate live version)</v>
      </c>
      <c r="F3659" t="s">
        <v>5291</v>
      </c>
      <c r="G3659" t="str">
        <f>_xlfn.IFNA(VLOOKUP(F3659,songs!$B$1:$C$1539, 2, FALSE),"")</f>
        <v>Cassidy</v>
      </c>
      <c r="H3659" t="s">
        <v>7867</v>
      </c>
    </row>
    <row r="3660" spans="1:8" x14ac:dyDescent="0.25">
      <c r="A3660">
        <v>3660</v>
      </c>
      <c r="B3660" t="s">
        <v>4632</v>
      </c>
      <c r="C3660" t="s">
        <v>4633</v>
      </c>
      <c r="D3660" t="str">
        <f t="shared" si="121"/>
        <v/>
      </c>
      <c r="E3660" t="str">
        <f t="shared" si="120"/>
        <v>china doll (alternate live version)</v>
      </c>
      <c r="F3660" t="s">
        <v>5320</v>
      </c>
      <c r="G3660" t="str">
        <f>_xlfn.IFNA(VLOOKUP(F3660,songs!$B$1:$C$1539, 2, FALSE),"")</f>
        <v>China Doll</v>
      </c>
      <c r="H3660" t="s">
        <v>7867</v>
      </c>
    </row>
    <row r="3661" spans="1:8" x14ac:dyDescent="0.25">
      <c r="A3661">
        <v>3661</v>
      </c>
      <c r="B3661" t="s">
        <v>4634</v>
      </c>
      <c r="C3661" t="s">
        <v>4635</v>
      </c>
      <c r="D3661" t="str">
        <f t="shared" si="121"/>
        <v/>
      </c>
      <c r="E3661" t="str">
        <f t="shared" si="120"/>
        <v>monkey and the engineer (alternate live version)</v>
      </c>
      <c r="F3661" t="s">
        <v>6544</v>
      </c>
      <c r="G3661" t="str">
        <f>_xlfn.IFNA(VLOOKUP(F3661,songs!$B$1:$C$1539, 2, FALSE),"")</f>
        <v>Monkey And The Engineer</v>
      </c>
      <c r="H3661" t="s">
        <v>7867</v>
      </c>
    </row>
    <row r="3662" spans="1:8" x14ac:dyDescent="0.25">
      <c r="A3662">
        <v>3662</v>
      </c>
      <c r="B3662" t="s">
        <v>4636</v>
      </c>
      <c r="C3662" t="s">
        <v>4637</v>
      </c>
      <c r="D3662" t="str">
        <f t="shared" si="121"/>
        <v/>
      </c>
      <c r="E3662" t="str">
        <f t="shared" si="120"/>
        <v>oh babe it ain't no lie (alternate live version)</v>
      </c>
      <c r="F3662" t="s">
        <v>6662</v>
      </c>
      <c r="G3662" t="str">
        <f>_xlfn.IFNA(VLOOKUP(F3662,songs!$B$1:$C$1539, 2, FALSE),"")</f>
        <v>Oh Babe, It Ain't No Lie</v>
      </c>
      <c r="H3662" t="s">
        <v>7867</v>
      </c>
    </row>
    <row r="3663" spans="1:8" x14ac:dyDescent="0.25">
      <c r="A3663">
        <v>3663</v>
      </c>
      <c r="B3663" t="s">
        <v>4638</v>
      </c>
      <c r="C3663" t="s">
        <v>4639</v>
      </c>
      <c r="D3663" t="str">
        <f t="shared" si="121"/>
        <v/>
      </c>
      <c r="E3663" t="str">
        <f t="shared" si="120"/>
        <v>ripple (alternate live version)</v>
      </c>
      <c r="F3663" t="s">
        <v>6864</v>
      </c>
      <c r="G3663" t="str">
        <f>_xlfn.IFNA(VLOOKUP(F3663,songs!$B$1:$C$1539, 2, FALSE),"")</f>
        <v>Ripple</v>
      </c>
      <c r="H3663" t="s">
        <v>7867</v>
      </c>
    </row>
    <row r="3664" spans="1:8" x14ac:dyDescent="0.25">
      <c r="A3664">
        <v>3665</v>
      </c>
      <c r="B3664" t="s">
        <v>4642</v>
      </c>
      <c r="C3664" t="s">
        <v>4643</v>
      </c>
      <c r="D3664" t="str">
        <f t="shared" si="121"/>
        <v/>
      </c>
      <c r="E3664" t="str">
        <f t="shared" si="120"/>
        <v>deep elem blues (alternate live version)</v>
      </c>
      <c r="F3664" t="s">
        <v>5471</v>
      </c>
      <c r="G3664" t="str">
        <f>_xlfn.IFNA(VLOOKUP(F3664,songs!$B$1:$C$1539, 2, FALSE),"")</f>
        <v>Deep Elem Blues</v>
      </c>
      <c r="H3664" t="s">
        <v>7867</v>
      </c>
    </row>
    <row r="3665" spans="1:8" x14ac:dyDescent="0.25">
      <c r="A3665">
        <v>3664</v>
      </c>
      <c r="B3665" t="s">
        <v>4640</v>
      </c>
      <c r="C3665" t="s">
        <v>4641</v>
      </c>
      <c r="D3665" t="str">
        <f t="shared" si="121"/>
        <v/>
      </c>
      <c r="E3665" t="str">
        <f t="shared" si="120"/>
        <v>tom dooley</v>
      </c>
      <c r="F3665" t="s">
        <v>7408</v>
      </c>
      <c r="G3665" t="str">
        <f>_xlfn.IFNA(VLOOKUP(F3665,songs!$B$1:$C$1539, 2, FALSE),"")</f>
        <v>Tom Dooley</v>
      </c>
      <c r="H3665" t="s">
        <v>4641</v>
      </c>
    </row>
    <row r="3666" spans="1:8" x14ac:dyDescent="0.25">
      <c r="A3666">
        <v>3666</v>
      </c>
      <c r="B3666" t="s">
        <v>4644</v>
      </c>
      <c r="C3666" t="s">
        <v>4344</v>
      </c>
      <c r="D3666" t="str">
        <f t="shared" si="121"/>
        <v/>
      </c>
      <c r="E3666" t="str">
        <f t="shared" si="120"/>
        <v>the golden road (to unlimited devotion)</v>
      </c>
      <c r="F3666" t="s">
        <v>5800</v>
      </c>
      <c r="G3666" t="str">
        <f>_xlfn.IFNA(VLOOKUP(F3666,songs!$B$1:$C$1539, 2, FALSE),"")</f>
        <v>Golden Road To Unlimited Devotion</v>
      </c>
      <c r="H3666" t="s">
        <v>7867</v>
      </c>
    </row>
    <row r="3667" spans="1:8" x14ac:dyDescent="0.25">
      <c r="A3667">
        <v>3667</v>
      </c>
      <c r="B3667" t="s">
        <v>4645</v>
      </c>
      <c r="C3667" t="s">
        <v>4646</v>
      </c>
      <c r="D3667" t="str">
        <f t="shared" si="121"/>
        <v/>
      </c>
      <c r="E3667" t="str">
        <f t="shared" si="120"/>
        <v>beat it on down the line 03-18-67</v>
      </c>
      <c r="F3667" t="s">
        <v>431</v>
      </c>
      <c r="G3667" t="str">
        <f>_xlfn.IFNA(VLOOKUP(F3667,songs!$B$1:$C$1539, 2, FALSE),"")</f>
        <v>Beat It On Down The Line</v>
      </c>
      <c r="H3667" t="s">
        <v>7867</v>
      </c>
    </row>
    <row r="3668" spans="1:8" x14ac:dyDescent="0.25">
      <c r="A3668">
        <v>3668</v>
      </c>
      <c r="B3668" t="s">
        <v>4647</v>
      </c>
      <c r="C3668" t="s">
        <v>4648</v>
      </c>
      <c r="D3668" t="str">
        <f t="shared" si="121"/>
        <v/>
      </c>
      <c r="E3668" t="str">
        <f t="shared" si="120"/>
        <v>good morning, little school girl 11-29-66</v>
      </c>
      <c r="F3668" t="s">
        <v>5811</v>
      </c>
      <c r="G3668" t="str">
        <f>_xlfn.IFNA(VLOOKUP(F3668,songs!$B$1:$C$1539, 2, FALSE),"")</f>
        <v>Good Morning Little Schoolgirl</v>
      </c>
      <c r="H3668" t="s">
        <v>7867</v>
      </c>
    </row>
    <row r="3669" spans="1:8" x14ac:dyDescent="0.25">
      <c r="A3669">
        <v>3669</v>
      </c>
      <c r="B3669" t="s">
        <v>4649</v>
      </c>
      <c r="C3669" t="s">
        <v>4650</v>
      </c>
      <c r="D3669" t="str">
        <f t="shared" si="121"/>
        <v/>
      </c>
      <c r="E3669" t="str">
        <f t="shared" si="120"/>
        <v>cold rain and snow 03-18-67</v>
      </c>
      <c r="F3669" t="s">
        <v>5347</v>
      </c>
      <c r="G3669" t="str">
        <f>_xlfn.IFNA(VLOOKUP(F3669,songs!$B$1:$C$1539, 2, FALSE),"")</f>
        <v>Cold Rain And Snow</v>
      </c>
      <c r="H3669" t="s">
        <v>7867</v>
      </c>
    </row>
    <row r="3670" spans="1:8" x14ac:dyDescent="0.25">
      <c r="A3670">
        <v>3670</v>
      </c>
      <c r="B3670" t="s">
        <v>4651</v>
      </c>
      <c r="C3670" t="s">
        <v>4652</v>
      </c>
      <c r="D3670" t="str">
        <f t="shared" si="121"/>
        <v/>
      </c>
      <c r="E3670" t="str">
        <f t="shared" si="120"/>
        <v>sittin' on top of the world 05-19-66</v>
      </c>
      <c r="F3670" t="s">
        <v>7024</v>
      </c>
      <c r="G3670" t="str">
        <f>_xlfn.IFNA(VLOOKUP(F3670,songs!$B$1:$C$1539, 2, FALSE),"")</f>
        <v>Sitting On Top Of The World</v>
      </c>
      <c r="H3670" t="s">
        <v>7867</v>
      </c>
    </row>
    <row r="3671" spans="1:8" x14ac:dyDescent="0.25">
      <c r="A3671">
        <v>3671</v>
      </c>
      <c r="B3671" t="s">
        <v>4653</v>
      </c>
      <c r="C3671" t="s">
        <v>4654</v>
      </c>
      <c r="D3671" t="str">
        <f t="shared" si="121"/>
        <v/>
      </c>
      <c r="E3671" t="str">
        <f t="shared" si="120"/>
        <v>cream puff war 11-19-66</v>
      </c>
      <c r="F3671" t="s">
        <v>5395</v>
      </c>
      <c r="G3671" t="str">
        <f>_xlfn.IFNA(VLOOKUP(F3671,songs!$B$1:$C$1539, 2, FALSE),"")</f>
        <v>Cream Puff War</v>
      </c>
      <c r="H3671" t="s">
        <v>7867</v>
      </c>
    </row>
    <row r="3672" spans="1:8" x14ac:dyDescent="0.25">
      <c r="A3672">
        <v>3672</v>
      </c>
      <c r="B3672" t="s">
        <v>4655</v>
      </c>
      <c r="C3672" t="s">
        <v>4656</v>
      </c>
      <c r="D3672" t="str">
        <f t="shared" si="121"/>
        <v/>
      </c>
      <c r="E3672" t="str">
        <f t="shared" si="120"/>
        <v>morning dew 10-22-67</v>
      </c>
      <c r="F3672" t="s">
        <v>6555</v>
      </c>
      <c r="G3672" t="str">
        <f>_xlfn.IFNA(VLOOKUP(F3672,songs!$B$1:$C$1539, 2, FALSE),"")</f>
        <v>Morning Dew</v>
      </c>
      <c r="H3672" t="s">
        <v>7867</v>
      </c>
    </row>
    <row r="3673" spans="1:8" x14ac:dyDescent="0.25">
      <c r="A3673">
        <v>3673</v>
      </c>
      <c r="B3673" t="s">
        <v>4657</v>
      </c>
      <c r="C3673" t="s">
        <v>4658</v>
      </c>
      <c r="D3673" t="str">
        <f t="shared" si="121"/>
        <v/>
      </c>
      <c r="E3673" t="str">
        <f t="shared" si="120"/>
        <v>new, new minglewood blues 07-30-67</v>
      </c>
      <c r="F3673" t="s">
        <v>7869</v>
      </c>
      <c r="G3673" t="str">
        <f>_xlfn.IFNA(VLOOKUP(F3673,songs!$B$1:$C$1539, 2, FALSE),"")</f>
        <v>Minglewood Blues</v>
      </c>
      <c r="H3673" t="s">
        <v>7867</v>
      </c>
    </row>
    <row r="3674" spans="1:8" x14ac:dyDescent="0.25">
      <c r="A3674">
        <v>3674</v>
      </c>
      <c r="B3674" t="s">
        <v>4659</v>
      </c>
      <c r="C3674" t="s">
        <v>4660</v>
      </c>
      <c r="D3674" t="str">
        <f t="shared" si="121"/>
        <v/>
      </c>
      <c r="E3674" t="str">
        <f t="shared" si="120"/>
        <v>viola lee blues 07-03-66 (except the bill graham intro)</v>
      </c>
      <c r="F3674" t="s">
        <v>7595</v>
      </c>
      <c r="G3674" t="str">
        <f>_xlfn.IFNA(VLOOKUP(F3674,songs!$B$1:$C$1539, 2, FALSE),"")</f>
        <v>Viola Lee Blues</v>
      </c>
      <c r="H3674" t="s">
        <v>7867</v>
      </c>
    </row>
    <row r="3675" spans="1:8" x14ac:dyDescent="0.25">
      <c r="A3675">
        <v>3675</v>
      </c>
      <c r="B3675" t="s">
        <v>4661</v>
      </c>
      <c r="C3675" t="s">
        <v>4662</v>
      </c>
      <c r="D3675" t="str">
        <f t="shared" si="121"/>
        <v/>
      </c>
      <c r="E3675" t="str">
        <f t="shared" si="120"/>
        <v>that's it for the other one 11-01-68</v>
      </c>
      <c r="F3675" t="s">
        <v>7325</v>
      </c>
      <c r="G3675" t="str">
        <f>_xlfn.IFNA(VLOOKUP(F3675,songs!$B$1:$C$1539, 2, FALSE),"")</f>
        <v>The Other One</v>
      </c>
      <c r="H3675" t="s">
        <v>7867</v>
      </c>
    </row>
    <row r="3676" spans="1:8" x14ac:dyDescent="0.25">
      <c r="A3676">
        <v>3676</v>
      </c>
      <c r="B3676" t="s">
        <v>4663</v>
      </c>
      <c r="C3676" t="s">
        <v>4664</v>
      </c>
      <c r="D3676" t="str">
        <f t="shared" si="121"/>
        <v/>
      </c>
      <c r="E3676" t="str">
        <f t="shared" si="120"/>
        <v>new potato caboose 08-22-68</v>
      </c>
      <c r="F3676" t="s">
        <v>6621</v>
      </c>
      <c r="G3676" t="str">
        <f>_xlfn.IFNA(VLOOKUP(F3676,songs!$B$1:$C$1539, 2, FALSE),"")</f>
        <v>New Potato Caboose</v>
      </c>
      <c r="H3676" t="s">
        <v>7867</v>
      </c>
    </row>
    <row r="3677" spans="1:8" x14ac:dyDescent="0.25">
      <c r="A3677">
        <v>3677</v>
      </c>
      <c r="B3677" t="s">
        <v>4665</v>
      </c>
      <c r="C3677" t="s">
        <v>4666</v>
      </c>
      <c r="D3677" t="str">
        <f t="shared" si="121"/>
        <v/>
      </c>
      <c r="E3677" t="str">
        <f t="shared" si="120"/>
        <v>born cross-eyed 01-17-68</v>
      </c>
      <c r="F3677" t="s">
        <v>5228</v>
      </c>
      <c r="G3677" t="str">
        <f>_xlfn.IFNA(VLOOKUP(F3677,songs!$B$1:$C$1539, 2, FALSE),"")</f>
        <v>Born Cross-Eyed</v>
      </c>
      <c r="H3677" t="s">
        <v>7867</v>
      </c>
    </row>
    <row r="3678" spans="1:8" x14ac:dyDescent="0.25">
      <c r="A3678">
        <v>3678</v>
      </c>
      <c r="B3678" t="s">
        <v>4667</v>
      </c>
      <c r="C3678" t="s">
        <v>4668</v>
      </c>
      <c r="D3678" t="str">
        <f t="shared" si="121"/>
        <v/>
      </c>
      <c r="E3678" t="str">
        <f t="shared" si="120"/>
        <v>alligator 05-xx-68</v>
      </c>
      <c r="F3678" t="s">
        <v>5072</v>
      </c>
      <c r="G3678" t="str">
        <f>_xlfn.IFNA(VLOOKUP(F3678,songs!$B$1:$C$1539, 2, FALSE),"")</f>
        <v>Alligator</v>
      </c>
      <c r="H3678" t="s">
        <v>7867</v>
      </c>
    </row>
    <row r="3679" spans="1:8" x14ac:dyDescent="0.25">
      <c r="A3679">
        <v>3679</v>
      </c>
      <c r="B3679" t="s">
        <v>4669</v>
      </c>
      <c r="C3679" t="s">
        <v>4670</v>
      </c>
      <c r="D3679" t="str">
        <f t="shared" si="121"/>
        <v/>
      </c>
      <c r="E3679" t="str">
        <f t="shared" si="120"/>
        <v>caution (do not stop on tracks) 05-xx-68</v>
      </c>
      <c r="F3679" t="s">
        <v>5300</v>
      </c>
      <c r="G3679" t="str">
        <f>_xlfn.IFNA(VLOOKUP(F3679,songs!$B$1:$C$1539, 2, FALSE),"")</f>
        <v>Caution (Do Not Stop On Tracks)</v>
      </c>
      <c r="H3679" t="s">
        <v>7867</v>
      </c>
    </row>
    <row r="3680" spans="1:8" x14ac:dyDescent="0.25">
      <c r="A3680">
        <v>3680</v>
      </c>
      <c r="B3680" t="s">
        <v>4671</v>
      </c>
      <c r="C3680" t="s">
        <v>4672</v>
      </c>
      <c r="D3680" t="str">
        <f t="shared" si="121"/>
        <v/>
      </c>
      <c r="E3680" t="str">
        <f t="shared" si="120"/>
        <v>feedback 11-01-68</v>
      </c>
      <c r="F3680" t="s">
        <v>5657</v>
      </c>
      <c r="G3680" t="str">
        <f>_xlfn.IFNA(VLOOKUP(F3680,songs!$B$1:$C$1539, 2, FALSE),"")</f>
        <v>Feedback</v>
      </c>
      <c r="H3680" t="s">
        <v>7867</v>
      </c>
    </row>
    <row r="3681" spans="1:8" x14ac:dyDescent="0.25">
      <c r="A3681">
        <v>3681</v>
      </c>
      <c r="B3681" t="s">
        <v>4673</v>
      </c>
      <c r="C3681" t="s">
        <v>4674</v>
      </c>
      <c r="D3681" t="str">
        <f t="shared" si="121"/>
        <v/>
      </c>
      <c r="E3681" t="str">
        <f t="shared" si="120"/>
        <v>st. stephen 68-10-12</v>
      </c>
      <c r="F3681" t="s">
        <v>6910</v>
      </c>
      <c r="G3681" t="str">
        <f>_xlfn.IFNA(VLOOKUP(F3681,songs!$B$1:$C$1539, 2, FALSE),"")</f>
        <v>Saint Stephen</v>
      </c>
      <c r="H3681" t="s">
        <v>7867</v>
      </c>
    </row>
    <row r="3682" spans="1:8" x14ac:dyDescent="0.25">
      <c r="A3682">
        <v>3682</v>
      </c>
      <c r="B3682" t="s">
        <v>4675</v>
      </c>
      <c r="C3682" t="s">
        <v>4676</v>
      </c>
      <c r="D3682" t="str">
        <f t="shared" si="121"/>
        <v/>
      </c>
      <c r="E3682" t="str">
        <f t="shared" si="120"/>
        <v>dupree's diamond blues 69-02-15</v>
      </c>
      <c r="F3682" t="s">
        <v>5573</v>
      </c>
      <c r="G3682" t="str">
        <f>_xlfn.IFNA(VLOOKUP(F3682,songs!$B$1:$C$1539, 2, FALSE),"")</f>
        <v>Dupree's Diamond Blues</v>
      </c>
      <c r="H3682" t="s">
        <v>7867</v>
      </c>
    </row>
    <row r="3683" spans="1:8" x14ac:dyDescent="0.25">
      <c r="A3683">
        <v>3683</v>
      </c>
      <c r="B3683" t="s">
        <v>4677</v>
      </c>
      <c r="C3683" t="s">
        <v>4678</v>
      </c>
      <c r="D3683" t="str">
        <f t="shared" si="121"/>
        <v/>
      </c>
      <c r="E3683" t="str">
        <f t="shared" si="120"/>
        <v>rosemary 68-12-07</v>
      </c>
      <c r="F3683" t="s">
        <v>6890</v>
      </c>
      <c r="G3683" t="str">
        <f>_xlfn.IFNA(VLOOKUP(F3683,songs!$B$1:$C$1539, 2, FALSE),"")</f>
        <v>Rosemary</v>
      </c>
      <c r="H3683" t="s">
        <v>7867</v>
      </c>
    </row>
    <row r="3684" spans="1:8" x14ac:dyDescent="0.25">
      <c r="A3684">
        <v>3684</v>
      </c>
      <c r="B3684" t="s">
        <v>4679</v>
      </c>
      <c r="C3684" t="s">
        <v>4680</v>
      </c>
      <c r="D3684" t="str">
        <f t="shared" si="121"/>
        <v/>
      </c>
      <c r="E3684" t="str">
        <f t="shared" si="120"/>
        <v>doin' that rag 69-06-07</v>
      </c>
      <c r="F3684" t="s">
        <v>5508</v>
      </c>
      <c r="G3684" t="str">
        <f>_xlfn.IFNA(VLOOKUP(F3684,songs!$B$1:$C$1539, 2, FALSE),"")</f>
        <v>Doin' That Rag</v>
      </c>
      <c r="H3684" t="s">
        <v>7867</v>
      </c>
    </row>
    <row r="3685" spans="1:8" x14ac:dyDescent="0.25">
      <c r="A3685">
        <v>3685</v>
      </c>
      <c r="B3685" t="s">
        <v>4681</v>
      </c>
      <c r="C3685" t="s">
        <v>4682</v>
      </c>
      <c r="D3685" t="str">
        <f t="shared" si="121"/>
        <v/>
      </c>
      <c r="E3685" t="str">
        <f t="shared" si="120"/>
        <v>mountains of the moon 69-02-15</v>
      </c>
      <c r="F3685" t="s">
        <v>6568</v>
      </c>
      <c r="G3685" t="str">
        <f>_xlfn.IFNA(VLOOKUP(F3685,songs!$B$1:$C$1539, 2, FALSE),"")</f>
        <v>Mountains Of The Moon</v>
      </c>
      <c r="H3685" t="s">
        <v>7867</v>
      </c>
    </row>
    <row r="3686" spans="1:8" x14ac:dyDescent="0.25">
      <c r="A3686">
        <v>3686</v>
      </c>
      <c r="B3686" t="s">
        <v>4683</v>
      </c>
      <c r="C3686" t="s">
        <v>4684</v>
      </c>
      <c r="D3686" t="str">
        <f t="shared" si="121"/>
        <v/>
      </c>
      <c r="E3686" t="str">
        <f t="shared" si="120"/>
        <v>china cat sunflower 69-04-05</v>
      </c>
      <c r="F3686" t="s">
        <v>5319</v>
      </c>
      <c r="G3686" t="str">
        <f>_xlfn.IFNA(VLOOKUP(F3686,songs!$B$1:$C$1539, 2, FALSE),"")</f>
        <v>China Cat Sunflower</v>
      </c>
      <c r="H3686" t="s">
        <v>7867</v>
      </c>
    </row>
    <row r="3687" spans="1:8" x14ac:dyDescent="0.25">
      <c r="A3687">
        <v>3687</v>
      </c>
      <c r="B3687" t="s">
        <v>4685</v>
      </c>
      <c r="C3687" t="s">
        <v>4686</v>
      </c>
      <c r="D3687" t="str">
        <f t="shared" si="121"/>
        <v/>
      </c>
      <c r="E3687" t="str">
        <f t="shared" si="120"/>
        <v>what's become of the baby 69-04-26</v>
      </c>
      <c r="F3687" t="s">
        <v>7681</v>
      </c>
      <c r="G3687" t="str">
        <f>_xlfn.IFNA(VLOOKUP(F3687,songs!$B$1:$C$1539, 2, FALSE),"")</f>
        <v>What's Become Of The Baby</v>
      </c>
      <c r="H3687" t="s">
        <v>7867</v>
      </c>
    </row>
    <row r="3688" spans="1:8" x14ac:dyDescent="0.25">
      <c r="A3688">
        <v>3688</v>
      </c>
      <c r="B3688" t="s">
        <v>4687</v>
      </c>
      <c r="C3688" t="s">
        <v>4688</v>
      </c>
      <c r="D3688" t="str">
        <f t="shared" si="121"/>
        <v/>
      </c>
      <c r="E3688" t="str">
        <f t="shared" si="120"/>
        <v>cosmic charlie 69-06-05</v>
      </c>
      <c r="F3688" t="s">
        <v>5373</v>
      </c>
      <c r="G3688" t="str">
        <f>_xlfn.IFNA(VLOOKUP(F3688,songs!$B$1:$C$1539, 2, FALSE),"")</f>
        <v>Cosmic Charlie</v>
      </c>
      <c r="H3688" t="s">
        <v>7867</v>
      </c>
    </row>
    <row r="3689" spans="1:8" x14ac:dyDescent="0.25">
      <c r="A3689">
        <v>3689</v>
      </c>
      <c r="B3689" t="s">
        <v>4689</v>
      </c>
      <c r="C3689" t="s">
        <v>4690</v>
      </c>
      <c r="D3689" t="str">
        <f t="shared" si="121"/>
        <v/>
      </c>
      <c r="E3689" t="str">
        <f t="shared" si="120"/>
        <v>uncle john's band 06-06-70</v>
      </c>
      <c r="F3689" t="s">
        <v>7466</v>
      </c>
      <c r="G3689" t="str">
        <f>_xlfn.IFNA(VLOOKUP(F3689,songs!$B$1:$C$1539, 2, FALSE),"")</f>
        <v>Uncle John's Band</v>
      </c>
      <c r="H3689" t="s">
        <v>7867</v>
      </c>
    </row>
    <row r="3690" spans="1:8" x14ac:dyDescent="0.25">
      <c r="A3690">
        <v>3690</v>
      </c>
      <c r="B3690" t="s">
        <v>4691</v>
      </c>
      <c r="C3690" t="s">
        <v>4692</v>
      </c>
      <c r="D3690" t="str">
        <f t="shared" si="121"/>
        <v/>
      </c>
      <c r="E3690" t="str">
        <f t="shared" si="120"/>
        <v>high time 02-11-70</v>
      </c>
      <c r="F3690" t="s">
        <v>5920</v>
      </c>
      <c r="G3690" t="str">
        <f>_xlfn.IFNA(VLOOKUP(F3690,songs!$B$1:$C$1539, 2, FALSE),"")</f>
        <v>High Time</v>
      </c>
      <c r="H3690" t="s">
        <v>7867</v>
      </c>
    </row>
    <row r="3691" spans="1:8" x14ac:dyDescent="0.25">
      <c r="A3691">
        <v>3691</v>
      </c>
      <c r="B3691" t="s">
        <v>4693</v>
      </c>
      <c r="C3691" t="s">
        <v>4694</v>
      </c>
      <c r="D3691" t="str">
        <f t="shared" si="121"/>
        <v/>
      </c>
      <c r="E3691" t="str">
        <f t="shared" si="120"/>
        <v>dire wolf 01-16-70</v>
      </c>
      <c r="F3691" t="s">
        <v>5497</v>
      </c>
      <c r="G3691" t="str">
        <f>_xlfn.IFNA(VLOOKUP(F3691,songs!$B$1:$C$1539, 2, FALSE),"")</f>
        <v>Dire Wolf</v>
      </c>
      <c r="H3691" t="s">
        <v>7867</v>
      </c>
    </row>
    <row r="3692" spans="1:8" x14ac:dyDescent="0.25">
      <c r="A3692">
        <v>3692</v>
      </c>
      <c r="B3692" t="s">
        <v>4695</v>
      </c>
      <c r="C3692" t="s">
        <v>4696</v>
      </c>
      <c r="D3692" t="str">
        <f t="shared" si="121"/>
        <v/>
      </c>
      <c r="E3692" t="str">
        <f t="shared" si="120"/>
        <v>new speedway boogie 06-07-70</v>
      </c>
      <c r="F3692" t="s">
        <v>6624</v>
      </c>
      <c r="G3692" t="str">
        <f>_xlfn.IFNA(VLOOKUP(F3692,songs!$B$1:$C$1539, 2, FALSE),"")</f>
        <v>New Speedway Boogie</v>
      </c>
      <c r="H3692" t="s">
        <v>7867</v>
      </c>
    </row>
    <row r="3693" spans="1:8" x14ac:dyDescent="0.25">
      <c r="A3693">
        <v>3693</v>
      </c>
      <c r="B3693" t="s">
        <v>4697</v>
      </c>
      <c r="C3693" t="s">
        <v>4698</v>
      </c>
      <c r="D3693" t="str">
        <f t="shared" si="121"/>
        <v/>
      </c>
      <c r="E3693" t="str">
        <f t="shared" si="120"/>
        <v>cumberland blues 01-02-70b</v>
      </c>
      <c r="F3693" t="s">
        <v>5411</v>
      </c>
      <c r="G3693" t="str">
        <f>_xlfn.IFNA(VLOOKUP(F3693,songs!$B$1:$C$1539, 2, FALSE),"")</f>
        <v>Cumberland Blues</v>
      </c>
      <c r="H3693" t="s">
        <v>7867</v>
      </c>
    </row>
    <row r="3694" spans="1:8" x14ac:dyDescent="0.25">
      <c r="A3694">
        <v>3694</v>
      </c>
      <c r="B3694" t="s">
        <v>4699</v>
      </c>
      <c r="C3694" t="s">
        <v>4700</v>
      </c>
      <c r="D3694" t="str">
        <f t="shared" si="121"/>
        <v/>
      </c>
      <c r="E3694" t="str">
        <f t="shared" si="120"/>
        <v>black peter 01-03-70</v>
      </c>
      <c r="F3694" t="s">
        <v>5190</v>
      </c>
      <c r="G3694" t="str">
        <f>_xlfn.IFNA(VLOOKUP(F3694,songs!$B$1:$C$1539, 2, FALSE),"")</f>
        <v>Black Peter</v>
      </c>
      <c r="H3694" t="s">
        <v>7867</v>
      </c>
    </row>
    <row r="3695" spans="1:8" x14ac:dyDescent="0.25">
      <c r="A3695">
        <v>3695</v>
      </c>
      <c r="B3695" t="s">
        <v>4701</v>
      </c>
      <c r="C3695" t="s">
        <v>4702</v>
      </c>
      <c r="D3695" t="str">
        <f t="shared" si="121"/>
        <v/>
      </c>
      <c r="E3695" t="str">
        <f t="shared" si="120"/>
        <v>easy wind 02-27-70</v>
      </c>
      <c r="F3695" t="s">
        <v>5587</v>
      </c>
      <c r="G3695" t="str">
        <f>_xlfn.IFNA(VLOOKUP(F3695,songs!$B$1:$C$1539, 2, FALSE),"")</f>
        <v>Easy Wind</v>
      </c>
      <c r="H3695" t="s">
        <v>7867</v>
      </c>
    </row>
    <row r="3696" spans="1:8" x14ac:dyDescent="0.25">
      <c r="A3696">
        <v>3697</v>
      </c>
      <c r="B3696" t="s">
        <v>4704</v>
      </c>
      <c r="C3696" t="s">
        <v>4705</v>
      </c>
      <c r="D3696" t="str">
        <f t="shared" si="121"/>
        <v/>
      </c>
      <c r="E3696" t="str">
        <f t="shared" si="120"/>
        <v>box of rain 09-17-70</v>
      </c>
      <c r="F3696" t="s">
        <v>5237</v>
      </c>
      <c r="G3696" t="str">
        <f>_xlfn.IFNA(VLOOKUP(F3696,songs!$B$1:$C$1539, 2, FALSE),"")</f>
        <v>Box Of Rain</v>
      </c>
      <c r="H3696" t="s">
        <v>7867</v>
      </c>
    </row>
    <row r="3697" spans="1:8" x14ac:dyDescent="0.25">
      <c r="A3697">
        <v>3696</v>
      </c>
      <c r="B3697" t="s">
        <v>4703</v>
      </c>
      <c r="C3697" t="s">
        <v>81</v>
      </c>
      <c r="D3697" t="str">
        <f t="shared" si="121"/>
        <v/>
      </c>
      <c r="E3697" t="str">
        <f t="shared" si="120"/>
        <v>casey jones</v>
      </c>
      <c r="F3697" t="s">
        <v>5290</v>
      </c>
      <c r="G3697" t="str">
        <f>_xlfn.IFNA(VLOOKUP(F3697,songs!$B$1:$C$1539, 2, FALSE),"")</f>
        <v>Casey Jones</v>
      </c>
      <c r="H3697" t="s">
        <v>81</v>
      </c>
    </row>
    <row r="3698" spans="1:8" x14ac:dyDescent="0.25">
      <c r="A3698">
        <v>3698</v>
      </c>
      <c r="B3698" t="s">
        <v>4706</v>
      </c>
      <c r="C3698" t="s">
        <v>4707</v>
      </c>
      <c r="D3698" t="str">
        <f t="shared" si="121"/>
        <v/>
      </c>
      <c r="E3698" t="str">
        <f t="shared" si="120"/>
        <v>friend of the devil 11-08-70</v>
      </c>
      <c r="F3698" t="s">
        <v>5721</v>
      </c>
      <c r="G3698" t="str">
        <f>_xlfn.IFNA(VLOOKUP(F3698,songs!$B$1:$C$1539, 2, FALSE),"")</f>
        <v>Friend Of The Devil</v>
      </c>
      <c r="H3698" t="s">
        <v>7867</v>
      </c>
    </row>
    <row r="3699" spans="1:8" x14ac:dyDescent="0.25">
      <c r="A3699">
        <v>3699</v>
      </c>
      <c r="B3699" t="s">
        <v>4708</v>
      </c>
      <c r="C3699" t="s">
        <v>4709</v>
      </c>
      <c r="D3699" t="str">
        <f t="shared" si="121"/>
        <v/>
      </c>
      <c r="E3699" t="str">
        <f t="shared" si="120"/>
        <v>sugar magnolia (2) 06-07-70</v>
      </c>
      <c r="F3699" t="s">
        <v>7150</v>
      </c>
      <c r="G3699" t="str">
        <f>_xlfn.IFNA(VLOOKUP(F3699,songs!$B$1:$C$1539, 2, FALSE),"")</f>
        <v>Sugar Magnolia</v>
      </c>
      <c r="H3699" t="s">
        <v>7867</v>
      </c>
    </row>
    <row r="3700" spans="1:8" x14ac:dyDescent="0.25">
      <c r="A3700">
        <v>3700</v>
      </c>
      <c r="B3700" t="s">
        <v>4710</v>
      </c>
      <c r="C3700" t="s">
        <v>4711</v>
      </c>
      <c r="D3700" t="str">
        <f t="shared" si="121"/>
        <v/>
      </c>
      <c r="E3700" t="str">
        <f t="shared" si="120"/>
        <v>operator 11-07-70</v>
      </c>
      <c r="F3700" t="s">
        <v>6713</v>
      </c>
      <c r="G3700" t="str">
        <f>_xlfn.IFNA(VLOOKUP(F3700,songs!$B$1:$C$1539, 2, FALSE),"")</f>
        <v>Operator</v>
      </c>
      <c r="H3700" t="s">
        <v>7867</v>
      </c>
    </row>
    <row r="3701" spans="1:8" x14ac:dyDescent="0.25">
      <c r="A3701">
        <v>3701</v>
      </c>
      <c r="B3701" t="s">
        <v>4712</v>
      </c>
      <c r="C3701" t="s">
        <v>4713</v>
      </c>
      <c r="D3701" t="str">
        <f t="shared" si="121"/>
        <v/>
      </c>
      <c r="E3701" t="str">
        <f t="shared" si="120"/>
        <v>candyman 11-06-70</v>
      </c>
      <c r="F3701" t="s">
        <v>5278</v>
      </c>
      <c r="G3701" t="str">
        <f>_xlfn.IFNA(VLOOKUP(F3701,songs!$B$1:$C$1539, 2, FALSE),"")</f>
        <v>Candyman</v>
      </c>
      <c r="H3701" t="s">
        <v>7867</v>
      </c>
    </row>
    <row r="3702" spans="1:8" x14ac:dyDescent="0.25">
      <c r="A3702">
        <v>3702</v>
      </c>
      <c r="B3702" t="s">
        <v>4714</v>
      </c>
      <c r="C3702" t="s">
        <v>4715</v>
      </c>
      <c r="D3702" t="str">
        <f t="shared" si="121"/>
        <v/>
      </c>
      <c r="E3702" t="str">
        <f t="shared" si="120"/>
        <v>ripple 11-08-70</v>
      </c>
      <c r="F3702" t="s">
        <v>6864</v>
      </c>
      <c r="G3702" t="str">
        <f>_xlfn.IFNA(VLOOKUP(F3702,songs!$B$1:$C$1539, 2, FALSE),"")</f>
        <v>Ripple</v>
      </c>
      <c r="H3702" t="s">
        <v>7867</v>
      </c>
    </row>
    <row r="3703" spans="1:8" x14ac:dyDescent="0.25">
      <c r="A3703">
        <v>3703</v>
      </c>
      <c r="B3703" t="s">
        <v>4716</v>
      </c>
      <c r="C3703" t="s">
        <v>4717</v>
      </c>
      <c r="D3703" t="str">
        <f t="shared" si="121"/>
        <v/>
      </c>
      <c r="E3703" t="str">
        <f t="shared" si="120"/>
        <v>brokedown 08-06-71</v>
      </c>
      <c r="F3703" t="s">
        <v>5250</v>
      </c>
      <c r="G3703" t="str">
        <f>_xlfn.IFNA(VLOOKUP(F3703,songs!$B$1:$C$1539, 2, FALSE),"")</f>
        <v>Brokedown Palace</v>
      </c>
      <c r="H3703" t="s">
        <v>7867</v>
      </c>
    </row>
    <row r="3704" spans="1:8" x14ac:dyDescent="0.25">
      <c r="A3704">
        <v>3704</v>
      </c>
      <c r="B3704" t="s">
        <v>4718</v>
      </c>
      <c r="C3704" t="s">
        <v>4719</v>
      </c>
      <c r="D3704" t="str">
        <f t="shared" si="121"/>
        <v/>
      </c>
      <c r="E3704" t="str">
        <f t="shared" si="120"/>
        <v>till the morning comes 10-11-70</v>
      </c>
      <c r="F3704" t="s">
        <v>7392</v>
      </c>
      <c r="G3704" t="str">
        <f>_xlfn.IFNA(VLOOKUP(F3704,songs!$B$1:$C$1539, 2, FALSE),"")</f>
        <v>Till The Morning Comes</v>
      </c>
      <c r="H3704" t="s">
        <v>7867</v>
      </c>
    </row>
    <row r="3705" spans="1:8" x14ac:dyDescent="0.25">
      <c r="A3705">
        <v>3705</v>
      </c>
      <c r="B3705" t="s">
        <v>4720</v>
      </c>
      <c r="C3705" t="s">
        <v>4721</v>
      </c>
      <c r="D3705" t="str">
        <f t="shared" si="121"/>
        <v/>
      </c>
      <c r="E3705" t="str">
        <f t="shared" si="120"/>
        <v>attics of my life 06-24-70</v>
      </c>
      <c r="F3705" t="s">
        <v>5108</v>
      </c>
      <c r="G3705" t="str">
        <f>_xlfn.IFNA(VLOOKUP(F3705,songs!$B$1:$C$1539, 2, FALSE),"")</f>
        <v>Attics Of My Life</v>
      </c>
      <c r="H3705" t="s">
        <v>7867</v>
      </c>
    </row>
    <row r="3706" spans="1:8" x14ac:dyDescent="0.25">
      <c r="A3706">
        <v>3706</v>
      </c>
      <c r="B3706" t="s">
        <v>4722</v>
      </c>
      <c r="C3706" t="s">
        <v>4723</v>
      </c>
      <c r="D3706" t="str">
        <f t="shared" si="121"/>
        <v/>
      </c>
      <c r="E3706" t="str">
        <f t="shared" si="120"/>
        <v>truckin' 08-18-70</v>
      </c>
      <c r="F3706" t="s">
        <v>7436</v>
      </c>
      <c r="G3706" t="str">
        <f>_xlfn.IFNA(VLOOKUP(F3706,songs!$B$1:$C$1539, 2, FALSE),"")</f>
        <v>Truckin'</v>
      </c>
      <c r="H3706" t="s">
        <v>7867</v>
      </c>
    </row>
    <row r="3707" spans="1:8" x14ac:dyDescent="0.25">
      <c r="A3707">
        <v>3287</v>
      </c>
      <c r="B3707" t="s">
        <v>4163</v>
      </c>
      <c r="C3707" t="s">
        <v>4164</v>
      </c>
      <c r="D3707" t="str">
        <f t="shared" si="121"/>
        <v/>
      </c>
      <c r="E3707" t="str">
        <f t="shared" si="120"/>
        <v>unusual occurences in the desert</v>
      </c>
      <c r="F3707" t="s">
        <v>7859</v>
      </c>
      <c r="G3707" t="str">
        <f>_xlfn.IFNA(VLOOKUP(F3707,songs!$B$1:$C$1539, 2, FALSE),"")</f>
        <v/>
      </c>
      <c r="H3707" t="s">
        <v>7867</v>
      </c>
    </row>
    <row r="3708" spans="1:8" x14ac:dyDescent="0.25">
      <c r="A3708">
        <v>3707</v>
      </c>
      <c r="B3708" t="s">
        <v>4724</v>
      </c>
      <c r="C3708" t="s">
        <v>15</v>
      </c>
      <c r="D3708" t="str">
        <f t="shared" si="121"/>
        <v/>
      </c>
      <c r="E3708" t="str">
        <f t="shared" si="120"/>
        <v>truckin'</v>
      </c>
      <c r="F3708" t="s">
        <v>7436</v>
      </c>
      <c r="G3708" t="str">
        <f>_xlfn.IFNA(VLOOKUP(F3708,songs!$B$1:$C$1539, 2, FALSE),"")</f>
        <v>Truckin'</v>
      </c>
      <c r="H3708" t="s">
        <v>15</v>
      </c>
    </row>
    <row r="3709" spans="1:8" x14ac:dyDescent="0.25">
      <c r="A3709">
        <v>3708</v>
      </c>
      <c r="B3709" t="s">
        <v>4725</v>
      </c>
      <c r="C3709" t="s">
        <v>3649</v>
      </c>
      <c r="D3709" t="str">
        <f t="shared" si="121"/>
        <v/>
      </c>
      <c r="E3709" t="str">
        <f t="shared" si="120"/>
        <v>epilogue</v>
      </c>
      <c r="F3709" t="s">
        <v>7841</v>
      </c>
      <c r="G3709" t="s">
        <v>3649</v>
      </c>
      <c r="H3709" t="s">
        <v>7867</v>
      </c>
    </row>
    <row r="3710" spans="1:8" x14ac:dyDescent="0.25">
      <c r="A3710">
        <v>3718</v>
      </c>
      <c r="B3710" t="s">
        <v>4737</v>
      </c>
      <c r="C3710" t="s">
        <v>4738</v>
      </c>
      <c r="D3710" t="str">
        <f t="shared" si="121"/>
        <v/>
      </c>
      <c r="E3710" t="str">
        <f t="shared" si="120"/>
        <v>mississippi half-step uptown toodeloo 10-19-73</v>
      </c>
      <c r="F3710" t="s">
        <v>6531</v>
      </c>
      <c r="G3710" t="str">
        <f>_xlfn.IFNA(VLOOKUP(F3710,songs!$B$1:$C$1539, 2, FALSE),"")</f>
        <v>Mississippi Half-Step Uptown Toodeloo</v>
      </c>
      <c r="H3710" t="s">
        <v>7867</v>
      </c>
    </row>
    <row r="3711" spans="1:8" x14ac:dyDescent="0.25">
      <c r="A3711">
        <v>3710</v>
      </c>
      <c r="B3711" t="s">
        <v>4727</v>
      </c>
      <c r="C3711" t="s">
        <v>212</v>
      </c>
      <c r="D3711" t="str">
        <f t="shared" si="121"/>
        <v/>
      </c>
      <c r="E3711" t="str">
        <f t="shared" si="120"/>
        <v>morning dew</v>
      </c>
      <c r="F3711" t="s">
        <v>6555</v>
      </c>
      <c r="G3711" t="str">
        <f>_xlfn.IFNA(VLOOKUP(F3711,songs!$B$1:$C$1539, 2, FALSE),"")</f>
        <v>Morning Dew</v>
      </c>
      <c r="H3711" t="s">
        <v>212</v>
      </c>
    </row>
    <row r="3712" spans="1:8" x14ac:dyDescent="0.25">
      <c r="A3712">
        <v>3711</v>
      </c>
      <c r="B3712" t="s">
        <v>4728</v>
      </c>
      <c r="C3712" t="s">
        <v>126</v>
      </c>
      <c r="D3712" t="str">
        <f t="shared" si="121"/>
        <v/>
      </c>
      <c r="E3712" t="str">
        <f t="shared" si="120"/>
        <v>looks like rain</v>
      </c>
      <c r="F3712" t="s">
        <v>6398</v>
      </c>
      <c r="G3712" t="str">
        <f>_xlfn.IFNA(VLOOKUP(F3712,songs!$B$1:$C$1539, 2, FALSE),"")</f>
        <v>Looks Like Rain</v>
      </c>
      <c r="H3712" t="s">
        <v>126</v>
      </c>
    </row>
    <row r="3713" spans="1:8" x14ac:dyDescent="0.25">
      <c r="A3713">
        <v>3712</v>
      </c>
      <c r="B3713" t="s">
        <v>4729</v>
      </c>
      <c r="C3713" t="s">
        <v>242</v>
      </c>
      <c r="D3713" t="str">
        <f t="shared" si="121"/>
        <v/>
      </c>
      <c r="E3713" t="str">
        <f t="shared" si="120"/>
        <v>good lovin'</v>
      </c>
      <c r="F3713" t="s">
        <v>5810</v>
      </c>
      <c r="G3713" t="str">
        <f>_xlfn.IFNA(VLOOKUP(F3713,songs!$B$1:$C$1539, 2, FALSE),"")</f>
        <v>Good Lovin'</v>
      </c>
      <c r="H3713" t="s">
        <v>242</v>
      </c>
    </row>
    <row r="3714" spans="1:8" x14ac:dyDescent="0.25">
      <c r="A3714">
        <v>3713</v>
      </c>
      <c r="B3714" t="s">
        <v>4730</v>
      </c>
      <c r="C3714" t="s">
        <v>107</v>
      </c>
      <c r="D3714" t="str">
        <f t="shared" si="121"/>
        <v/>
      </c>
      <c r="E3714" t="str">
        <f t="shared" si="120"/>
        <v>caution (do not stop on tracks)</v>
      </c>
      <c r="F3714" t="s">
        <v>5300</v>
      </c>
      <c r="G3714" t="str">
        <f>_xlfn.IFNA(VLOOKUP(F3714,songs!$B$1:$C$1539, 2, FALSE),"")</f>
        <v>Caution (Do Not Stop On Tracks)</v>
      </c>
      <c r="H3714" t="s">
        <v>3962</v>
      </c>
    </row>
    <row r="3715" spans="1:8" x14ac:dyDescent="0.25">
      <c r="A3715">
        <v>3714</v>
      </c>
      <c r="B3715" t="s">
        <v>4731</v>
      </c>
      <c r="C3715" t="s">
        <v>4732</v>
      </c>
      <c r="D3715" t="str">
        <f t="shared" si="121"/>
        <v/>
      </c>
      <c r="E3715" t="str">
        <f t="shared" si="120"/>
        <v>who do you love</v>
      </c>
      <c r="F3715" t="s">
        <v>7710</v>
      </c>
      <c r="G3715" t="str">
        <f>_xlfn.IFNA(VLOOKUP(F3715,songs!$B$1:$C$1539, 2, FALSE),"")</f>
        <v>Who Do You Love</v>
      </c>
      <c r="H3715" t="s">
        <v>4732</v>
      </c>
    </row>
    <row r="3716" spans="1:8" x14ac:dyDescent="0.25">
      <c r="A3716">
        <v>3715</v>
      </c>
      <c r="B3716" t="s">
        <v>4733</v>
      </c>
      <c r="C3716" t="s">
        <v>107</v>
      </c>
      <c r="D3716" t="str">
        <f t="shared" si="121"/>
        <v/>
      </c>
      <c r="E3716" t="str">
        <f t="shared" ref="E3716:E3779" si="122">LOWER(TRIM(SUBSTITUTE(IF(RIGHT(TRIM(C3716),2)="-&gt;",LEFT(TRIM(C3716),LEN(TRIM(C3716))-2),IF(RIGHT(TRIM(C3716),1)="&gt;",LEFT(TRIM(C3716),LEN(TRIM(C3716))-1),C3716)),"//","")))</f>
        <v>caution (do not stop on tracks)</v>
      </c>
      <c r="F3716" t="s">
        <v>5300</v>
      </c>
      <c r="G3716" t="str">
        <f>_xlfn.IFNA(VLOOKUP(F3716,songs!$B$1:$C$1539, 2, FALSE),"")</f>
        <v>Caution (Do Not Stop On Tracks)</v>
      </c>
      <c r="H3716" t="s">
        <v>3962</v>
      </c>
    </row>
    <row r="3717" spans="1:8" x14ac:dyDescent="0.25">
      <c r="A3717">
        <v>3716</v>
      </c>
      <c r="B3717" t="s">
        <v>4734</v>
      </c>
      <c r="C3717" t="s">
        <v>242</v>
      </c>
      <c r="D3717" t="str">
        <f t="shared" si="121"/>
        <v/>
      </c>
      <c r="E3717" t="str">
        <f t="shared" si="122"/>
        <v>good lovin'</v>
      </c>
      <c r="F3717" t="s">
        <v>5810</v>
      </c>
      <c r="G3717" t="str">
        <f>_xlfn.IFNA(VLOOKUP(F3717,songs!$B$1:$C$1539, 2, FALSE),"")</f>
        <v>Good Lovin'</v>
      </c>
      <c r="H3717" t="s">
        <v>242</v>
      </c>
    </row>
    <row r="3718" spans="1:8" x14ac:dyDescent="0.25">
      <c r="A3718">
        <v>3719</v>
      </c>
      <c r="B3718" t="s">
        <v>4739</v>
      </c>
      <c r="C3718" t="s">
        <v>4740</v>
      </c>
      <c r="D3718" t="str">
        <f t="shared" si="121"/>
        <v/>
      </c>
      <c r="E3718" t="str">
        <f t="shared" si="122"/>
        <v>let me sing your blues away 09-17-73 #</v>
      </c>
      <c r="F3718" t="s">
        <v>6314</v>
      </c>
      <c r="G3718" t="str">
        <f>_xlfn.IFNA(VLOOKUP(F3718,songs!$B$1:$C$1539, 2, FALSE),"")</f>
        <v>Let Me Sing Your Blues Away</v>
      </c>
      <c r="H3718" t="s">
        <v>7867</v>
      </c>
    </row>
    <row r="3719" spans="1:8" x14ac:dyDescent="0.25">
      <c r="A3719">
        <v>3720</v>
      </c>
      <c r="B3719" t="s">
        <v>4741</v>
      </c>
      <c r="C3719" t="s">
        <v>4742</v>
      </c>
      <c r="D3719" t="str">
        <f t="shared" si="121"/>
        <v/>
      </c>
      <c r="E3719" t="str">
        <f t="shared" si="122"/>
        <v>row jimmy 11-14-73</v>
      </c>
      <c r="F3719" t="s">
        <v>6893</v>
      </c>
      <c r="G3719" t="str">
        <f>_xlfn.IFNA(VLOOKUP(F3719,songs!$B$1:$C$1539, 2, FALSE),"")</f>
        <v>Row Jimmy</v>
      </c>
      <c r="H3719" t="s">
        <v>7867</v>
      </c>
    </row>
    <row r="3720" spans="1:8" x14ac:dyDescent="0.25">
      <c r="A3720">
        <v>3721</v>
      </c>
      <c r="B3720" t="s">
        <v>4743</v>
      </c>
      <c r="C3720" t="s">
        <v>4744</v>
      </c>
      <c r="D3720" t="str">
        <f t="shared" si="121"/>
        <v/>
      </c>
      <c r="E3720" t="str">
        <f t="shared" si="122"/>
        <v>stella blue 11-17-73</v>
      </c>
      <c r="F3720" t="s">
        <v>7123</v>
      </c>
      <c r="G3720" t="str">
        <f>_xlfn.IFNA(VLOOKUP(F3720,songs!$B$1:$C$1539, 2, FALSE),"")</f>
        <v>Stella Blue</v>
      </c>
      <c r="H3720" t="s">
        <v>7867</v>
      </c>
    </row>
    <row r="3721" spans="1:8" x14ac:dyDescent="0.25">
      <c r="A3721">
        <v>3722</v>
      </c>
      <c r="B3721" t="s">
        <v>4745</v>
      </c>
      <c r="C3721" t="s">
        <v>4746</v>
      </c>
      <c r="D3721" t="str">
        <f t="shared" ref="D3721:D3750" si="123">IF(RIGHT(TRIM(C3721),2)="-&gt;","&gt;",IF(RIGHT(TRIM(C3721),1)="&gt;","&gt;",""))</f>
        <v/>
      </c>
      <c r="E3721" t="str">
        <f t="shared" si="122"/>
        <v>here comes sunshine 11-21-73</v>
      </c>
      <c r="F3721" t="s">
        <v>5898</v>
      </c>
      <c r="G3721" t="str">
        <f>_xlfn.IFNA(VLOOKUP(F3721,songs!$B$1:$C$1539, 2, FALSE),"")</f>
        <v>Here Comes Sunshine</v>
      </c>
      <c r="H3721" t="s">
        <v>7867</v>
      </c>
    </row>
    <row r="3722" spans="1:8" x14ac:dyDescent="0.25">
      <c r="A3722">
        <v>3724</v>
      </c>
      <c r="B3722" t="s">
        <v>4748</v>
      </c>
      <c r="C3722" t="s">
        <v>4749</v>
      </c>
      <c r="D3722" t="str">
        <f t="shared" si="123"/>
        <v/>
      </c>
      <c r="E3722" t="str">
        <f t="shared" si="122"/>
        <v>weather report suite 09-11-73</v>
      </c>
      <c r="F3722" t="s">
        <v>7865</v>
      </c>
      <c r="G3722" t="s">
        <v>7879</v>
      </c>
      <c r="H3722" t="s">
        <v>7867</v>
      </c>
    </row>
    <row r="3723" spans="1:8" x14ac:dyDescent="0.25">
      <c r="A3723">
        <v>3725</v>
      </c>
      <c r="B3723" t="s">
        <v>4750</v>
      </c>
      <c r="C3723" t="s">
        <v>4751</v>
      </c>
      <c r="D3723" t="str">
        <f t="shared" si="123"/>
        <v/>
      </c>
      <c r="E3723" t="str">
        <f t="shared" si="122"/>
        <v>u.s. blues 06-20-74</v>
      </c>
      <c r="F3723" t="s">
        <v>7464</v>
      </c>
      <c r="G3723" t="str">
        <f>_xlfn.IFNA(VLOOKUP(F3723,songs!$B$1:$C$1539, 2, FALSE),"")</f>
        <v>U.S. Blues</v>
      </c>
      <c r="H3723" t="s">
        <v>7867</v>
      </c>
    </row>
    <row r="3724" spans="1:8" x14ac:dyDescent="0.25">
      <c r="A3724">
        <v>3723</v>
      </c>
      <c r="B3724" t="s">
        <v>4747</v>
      </c>
      <c r="C3724" t="s">
        <v>471</v>
      </c>
      <c r="D3724" t="str">
        <f t="shared" si="123"/>
        <v/>
      </c>
      <c r="E3724" t="str">
        <f t="shared" si="122"/>
        <v>eyes of the world</v>
      </c>
      <c r="F3724" t="s">
        <v>5633</v>
      </c>
      <c r="G3724" t="str">
        <f>_xlfn.IFNA(VLOOKUP(F3724,songs!$B$1:$C$1539, 2, FALSE),"")</f>
        <v>Eyes Of The World</v>
      </c>
      <c r="H3724" t="s">
        <v>471</v>
      </c>
    </row>
    <row r="3725" spans="1:8" x14ac:dyDescent="0.25">
      <c r="A3725">
        <v>3726</v>
      </c>
      <c r="B3725" t="s">
        <v>4752</v>
      </c>
      <c r="C3725" t="s">
        <v>4753</v>
      </c>
      <c r="D3725" t="str">
        <f t="shared" si="123"/>
        <v/>
      </c>
      <c r="E3725" t="str">
        <f t="shared" si="122"/>
        <v>china doll 06-23-74</v>
      </c>
      <c r="F3725" t="s">
        <v>5320</v>
      </c>
      <c r="G3725" t="str">
        <f>_xlfn.IFNA(VLOOKUP(F3725,songs!$B$1:$C$1539, 2, FALSE),"")</f>
        <v>China Doll</v>
      </c>
      <c r="H3725" t="s">
        <v>7867</v>
      </c>
    </row>
    <row r="3726" spans="1:8" x14ac:dyDescent="0.25">
      <c r="A3726">
        <v>3727</v>
      </c>
      <c r="B3726" t="s">
        <v>4754</v>
      </c>
      <c r="C3726" t="s">
        <v>4755</v>
      </c>
      <c r="D3726" t="str">
        <f t="shared" si="123"/>
        <v/>
      </c>
      <c r="E3726" t="str">
        <f t="shared" si="122"/>
        <v>unbroken chain 05-21-95</v>
      </c>
      <c r="F3726" t="s">
        <v>7465</v>
      </c>
      <c r="G3726" t="str">
        <f>_xlfn.IFNA(VLOOKUP(F3726,songs!$B$1:$C$1539, 2, FALSE),"")</f>
        <v>Unbroken Chain</v>
      </c>
      <c r="H3726" t="s">
        <v>7867</v>
      </c>
    </row>
    <row r="3727" spans="1:8" x14ac:dyDescent="0.25">
      <c r="A3727">
        <v>3728</v>
      </c>
      <c r="B3727" t="s">
        <v>4756</v>
      </c>
      <c r="C3727" t="s">
        <v>4757</v>
      </c>
      <c r="D3727" t="str">
        <f t="shared" si="123"/>
        <v/>
      </c>
      <c r="E3727" t="str">
        <f t="shared" si="122"/>
        <v>loose lucy 02-22-74</v>
      </c>
      <c r="F3727" t="s">
        <v>6399</v>
      </c>
      <c r="G3727" t="str">
        <f>_xlfn.IFNA(VLOOKUP(F3727,songs!$B$1:$C$1539, 2, FALSE),"")</f>
        <v>Loose Lucy</v>
      </c>
      <c r="H3727" t="s">
        <v>7867</v>
      </c>
    </row>
    <row r="3728" spans="1:8" x14ac:dyDescent="0.25">
      <c r="A3728">
        <v>3729</v>
      </c>
      <c r="B3728" t="s">
        <v>4758</v>
      </c>
      <c r="C3728" t="s">
        <v>4759</v>
      </c>
      <c r="D3728" t="str">
        <f t="shared" si="123"/>
        <v/>
      </c>
      <c r="E3728" t="str">
        <f t="shared" si="122"/>
        <v>scarlet begonias 07-25-74</v>
      </c>
      <c r="F3728" t="s">
        <v>6944</v>
      </c>
      <c r="G3728" t="str">
        <f>_xlfn.IFNA(VLOOKUP(F3728,songs!$B$1:$C$1539, 2, FALSE),"")</f>
        <v>Scarlet Begonias</v>
      </c>
      <c r="H3728" t="s">
        <v>7867</v>
      </c>
    </row>
    <row r="3729" spans="1:8" x14ac:dyDescent="0.25">
      <c r="A3729">
        <v>3730</v>
      </c>
      <c r="B3729" t="s">
        <v>4760</v>
      </c>
      <c r="C3729" t="s">
        <v>4761</v>
      </c>
      <c r="D3729" t="str">
        <f t="shared" si="123"/>
        <v/>
      </c>
      <c r="E3729" t="str">
        <f t="shared" si="122"/>
        <v>pride of cucamonga (mars hotel outtakes)</v>
      </c>
      <c r="F3729" t="s">
        <v>6794</v>
      </c>
      <c r="G3729" t="str">
        <f>_xlfn.IFNA(VLOOKUP(F3729,songs!$B$1:$C$1539, 2, FALSE),"")</f>
        <v>Pride Of Cucamonga</v>
      </c>
      <c r="H3729" t="s">
        <v>7867</v>
      </c>
    </row>
    <row r="3730" spans="1:8" x14ac:dyDescent="0.25">
      <c r="A3730">
        <v>3731</v>
      </c>
      <c r="B3730" t="s">
        <v>4762</v>
      </c>
      <c r="C3730" t="s">
        <v>4763</v>
      </c>
      <c r="D3730" t="str">
        <f t="shared" si="123"/>
        <v/>
      </c>
      <c r="E3730" t="str">
        <f t="shared" si="122"/>
        <v>money money 05-21-74</v>
      </c>
      <c r="F3730" t="s">
        <v>6543</v>
      </c>
      <c r="G3730" t="str">
        <f>_xlfn.IFNA(VLOOKUP(F3730,songs!$B$1:$C$1539, 2, FALSE),"")</f>
        <v>Money Money</v>
      </c>
      <c r="H3730" t="s">
        <v>7867</v>
      </c>
    </row>
    <row r="3731" spans="1:8" x14ac:dyDescent="0.25">
      <c r="A3731">
        <v>3732</v>
      </c>
      <c r="B3731" t="s">
        <v>4764</v>
      </c>
      <c r="C3731" t="s">
        <v>4765</v>
      </c>
      <c r="D3731" t="str">
        <f t="shared" si="123"/>
        <v/>
      </c>
      <c r="E3731" t="str">
        <f t="shared" si="122"/>
        <v>ship of fools 05-12-74</v>
      </c>
      <c r="F3731" t="s">
        <v>6999</v>
      </c>
      <c r="G3731" t="str">
        <f>_xlfn.IFNA(VLOOKUP(F3731,songs!$B$1:$C$1539, 2, FALSE),"")</f>
        <v>Ship Of Fools</v>
      </c>
      <c r="H3731" t="s">
        <v>7867</v>
      </c>
    </row>
    <row r="3732" spans="1:8" x14ac:dyDescent="0.25">
      <c r="A3732">
        <v>3733</v>
      </c>
      <c r="B3732" t="s">
        <v>4766</v>
      </c>
      <c r="C3732" t="s">
        <v>4767</v>
      </c>
      <c r="D3732" t="str">
        <f t="shared" si="123"/>
        <v/>
      </c>
      <c r="E3732" t="str">
        <f t="shared" si="122"/>
        <v>help on the way 75-09-28</v>
      </c>
      <c r="F3732" t="s">
        <v>5895</v>
      </c>
      <c r="G3732" t="str">
        <f>_xlfn.IFNA(VLOOKUP(F3732,songs!$B$1:$C$1539, 2, FALSE),"")</f>
        <v>Help On The Way</v>
      </c>
      <c r="H3732" t="s">
        <v>7867</v>
      </c>
    </row>
    <row r="3733" spans="1:8" x14ac:dyDescent="0.25">
      <c r="A3733">
        <v>3734</v>
      </c>
      <c r="B3733" t="s">
        <v>4768</v>
      </c>
      <c r="C3733" t="s">
        <v>4769</v>
      </c>
      <c r="D3733" t="str">
        <f t="shared" si="123"/>
        <v/>
      </c>
      <c r="E3733" t="str">
        <f t="shared" si="122"/>
        <v>slipknot! 76-06-10</v>
      </c>
      <c r="F3733" t="s">
        <v>7035</v>
      </c>
      <c r="G3733" t="str">
        <f>_xlfn.IFNA(VLOOKUP(F3733,songs!$B$1:$C$1539, 2, FALSE),"")</f>
        <v>Slipknot!</v>
      </c>
      <c r="H3733" t="s">
        <v>7867</v>
      </c>
    </row>
    <row r="3734" spans="1:8" x14ac:dyDescent="0.25">
      <c r="A3734">
        <v>3735</v>
      </c>
      <c r="B3734" t="s">
        <v>4770</v>
      </c>
      <c r="C3734" t="s">
        <v>4771</v>
      </c>
      <c r="D3734" t="str">
        <f t="shared" si="123"/>
        <v/>
      </c>
      <c r="E3734" t="str">
        <f t="shared" si="122"/>
        <v>franklin's tower 76-06-14</v>
      </c>
      <c r="F3734" t="s">
        <v>5712</v>
      </c>
      <c r="G3734" t="str">
        <f>_xlfn.IFNA(VLOOKUP(F3734,songs!$B$1:$C$1539, 2, FALSE),"")</f>
        <v>Franklin's Tower</v>
      </c>
      <c r="H3734" t="s">
        <v>7867</v>
      </c>
    </row>
    <row r="3735" spans="1:8" x14ac:dyDescent="0.25">
      <c r="A3735">
        <v>3736</v>
      </c>
      <c r="B3735" t="s">
        <v>4772</v>
      </c>
      <c r="C3735" t="s">
        <v>4773</v>
      </c>
      <c r="D3735" t="str">
        <f t="shared" si="123"/>
        <v/>
      </c>
      <c r="E3735" t="str">
        <f t="shared" si="122"/>
        <v>king solomon's marbles &amp; 75-03-23</v>
      </c>
      <c r="F3735" t="s">
        <v>6246</v>
      </c>
      <c r="G3735" t="str">
        <f>_xlfn.IFNA(VLOOKUP(F3735,songs!$B$1:$C$1539, 2, FALSE),"")</f>
        <v>King Solomon's Marbles</v>
      </c>
      <c r="H3735" t="s">
        <v>7867</v>
      </c>
    </row>
    <row r="3736" spans="1:8" x14ac:dyDescent="0.25">
      <c r="A3736">
        <v>3737</v>
      </c>
      <c r="B3736" t="s">
        <v>4774</v>
      </c>
      <c r="C3736" t="s">
        <v>4775</v>
      </c>
      <c r="D3736" t="str">
        <f t="shared" si="123"/>
        <v/>
      </c>
      <c r="E3736" t="str">
        <f t="shared" si="122"/>
        <v>the music never stopped 76-10-02</v>
      </c>
      <c r="F3736" t="s">
        <v>7316</v>
      </c>
      <c r="G3736" t="str">
        <f>_xlfn.IFNA(VLOOKUP(F3736,songs!$B$1:$C$1539, 2, FALSE),"")</f>
        <v>The Music Never Stopped</v>
      </c>
      <c r="H3736" t="s">
        <v>7867</v>
      </c>
    </row>
    <row r="3737" spans="1:8" x14ac:dyDescent="0.25">
      <c r="A3737">
        <v>3738</v>
      </c>
      <c r="B3737" t="s">
        <v>4776</v>
      </c>
      <c r="C3737" t="s">
        <v>4777</v>
      </c>
      <c r="D3737" t="str">
        <f t="shared" si="123"/>
        <v/>
      </c>
      <c r="E3737" t="str">
        <f t="shared" si="122"/>
        <v>crazy fingers 75-06-17</v>
      </c>
      <c r="F3737" t="s">
        <v>5390</v>
      </c>
      <c r="G3737" t="str">
        <f>_xlfn.IFNA(VLOOKUP(F3737,songs!$B$1:$C$1539, 2, FALSE),"")</f>
        <v>Crazy Fingers</v>
      </c>
      <c r="H3737" t="s">
        <v>7867</v>
      </c>
    </row>
    <row r="3738" spans="1:8" x14ac:dyDescent="0.25">
      <c r="A3738">
        <v>3739</v>
      </c>
      <c r="B3738" t="s">
        <v>4778</v>
      </c>
      <c r="C3738" t="s">
        <v>4779</v>
      </c>
      <c r="D3738" t="str">
        <f t="shared" si="123"/>
        <v/>
      </c>
      <c r="E3738" t="str">
        <f t="shared" si="122"/>
        <v>sage and spirit 80-10-31</v>
      </c>
      <c r="F3738" t="s">
        <v>6903</v>
      </c>
      <c r="G3738" t="str">
        <f>_xlfn.IFNA(VLOOKUP(F3738,songs!$B$1:$C$1539, 2, FALSE),"")</f>
        <v>Sage And Spirit</v>
      </c>
      <c r="H3738" t="s">
        <v>7867</v>
      </c>
    </row>
    <row r="3739" spans="1:8" x14ac:dyDescent="0.25">
      <c r="A3739">
        <v>3740</v>
      </c>
      <c r="B3739" t="s">
        <v>4780</v>
      </c>
      <c r="C3739" t="s">
        <v>4781</v>
      </c>
      <c r="D3739" t="str">
        <f t="shared" si="123"/>
        <v/>
      </c>
      <c r="E3739" t="str">
        <f t="shared" si="122"/>
        <v>blues for allah 75-06-17</v>
      </c>
      <c r="F3739" t="s">
        <v>5215</v>
      </c>
      <c r="G3739" t="str">
        <f>_xlfn.IFNA(VLOOKUP(F3739,songs!$B$1:$C$1539, 2, FALSE),"")</f>
        <v>Blues For Allah</v>
      </c>
      <c r="H3739" t="s">
        <v>7867</v>
      </c>
    </row>
    <row r="3740" spans="1:8" x14ac:dyDescent="0.25">
      <c r="A3740">
        <v>3741</v>
      </c>
      <c r="B3740" t="s">
        <v>4782</v>
      </c>
      <c r="C3740" t="s">
        <v>4783</v>
      </c>
      <c r="D3740" t="str">
        <f t="shared" si="123"/>
        <v/>
      </c>
      <c r="E3740" t="str">
        <f t="shared" si="122"/>
        <v>help on the way (instrumental version)</v>
      </c>
      <c r="F3740" t="s">
        <v>5895</v>
      </c>
      <c r="G3740" t="str">
        <f>_xlfn.IFNA(VLOOKUP(F3740,songs!$B$1:$C$1539, 2, FALSE),"")</f>
        <v>Help On The Way</v>
      </c>
      <c r="H3740" t="s">
        <v>7867</v>
      </c>
    </row>
    <row r="3741" spans="1:8" x14ac:dyDescent="0.25">
      <c r="A3741">
        <v>3743</v>
      </c>
      <c r="B3741" t="s">
        <v>4785</v>
      </c>
      <c r="C3741" t="s">
        <v>4786</v>
      </c>
      <c r="D3741" t="str">
        <f t="shared" si="123"/>
        <v/>
      </c>
      <c r="E3741" t="str">
        <f t="shared" si="122"/>
        <v>estimated prophet 05-28-77</v>
      </c>
      <c r="F3741" t="s">
        <v>5612</v>
      </c>
      <c r="G3741" t="str">
        <f>_xlfn.IFNA(VLOOKUP(F3741,songs!$B$1:$C$1539, 2, FALSE),"")</f>
        <v>Estimated Prophet</v>
      </c>
      <c r="H3741" t="s">
        <v>7867</v>
      </c>
    </row>
    <row r="3742" spans="1:8" x14ac:dyDescent="0.25">
      <c r="A3742">
        <v>3744</v>
      </c>
      <c r="B3742" t="s">
        <v>4787</v>
      </c>
      <c r="C3742" t="s">
        <v>4788</v>
      </c>
      <c r="D3742" t="str">
        <f t="shared" si="123"/>
        <v/>
      </c>
      <c r="E3742" t="str">
        <f t="shared" si="122"/>
        <v>dancin' in the streets 05-15-77</v>
      </c>
      <c r="F3742" t="s">
        <v>5418</v>
      </c>
      <c r="G3742" t="str">
        <f>_xlfn.IFNA(VLOOKUP(F3742,songs!$B$1:$C$1539, 2, FALSE),"")</f>
        <v>Dancin' In The Streets</v>
      </c>
      <c r="H3742" t="s">
        <v>7867</v>
      </c>
    </row>
    <row r="3743" spans="1:8" x14ac:dyDescent="0.25">
      <c r="A3743">
        <v>3742</v>
      </c>
      <c r="B3743" t="s">
        <v>4784</v>
      </c>
      <c r="C3743" t="s">
        <v>63</v>
      </c>
      <c r="D3743" t="str">
        <f t="shared" si="123"/>
        <v/>
      </c>
      <c r="E3743" t="str">
        <f t="shared" si="122"/>
        <v>franklin's tower</v>
      </c>
      <c r="F3743" t="s">
        <v>5712</v>
      </c>
      <c r="G3743" t="str">
        <f>_xlfn.IFNA(VLOOKUP(F3743,songs!$B$1:$C$1539, 2, FALSE),"")</f>
        <v>Franklin's Tower</v>
      </c>
      <c r="H3743" t="s">
        <v>63</v>
      </c>
    </row>
    <row r="3744" spans="1:8" x14ac:dyDescent="0.25">
      <c r="A3744">
        <v>3745</v>
      </c>
      <c r="B3744" t="s">
        <v>4789</v>
      </c>
      <c r="C3744" t="s">
        <v>4790</v>
      </c>
      <c r="D3744" t="str">
        <f t="shared" si="123"/>
        <v/>
      </c>
      <c r="E3744" t="str">
        <f t="shared" si="122"/>
        <v>passenger 11-01-77</v>
      </c>
      <c r="F3744" t="s">
        <v>6738</v>
      </c>
      <c r="G3744" t="str">
        <f>_xlfn.IFNA(VLOOKUP(F3744,songs!$B$1:$C$1539, 2, FALSE),"")</f>
        <v>Passenger</v>
      </c>
      <c r="H3744" t="s">
        <v>7867</v>
      </c>
    </row>
    <row r="3745" spans="1:8" x14ac:dyDescent="0.25">
      <c r="A3745">
        <v>3746</v>
      </c>
      <c r="B3745" t="s">
        <v>4791</v>
      </c>
      <c r="C3745" t="s">
        <v>4792</v>
      </c>
      <c r="D3745" t="str">
        <f t="shared" si="123"/>
        <v/>
      </c>
      <c r="E3745" t="str">
        <f t="shared" si="122"/>
        <v>samson and delilah 05-26-77</v>
      </c>
      <c r="F3745" t="s">
        <v>6925</v>
      </c>
      <c r="G3745" t="str">
        <f>_xlfn.IFNA(VLOOKUP(F3745,songs!$B$1:$C$1539, 2, FALSE),"")</f>
        <v>Samson And Delilah</v>
      </c>
      <c r="H3745" t="s">
        <v>7867</v>
      </c>
    </row>
    <row r="3746" spans="1:8" x14ac:dyDescent="0.25">
      <c r="A3746">
        <v>3747</v>
      </c>
      <c r="B3746" t="s">
        <v>4793</v>
      </c>
      <c r="C3746" t="s">
        <v>4794</v>
      </c>
      <c r="D3746" t="str">
        <f t="shared" si="123"/>
        <v/>
      </c>
      <c r="E3746" t="str">
        <f t="shared" si="122"/>
        <v>sunrise 05-09-77</v>
      </c>
      <c r="F3746" t="s">
        <v>7151</v>
      </c>
      <c r="G3746" t="str">
        <f>_xlfn.IFNA(VLOOKUP(F3746,songs!$B$1:$C$1539, 2, FALSE),"")</f>
        <v>Sugaree</v>
      </c>
      <c r="H3746" t="s">
        <v>7867</v>
      </c>
    </row>
    <row r="3747" spans="1:8" x14ac:dyDescent="0.25">
      <c r="A3747">
        <v>3748</v>
      </c>
      <c r="B3747" t="s">
        <v>4795</v>
      </c>
      <c r="C3747" t="s">
        <v>4796</v>
      </c>
      <c r="D3747" t="str">
        <f t="shared" si="123"/>
        <v/>
      </c>
      <c r="E3747" t="str">
        <f t="shared" si="122"/>
        <v>terrapin station part one 02-26-77</v>
      </c>
      <c r="F3747" t="s">
        <v>7237</v>
      </c>
      <c r="G3747" t="str">
        <f>_xlfn.IFNA(VLOOKUP(F3747,songs!$B$1:$C$1539, 2, FALSE),"")</f>
        <v>Terrapin Station</v>
      </c>
      <c r="H3747" t="s">
        <v>7867</v>
      </c>
    </row>
    <row r="3748" spans="1:8" x14ac:dyDescent="0.25">
      <c r="A3748">
        <v>3749</v>
      </c>
      <c r="B3748" t="s">
        <v>4797</v>
      </c>
      <c r="C3748" t="s">
        <v>4798</v>
      </c>
      <c r="D3748" t="str">
        <f t="shared" si="123"/>
        <v/>
      </c>
      <c r="E3748" t="str">
        <f t="shared" si="122"/>
        <v>terrapin station (outtake)</v>
      </c>
      <c r="F3748" t="s">
        <v>7237</v>
      </c>
      <c r="G3748" t="str">
        <f>_xlfn.IFNA(VLOOKUP(F3748,songs!$B$1:$C$1539, 2, FALSE),"")</f>
        <v>Terrapin Station</v>
      </c>
      <c r="H3748" t="s">
        <v>7867</v>
      </c>
    </row>
    <row r="3749" spans="1:8" x14ac:dyDescent="0.25">
      <c r="A3749">
        <v>3750</v>
      </c>
      <c r="B3749" t="s">
        <v>4799</v>
      </c>
      <c r="C3749" t="s">
        <v>4800</v>
      </c>
      <c r="D3749" t="str">
        <f t="shared" si="123"/>
        <v/>
      </c>
      <c r="E3749" t="str">
        <f t="shared" si="122"/>
        <v>good lovin' (1978-09-16 [giza sound and light theatre, cairo, egypt]</v>
      </c>
      <c r="F3749" t="s">
        <v>5810</v>
      </c>
      <c r="G3749" t="str">
        <f>_xlfn.IFNA(VLOOKUP(F3749,songs!$B$1:$C$1539, 2, FALSE),"")</f>
        <v>Good Lovin'</v>
      </c>
      <c r="H3749" t="s">
        <v>7867</v>
      </c>
    </row>
    <row r="3750" spans="1:8" x14ac:dyDescent="0.25">
      <c r="A3750">
        <v>3751</v>
      </c>
      <c r="B3750" t="s">
        <v>4801</v>
      </c>
      <c r="C3750" t="s">
        <v>4802</v>
      </c>
      <c r="D3750" t="str">
        <f t="shared" si="123"/>
        <v/>
      </c>
      <c r="E3750" t="str">
        <f t="shared" si="122"/>
        <v>france (1978-08-xx [shakedown street outtakes] - never played live)</v>
      </c>
      <c r="F3750" t="s">
        <v>5711</v>
      </c>
      <c r="G3750" t="str">
        <f>_xlfn.IFNA(VLOOKUP(F3750,songs!$B$1:$C$1539, 2, FALSE),"")</f>
        <v>France</v>
      </c>
      <c r="H3750" t="s">
        <v>7867</v>
      </c>
    </row>
    <row r="3751" spans="1:8" x14ac:dyDescent="0.25">
      <c r="A3751">
        <v>3752</v>
      </c>
      <c r="B3751" t="s">
        <v>4803</v>
      </c>
      <c r="C3751" t="s">
        <v>4804</v>
      </c>
      <c r="D3751" t="s">
        <v>7871</v>
      </c>
      <c r="E3751" t="str">
        <f t="shared" si="122"/>
        <v>shakedown street &gt; (1978-11-20 [cleveland music hall, cleveland, oh])</v>
      </c>
      <c r="F3751" t="s">
        <v>6972</v>
      </c>
      <c r="G3751" t="str">
        <f>_xlfn.IFNA(VLOOKUP(F3751,songs!$B$1:$C$1539, 2, FALSE),"")</f>
        <v>Shakedown Street</v>
      </c>
      <c r="H3751" t="s">
        <v>7867</v>
      </c>
    </row>
    <row r="3752" spans="1:8" x14ac:dyDescent="0.25">
      <c r="A3752">
        <v>3753</v>
      </c>
      <c r="B3752" t="s">
        <v>4805</v>
      </c>
      <c r="C3752" t="s">
        <v>4806</v>
      </c>
      <c r="D3752" t="str">
        <f t="shared" ref="D3752:D3783" si="124">IF(RIGHT(TRIM(C3752),2)="-&gt;","&gt;",IF(RIGHT(TRIM(C3752),1)="&gt;","&gt;",""))</f>
        <v/>
      </c>
      <c r="E3752" t="str">
        <f t="shared" si="122"/>
        <v>fire on the mountain (1978-11-16 [uptown theatre , chicago, il] )</v>
      </c>
      <c r="F3752" t="s">
        <v>5675</v>
      </c>
      <c r="G3752" t="str">
        <f>_xlfn.IFNA(VLOOKUP(F3752,songs!$B$1:$C$1539, 2, FALSE),"")</f>
        <v>Fire On The Mountain</v>
      </c>
      <c r="H3752" t="s">
        <v>7867</v>
      </c>
    </row>
    <row r="3753" spans="1:8" x14ac:dyDescent="0.25">
      <c r="A3753">
        <v>3754</v>
      </c>
      <c r="B3753" t="s">
        <v>4807</v>
      </c>
      <c r="C3753" t="s">
        <v>4808</v>
      </c>
      <c r="D3753" t="str">
        <f t="shared" si="124"/>
        <v/>
      </c>
      <c r="E3753" t="str">
        <f t="shared" si="122"/>
        <v>i need a miracle (1978-11-18 [uptown theater, chicago, il] )</v>
      </c>
      <c r="F3753" t="s">
        <v>6021</v>
      </c>
      <c r="G3753" t="str">
        <f>_xlfn.IFNA(VLOOKUP(F3753,songs!$B$1:$C$1539, 2, FALSE),"")</f>
        <v>I Need A Miracle</v>
      </c>
      <c r="H3753" t="s">
        <v>7867</v>
      </c>
    </row>
    <row r="3754" spans="1:8" x14ac:dyDescent="0.25">
      <c r="A3754">
        <v>3755</v>
      </c>
      <c r="B3754" t="s">
        <v>4809</v>
      </c>
      <c r="C3754" t="s">
        <v>4810</v>
      </c>
      <c r="D3754" t="str">
        <f t="shared" si="124"/>
        <v/>
      </c>
      <c r="E3754" t="str">
        <f t="shared" si="122"/>
        <v>from the heart of me (1978-10-22 [winterland arena, san francisco, ca] )</v>
      </c>
      <c r="F3754" t="s">
        <v>5726</v>
      </c>
      <c r="G3754" t="str">
        <f>_xlfn.IFNA(VLOOKUP(F3754,songs!$B$1:$C$1539, 2, FALSE),"")</f>
        <v>From The Heart Of Me</v>
      </c>
      <c r="H3754" t="s">
        <v>7867</v>
      </c>
    </row>
    <row r="3755" spans="1:8" x14ac:dyDescent="0.25">
      <c r="A3755">
        <v>3756</v>
      </c>
      <c r="B3755" t="s">
        <v>4811</v>
      </c>
      <c r="C3755" t="s">
        <v>4812</v>
      </c>
      <c r="D3755" t="str">
        <f t="shared" si="124"/>
        <v/>
      </c>
      <c r="E3755" t="str">
        <f t="shared" si="122"/>
        <v>stagger lee (1978-11-23 [capital centre, landover, md])</v>
      </c>
      <c r="F3755" t="s">
        <v>7101</v>
      </c>
      <c r="G3755" t="str">
        <f>_xlfn.IFNA(VLOOKUP(F3755,songs!$B$1:$C$1539, 2, FALSE),"")</f>
        <v>Stagger Lee</v>
      </c>
      <c r="H3755" t="s">
        <v>7867</v>
      </c>
    </row>
    <row r="3756" spans="1:8" x14ac:dyDescent="0.25">
      <c r="A3756">
        <v>3757</v>
      </c>
      <c r="B3756" t="s">
        <v>4813</v>
      </c>
      <c r="C3756" t="s">
        <v>4814</v>
      </c>
      <c r="D3756" t="str">
        <f t="shared" si="124"/>
        <v/>
      </c>
      <c r="E3756" t="str">
        <f t="shared" si="122"/>
        <v>all new minglewood blues (1978-11-23 [capital centre, landover, md])</v>
      </c>
      <c r="F3756" t="s">
        <v>7869</v>
      </c>
      <c r="G3756" t="str">
        <f>_xlfn.IFNA(VLOOKUP(F3756,songs!$B$1:$C$1539, 2, FALSE),"")</f>
        <v>Minglewood Blues</v>
      </c>
      <c r="H3756" t="s">
        <v>7867</v>
      </c>
    </row>
    <row r="3757" spans="1:8" x14ac:dyDescent="0.25">
      <c r="A3757">
        <v>3758</v>
      </c>
      <c r="B3757" t="s">
        <v>4815</v>
      </c>
      <c r="C3757" t="s">
        <v>4816</v>
      </c>
      <c r="D3757" t="str">
        <f t="shared" si="124"/>
        <v/>
      </c>
      <c r="E3757" t="str">
        <f t="shared" si="122"/>
        <v>if i had the world to give (1978-10-17 [winterland arena, san francisco, ca])</v>
      </c>
      <c r="F3757" t="s">
        <v>6048</v>
      </c>
      <c r="G3757" t="str">
        <f>_xlfn.IFNA(VLOOKUP(F3757,songs!$B$1:$C$1539, 2, FALSE),"")</f>
        <v>If I Had The World To Give</v>
      </c>
      <c r="H3757" t="s">
        <v>7867</v>
      </c>
    </row>
    <row r="3758" spans="1:8" x14ac:dyDescent="0.25">
      <c r="A3758">
        <v>3759</v>
      </c>
      <c r="B3758" t="s">
        <v>4817</v>
      </c>
      <c r="C3758" t="s">
        <v>4818</v>
      </c>
      <c r="D3758" t="str">
        <f t="shared" si="124"/>
        <v/>
      </c>
      <c r="E3758" t="str">
        <f t="shared" si="122"/>
        <v>touch of grey (1987-06-30 [kingswood music theater, maple, on])</v>
      </c>
      <c r="F3758" t="s">
        <v>7419</v>
      </c>
      <c r="G3758" t="str">
        <f>_xlfn.IFNA(VLOOKUP(F3758,songs!$B$1:$C$1539, 2, FALSE),"")</f>
        <v>Touch Of Grey</v>
      </c>
      <c r="H3758" t="s">
        <v>7867</v>
      </c>
    </row>
    <row r="3759" spans="1:8" x14ac:dyDescent="0.25">
      <c r="A3759">
        <v>3760</v>
      </c>
      <c r="B3759" t="s">
        <v>4819</v>
      </c>
      <c r="C3759" t="s">
        <v>4820</v>
      </c>
      <c r="D3759" t="str">
        <f t="shared" si="124"/>
        <v/>
      </c>
      <c r="E3759" t="str">
        <f t="shared" si="122"/>
        <v>hell in a bucket (1987-03-29 [the spectrum, philadelphia, pa])</v>
      </c>
      <c r="F3759" t="s">
        <v>5884</v>
      </c>
      <c r="G3759" t="str">
        <f>_xlfn.IFNA(VLOOKUP(F3759,songs!$B$1:$C$1539, 2, FALSE),"")</f>
        <v>Hell In A Bucket</v>
      </c>
      <c r="H3759" t="s">
        <v>7867</v>
      </c>
    </row>
    <row r="3760" spans="1:8" x14ac:dyDescent="0.25">
      <c r="A3760">
        <v>3761</v>
      </c>
      <c r="B3760" t="s">
        <v>4821</v>
      </c>
      <c r="C3760" t="s">
        <v>4822</v>
      </c>
      <c r="D3760" t="str">
        <f t="shared" si="124"/>
        <v/>
      </c>
      <c r="E3760" t="str">
        <f t="shared" si="122"/>
        <v>when push comes to shove (1987-03-22 [hampton coliseum, hampton, va])</v>
      </c>
      <c r="F3760" t="s">
        <v>7695</v>
      </c>
      <c r="G3760" t="str">
        <f>_xlfn.IFNA(VLOOKUP(F3760,songs!$B$1:$C$1539, 2, FALSE),"")</f>
        <v>When Push Comes To Shove</v>
      </c>
      <c r="H3760" t="s">
        <v>7867</v>
      </c>
    </row>
    <row r="3761" spans="1:8" x14ac:dyDescent="0.25">
      <c r="A3761">
        <v>3762</v>
      </c>
      <c r="B3761" t="s">
        <v>4823</v>
      </c>
      <c r="C3761" t="s">
        <v>4824</v>
      </c>
      <c r="D3761" t="str">
        <f t="shared" si="124"/>
        <v/>
      </c>
      <c r="E3761" t="str">
        <f t="shared" si="122"/>
        <v>west l.a. fadeaway (1987-03-27 [hartford civic center, hartford, ct])</v>
      </c>
      <c r="F3761" t="s">
        <v>7663</v>
      </c>
      <c r="G3761" t="str">
        <f>_xlfn.IFNA(VLOOKUP(F3761,songs!$B$1:$C$1539, 2, FALSE),"")</f>
        <v>West L.A. Fadeaway</v>
      </c>
      <c r="H3761" t="s">
        <v>7867</v>
      </c>
    </row>
    <row r="3762" spans="1:8" x14ac:dyDescent="0.25">
      <c r="A3762">
        <v>3763</v>
      </c>
      <c r="B3762" t="s">
        <v>4825</v>
      </c>
      <c r="C3762" t="s">
        <v>4826</v>
      </c>
      <c r="D3762" t="str">
        <f t="shared" si="124"/>
        <v/>
      </c>
      <c r="E3762" t="str">
        <f t="shared" si="122"/>
        <v>tons of steel (1987-07-04 [sullivan stadium, foxboro, ma])</v>
      </c>
      <c r="F3762" t="s">
        <v>7414</v>
      </c>
      <c r="G3762" t="str">
        <f>_xlfn.IFNA(VLOOKUP(F3762,songs!$B$1:$C$1539, 2, FALSE),"")</f>
        <v>Tons Of Steel</v>
      </c>
      <c r="H3762" t="s">
        <v>7867</v>
      </c>
    </row>
    <row r="3763" spans="1:8" x14ac:dyDescent="0.25">
      <c r="A3763">
        <v>3764</v>
      </c>
      <c r="B3763" t="s">
        <v>4827</v>
      </c>
      <c r="C3763" t="s">
        <v>4828</v>
      </c>
      <c r="D3763" t="str">
        <f t="shared" si="124"/>
        <v/>
      </c>
      <c r="E3763" t="str">
        <f t="shared" si="122"/>
        <v>throwing stones &gt; (1987-03-30 [the spectrum, philadelphia, pa])</v>
      </c>
      <c r="F3763" t="s">
        <v>7383</v>
      </c>
      <c r="G3763" t="str">
        <f>_xlfn.IFNA(VLOOKUP(F3763,songs!$B$1:$C$1539, 2, FALSE),"")</f>
        <v>Throwing Stones</v>
      </c>
      <c r="H3763" t="s">
        <v>7867</v>
      </c>
    </row>
    <row r="3764" spans="1:8" x14ac:dyDescent="0.25">
      <c r="A3764">
        <v>3765</v>
      </c>
      <c r="B3764" t="s">
        <v>4829</v>
      </c>
      <c r="C3764" t="s">
        <v>4830</v>
      </c>
      <c r="D3764" t="str">
        <f t="shared" si="124"/>
        <v/>
      </c>
      <c r="E3764" t="str">
        <f t="shared" si="122"/>
        <v>black muddy river (1987-03-24 [hampton coliseum, hampton, va])</v>
      </c>
      <c r="F3764" t="s">
        <v>5189</v>
      </c>
      <c r="G3764" t="str">
        <f>_xlfn.IFNA(VLOOKUP(F3764,songs!$B$1:$C$1539, 2, FALSE),"")</f>
        <v>Black Muddy River</v>
      </c>
      <c r="H3764" t="s">
        <v>7867</v>
      </c>
    </row>
    <row r="3765" spans="1:8" x14ac:dyDescent="0.25">
      <c r="A3765">
        <v>3766</v>
      </c>
      <c r="B3765" t="s">
        <v>4831</v>
      </c>
      <c r="C3765" t="s">
        <v>4832</v>
      </c>
      <c r="D3765" t="str">
        <f t="shared" si="124"/>
        <v/>
      </c>
      <c r="E3765" t="str">
        <f t="shared" si="122"/>
        <v>west l.a. fadeaway (1987-03-27 [hartford civic center, hartford, ct]) (uh?)</v>
      </c>
      <c r="F3765" t="s">
        <v>7663</v>
      </c>
      <c r="G3765" t="str">
        <f>_xlfn.IFNA(VLOOKUP(F3765,songs!$B$1:$C$1539, 2, FALSE),"")</f>
        <v>West L.A. Fadeaway</v>
      </c>
      <c r="H3765" t="s">
        <v>7867</v>
      </c>
    </row>
    <row r="3766" spans="1:8" x14ac:dyDescent="0.25">
      <c r="A3766">
        <v>3784</v>
      </c>
      <c r="B3766" t="s">
        <v>4856</v>
      </c>
      <c r="C3766" t="s">
        <v>57</v>
      </c>
      <c r="D3766" t="str">
        <f t="shared" si="124"/>
        <v/>
      </c>
      <c r="E3766" t="str">
        <f t="shared" si="122"/>
        <v>dancing in the street</v>
      </c>
      <c r="F3766" t="s">
        <v>5418</v>
      </c>
      <c r="G3766" t="str">
        <f>_xlfn.IFNA(VLOOKUP(F3766,songs!$B$1:$C$1539, 2, FALSE),"")</f>
        <v>Dancin' In The Streets</v>
      </c>
      <c r="H3766" t="s">
        <v>7867</v>
      </c>
    </row>
    <row r="3767" spans="1:8" x14ac:dyDescent="0.25">
      <c r="A3767">
        <v>3809</v>
      </c>
      <c r="B3767" t="s">
        <v>4881</v>
      </c>
      <c r="C3767" t="s">
        <v>122</v>
      </c>
      <c r="D3767" t="str">
        <f t="shared" si="124"/>
        <v/>
      </c>
      <c r="E3767" t="str">
        <f t="shared" si="122"/>
        <v>new minglewood blues</v>
      </c>
      <c r="F3767" t="s">
        <v>7869</v>
      </c>
      <c r="G3767" t="str">
        <f>_xlfn.IFNA(VLOOKUP(F3767,songs!$B$1:$C$1539, 2, FALSE),"")</f>
        <v>Minglewood Blues</v>
      </c>
      <c r="H3767" t="s">
        <v>7867</v>
      </c>
    </row>
    <row r="3768" spans="1:8" x14ac:dyDescent="0.25">
      <c r="A3768">
        <v>3767</v>
      </c>
      <c r="B3768" t="s">
        <v>4833</v>
      </c>
      <c r="C3768" t="s">
        <v>212</v>
      </c>
      <c r="D3768" t="str">
        <f t="shared" si="124"/>
        <v/>
      </c>
      <c r="E3768" t="str">
        <f t="shared" si="122"/>
        <v>morning dew</v>
      </c>
      <c r="F3768" t="s">
        <v>6555</v>
      </c>
      <c r="G3768" t="str">
        <f>_xlfn.IFNA(VLOOKUP(F3768,songs!$B$1:$C$1539, 2, FALSE),"")</f>
        <v>Morning Dew</v>
      </c>
      <c r="H3768" t="s">
        <v>212</v>
      </c>
    </row>
    <row r="3769" spans="1:8" x14ac:dyDescent="0.25">
      <c r="A3769">
        <v>3768</v>
      </c>
      <c r="B3769" t="s">
        <v>4834</v>
      </c>
      <c r="C3769" t="s">
        <v>595</v>
      </c>
      <c r="D3769" t="str">
        <f t="shared" si="124"/>
        <v/>
      </c>
      <c r="E3769" t="str">
        <f t="shared" si="122"/>
        <v>me and my uncle</v>
      </c>
      <c r="F3769" t="s">
        <v>6486</v>
      </c>
      <c r="G3769" t="str">
        <f>_xlfn.IFNA(VLOOKUP(F3769,songs!$B$1:$C$1539, 2, FALSE),"")</f>
        <v>Me And My Uncle</v>
      </c>
      <c r="H3769" t="s">
        <v>903</v>
      </c>
    </row>
    <row r="3770" spans="1:8" x14ac:dyDescent="0.25">
      <c r="A3770">
        <v>3769</v>
      </c>
      <c r="B3770" t="s">
        <v>4835</v>
      </c>
      <c r="C3770" t="s">
        <v>4836</v>
      </c>
      <c r="D3770" t="str">
        <f t="shared" si="124"/>
        <v>&gt;</v>
      </c>
      <c r="E3770" t="str">
        <f t="shared" si="122"/>
        <v>doin' that rag</v>
      </c>
      <c r="F3770" t="s">
        <v>5508</v>
      </c>
      <c r="G3770" t="str">
        <f>_xlfn.IFNA(VLOOKUP(F3770,songs!$B$1:$C$1539, 2, FALSE),"")</f>
        <v>Doin' That Rag</v>
      </c>
      <c r="H3770" t="s">
        <v>828</v>
      </c>
    </row>
    <row r="3771" spans="1:8" x14ac:dyDescent="0.25">
      <c r="A3771">
        <v>3770</v>
      </c>
      <c r="B3771" t="s">
        <v>4837</v>
      </c>
      <c r="C3771" t="s">
        <v>1521</v>
      </c>
      <c r="D3771" t="str">
        <f t="shared" si="124"/>
        <v/>
      </c>
      <c r="E3771" t="str">
        <f t="shared" si="122"/>
        <v>he was a friend of mine</v>
      </c>
      <c r="F3771" t="s">
        <v>5868</v>
      </c>
      <c r="G3771" t="str">
        <f>_xlfn.IFNA(VLOOKUP(F3771,songs!$B$1:$C$1539, 2, FALSE),"")</f>
        <v>He Was A Friend Of Mine</v>
      </c>
      <c r="H3771" t="s">
        <v>5869</v>
      </c>
    </row>
    <row r="3772" spans="1:8" x14ac:dyDescent="0.25">
      <c r="A3772">
        <v>3771</v>
      </c>
      <c r="B3772" t="s">
        <v>4838</v>
      </c>
      <c r="C3772" t="s">
        <v>1511</v>
      </c>
      <c r="D3772" t="str">
        <f t="shared" si="124"/>
        <v/>
      </c>
      <c r="E3772" t="str">
        <f t="shared" si="122"/>
        <v>hard to handle</v>
      </c>
      <c r="F3772" t="s">
        <v>5861</v>
      </c>
      <c r="G3772" t="str">
        <f>_xlfn.IFNA(VLOOKUP(F3772,songs!$B$1:$C$1539, 2, FALSE),"")</f>
        <v>Hard To Handle</v>
      </c>
      <c r="H3772" t="s">
        <v>1199</v>
      </c>
    </row>
    <row r="3773" spans="1:8" x14ac:dyDescent="0.25">
      <c r="A3773">
        <v>3772</v>
      </c>
      <c r="B3773" t="s">
        <v>4839</v>
      </c>
      <c r="C3773" t="s">
        <v>239</v>
      </c>
      <c r="D3773" t="str">
        <f t="shared" si="124"/>
        <v/>
      </c>
      <c r="E3773" t="str">
        <f t="shared" si="122"/>
        <v>cosmic charlie</v>
      </c>
      <c r="F3773" t="s">
        <v>5373</v>
      </c>
      <c r="G3773" t="str">
        <f>_xlfn.IFNA(VLOOKUP(F3773,songs!$B$1:$C$1539, 2, FALSE),"")</f>
        <v>Cosmic Charlie</v>
      </c>
      <c r="H3773" t="s">
        <v>239</v>
      </c>
    </row>
    <row r="3774" spans="1:8" x14ac:dyDescent="0.25">
      <c r="A3774">
        <v>3773</v>
      </c>
      <c r="B3774" t="s">
        <v>4840</v>
      </c>
      <c r="C3774" t="s">
        <v>4841</v>
      </c>
      <c r="D3774" t="str">
        <f t="shared" si="124"/>
        <v>&gt;</v>
      </c>
      <c r="E3774" t="str">
        <f t="shared" si="122"/>
        <v>cryptical envelopment</v>
      </c>
      <c r="F3774" t="s">
        <v>5408</v>
      </c>
      <c r="G3774" t="str">
        <f>_xlfn.IFNA(VLOOKUP(F3774,songs!$B$1:$C$1539, 2, FALSE),"")</f>
        <v>Cryptical Envelopment</v>
      </c>
      <c r="H3774" t="s">
        <v>233</v>
      </c>
    </row>
    <row r="3775" spans="1:8" x14ac:dyDescent="0.25">
      <c r="A3775">
        <v>3774</v>
      </c>
      <c r="B3775" t="s">
        <v>4842</v>
      </c>
      <c r="C3775" t="s">
        <v>275</v>
      </c>
      <c r="D3775" t="str">
        <f t="shared" si="124"/>
        <v>&gt;</v>
      </c>
      <c r="E3775" t="str">
        <f t="shared" si="122"/>
        <v>drums</v>
      </c>
      <c r="F3775" t="s">
        <v>5568</v>
      </c>
      <c r="G3775" t="str">
        <f>_xlfn.IFNA(VLOOKUP(F3775,songs!$B$1:$C$1539, 2, FALSE),"")</f>
        <v>Drums</v>
      </c>
      <c r="H3775" t="s">
        <v>100</v>
      </c>
    </row>
    <row r="3776" spans="1:8" x14ac:dyDescent="0.25">
      <c r="A3776">
        <v>3775</v>
      </c>
      <c r="B3776" t="s">
        <v>4843</v>
      </c>
      <c r="C3776" t="s">
        <v>747</v>
      </c>
      <c r="D3776" t="str">
        <f t="shared" si="124"/>
        <v>&gt;</v>
      </c>
      <c r="E3776" t="str">
        <f t="shared" si="122"/>
        <v>the other one</v>
      </c>
      <c r="F3776" t="s">
        <v>7325</v>
      </c>
      <c r="G3776" t="str">
        <f>_xlfn.IFNA(VLOOKUP(F3776,songs!$B$1:$C$1539, 2, FALSE),"")</f>
        <v>The Other One</v>
      </c>
      <c r="H3776" t="s">
        <v>139</v>
      </c>
    </row>
    <row r="3777" spans="1:8" x14ac:dyDescent="0.25">
      <c r="A3777">
        <v>3776</v>
      </c>
      <c r="B3777" t="s">
        <v>4844</v>
      </c>
      <c r="C3777" t="s">
        <v>233</v>
      </c>
      <c r="D3777" t="str">
        <f t="shared" si="124"/>
        <v/>
      </c>
      <c r="E3777" t="str">
        <f t="shared" si="122"/>
        <v>cryptical envelopment</v>
      </c>
      <c r="F3777" t="s">
        <v>5408</v>
      </c>
      <c r="G3777" t="str">
        <f>_xlfn.IFNA(VLOOKUP(F3777,songs!$B$1:$C$1539, 2, FALSE),"")</f>
        <v>Cryptical Envelopment</v>
      </c>
      <c r="H3777" t="s">
        <v>233</v>
      </c>
    </row>
    <row r="3778" spans="1:8" x14ac:dyDescent="0.25">
      <c r="A3778">
        <v>3777</v>
      </c>
      <c r="B3778" t="s">
        <v>4845</v>
      </c>
      <c r="C3778" t="s">
        <v>592</v>
      </c>
      <c r="D3778" t="str">
        <f t="shared" si="124"/>
        <v>&gt;</v>
      </c>
      <c r="E3778" t="str">
        <f t="shared" si="122"/>
        <v>china cat sunflower</v>
      </c>
      <c r="F3778" t="s">
        <v>5319</v>
      </c>
      <c r="G3778" t="str">
        <f>_xlfn.IFNA(VLOOKUP(F3778,songs!$B$1:$C$1539, 2, FALSE),"")</f>
        <v>China Cat Sunflower</v>
      </c>
      <c r="H3778" t="s">
        <v>84</v>
      </c>
    </row>
    <row r="3779" spans="1:8" x14ac:dyDescent="0.25">
      <c r="A3779">
        <v>3778</v>
      </c>
      <c r="B3779" t="s">
        <v>4846</v>
      </c>
      <c r="C3779" t="s">
        <v>4847</v>
      </c>
      <c r="D3779" t="str">
        <f t="shared" si="124"/>
        <v>&gt;</v>
      </c>
      <c r="E3779" t="str">
        <f t="shared" si="122"/>
        <v>sitting on top of the world</v>
      </c>
      <c r="F3779" t="s">
        <v>7024</v>
      </c>
      <c r="G3779" t="str">
        <f>_xlfn.IFNA(VLOOKUP(F3779,songs!$B$1:$C$1539, 2, FALSE),"")</f>
        <v>Sitting On Top Of The World</v>
      </c>
      <c r="H3779" t="s">
        <v>843</v>
      </c>
    </row>
    <row r="3780" spans="1:8" x14ac:dyDescent="0.25">
      <c r="A3780">
        <v>3779</v>
      </c>
      <c r="B3780" t="s">
        <v>4848</v>
      </c>
      <c r="C3780" t="s">
        <v>92</v>
      </c>
      <c r="D3780" t="str">
        <f t="shared" si="124"/>
        <v/>
      </c>
      <c r="E3780" t="str">
        <f t="shared" ref="E3780:E3843" si="125">LOWER(TRIM(SUBSTITUTE(IF(RIGHT(TRIM(C3780),2)="-&gt;",LEFT(TRIM(C3780),LEN(TRIM(C3780))-2),IF(RIGHT(TRIM(C3780),1)="&gt;",LEFT(TRIM(C3780),LEN(TRIM(C3780))-1),C3780)),"//","")))</f>
        <v>dark star</v>
      </c>
      <c r="F3780" t="s">
        <v>5428</v>
      </c>
      <c r="G3780" t="str">
        <f>_xlfn.IFNA(VLOOKUP(F3780,songs!$B$1:$C$1539, 2, FALSE),"")</f>
        <v>Dark Star</v>
      </c>
      <c r="H3780" t="s">
        <v>92</v>
      </c>
    </row>
    <row r="3781" spans="1:8" x14ac:dyDescent="0.25">
      <c r="A3781">
        <v>3780</v>
      </c>
      <c r="B3781" t="s">
        <v>4849</v>
      </c>
      <c r="C3781" t="s">
        <v>4850</v>
      </c>
      <c r="D3781" t="str">
        <f t="shared" si="124"/>
        <v>&gt;</v>
      </c>
      <c r="E3781" t="str">
        <f t="shared" si="125"/>
        <v>dire wolf</v>
      </c>
      <c r="F3781" t="s">
        <v>5497</v>
      </c>
      <c r="G3781" t="str">
        <f>_xlfn.IFNA(VLOOKUP(F3781,songs!$B$1:$C$1539, 2, FALSE),"")</f>
        <v>Dire Wolf</v>
      </c>
      <c r="H3781" t="s">
        <v>90</v>
      </c>
    </row>
    <row r="3782" spans="1:8" x14ac:dyDescent="0.25">
      <c r="A3782">
        <v>3781</v>
      </c>
      <c r="B3782" t="s">
        <v>4851</v>
      </c>
      <c r="C3782" t="s">
        <v>4852</v>
      </c>
      <c r="D3782" t="str">
        <f t="shared" si="124"/>
        <v>&gt;</v>
      </c>
      <c r="E3782" t="str">
        <f t="shared" si="125"/>
        <v>dupree's diamond blues</v>
      </c>
      <c r="F3782" t="s">
        <v>5573</v>
      </c>
      <c r="G3782" t="str">
        <f>_xlfn.IFNA(VLOOKUP(F3782,songs!$B$1:$C$1539, 2, FALSE),"")</f>
        <v>Dupree's Diamond Blues</v>
      </c>
      <c r="H3782" t="s">
        <v>556</v>
      </c>
    </row>
    <row r="3783" spans="1:8" x14ac:dyDescent="0.25">
      <c r="A3783">
        <v>3782</v>
      </c>
      <c r="B3783" t="s">
        <v>4853</v>
      </c>
      <c r="C3783" t="s">
        <v>4854</v>
      </c>
      <c r="D3783" t="str">
        <f t="shared" si="124"/>
        <v>&gt;</v>
      </c>
      <c r="E3783" t="str">
        <f t="shared" si="125"/>
        <v>mountains of the moon</v>
      </c>
      <c r="F3783" t="s">
        <v>6568</v>
      </c>
      <c r="G3783" t="str">
        <f>_xlfn.IFNA(VLOOKUP(F3783,songs!$B$1:$C$1539, 2, FALSE),"")</f>
        <v>Mountains Of The Moon</v>
      </c>
      <c r="H3783" t="s">
        <v>3983</v>
      </c>
    </row>
    <row r="3784" spans="1:8" x14ac:dyDescent="0.25">
      <c r="A3784">
        <v>3783</v>
      </c>
      <c r="B3784" t="s">
        <v>4855</v>
      </c>
      <c r="C3784" t="s">
        <v>92</v>
      </c>
      <c r="D3784" t="str">
        <f t="shared" ref="D3784:D3815" si="126">IF(RIGHT(TRIM(C3784),2)="-&gt;","&gt;",IF(RIGHT(TRIM(C3784),1)="&gt;","&gt;",""))</f>
        <v/>
      </c>
      <c r="E3784" t="str">
        <f t="shared" si="125"/>
        <v>dark star</v>
      </c>
      <c r="F3784" t="s">
        <v>5428</v>
      </c>
      <c r="G3784" t="str">
        <f>_xlfn.IFNA(VLOOKUP(F3784,songs!$B$1:$C$1539, 2, FALSE),"")</f>
        <v>Dark Star</v>
      </c>
      <c r="H3784" t="s">
        <v>92</v>
      </c>
    </row>
    <row r="3785" spans="1:8" x14ac:dyDescent="0.25">
      <c r="A3785">
        <v>3812</v>
      </c>
      <c r="B3785" t="s">
        <v>4884</v>
      </c>
      <c r="C3785" t="s">
        <v>2342</v>
      </c>
      <c r="D3785" t="str">
        <f t="shared" si="126"/>
        <v>&gt;</v>
      </c>
      <c r="E3785" t="str">
        <f t="shared" si="125"/>
        <v>goin' down the road feeling bad</v>
      </c>
      <c r="F3785" t="s">
        <v>5783</v>
      </c>
      <c r="G3785" t="str">
        <f>_xlfn.IFNA(VLOOKUP(F3785,songs!$B$1:$C$1539, 2, FALSE),"")</f>
        <v>Goin' Down The Road Feelin' Bad</v>
      </c>
      <c r="H3785" t="s">
        <v>7867</v>
      </c>
    </row>
    <row r="3786" spans="1:8" x14ac:dyDescent="0.25">
      <c r="A3786">
        <v>3785</v>
      </c>
      <c r="B3786" t="s">
        <v>4857</v>
      </c>
      <c r="C3786" t="s">
        <v>1521</v>
      </c>
      <c r="D3786" t="str">
        <f t="shared" si="126"/>
        <v/>
      </c>
      <c r="E3786" t="str">
        <f t="shared" si="125"/>
        <v>he was a friend of mine</v>
      </c>
      <c r="F3786" t="s">
        <v>5868</v>
      </c>
      <c r="G3786" t="str">
        <f>_xlfn.IFNA(VLOOKUP(F3786,songs!$B$1:$C$1539, 2, FALSE),"")</f>
        <v>He Was A Friend Of Mine</v>
      </c>
      <c r="H3786" t="s">
        <v>5869</v>
      </c>
    </row>
    <row r="3787" spans="1:8" x14ac:dyDescent="0.25">
      <c r="A3787">
        <v>3786</v>
      </c>
      <c r="B3787" t="s">
        <v>4858</v>
      </c>
      <c r="C3787" t="s">
        <v>84</v>
      </c>
      <c r="D3787" t="str">
        <f t="shared" si="126"/>
        <v/>
      </c>
      <c r="E3787" t="str">
        <f t="shared" si="125"/>
        <v>china cat sunflower</v>
      </c>
      <c r="F3787" t="s">
        <v>5319</v>
      </c>
      <c r="G3787" t="str">
        <f>_xlfn.IFNA(VLOOKUP(F3787,songs!$B$1:$C$1539, 2, FALSE),"")</f>
        <v>China Cat Sunflower</v>
      </c>
      <c r="H3787" t="s">
        <v>84</v>
      </c>
    </row>
    <row r="3788" spans="1:8" x14ac:dyDescent="0.25">
      <c r="A3788">
        <v>3787</v>
      </c>
      <c r="B3788" t="s">
        <v>4859</v>
      </c>
      <c r="C3788" t="s">
        <v>717</v>
      </c>
      <c r="D3788" t="str">
        <f t="shared" si="126"/>
        <v/>
      </c>
      <c r="E3788" t="str">
        <f t="shared" si="125"/>
        <v>new potato caboose</v>
      </c>
      <c r="F3788" t="s">
        <v>6621</v>
      </c>
      <c r="G3788" t="str">
        <f>_xlfn.IFNA(VLOOKUP(F3788,songs!$B$1:$C$1539, 2, FALSE),"")</f>
        <v>New Potato Caboose</v>
      </c>
      <c r="H3788" t="s">
        <v>717</v>
      </c>
    </row>
    <row r="3789" spans="1:8" x14ac:dyDescent="0.25">
      <c r="A3789">
        <v>3788</v>
      </c>
      <c r="B3789" t="s">
        <v>4860</v>
      </c>
      <c r="C3789" t="s">
        <v>595</v>
      </c>
      <c r="D3789" t="str">
        <f t="shared" si="126"/>
        <v/>
      </c>
      <c r="E3789" t="str">
        <f t="shared" si="125"/>
        <v>me and my uncle</v>
      </c>
      <c r="F3789" t="s">
        <v>6486</v>
      </c>
      <c r="G3789" t="str">
        <f>_xlfn.IFNA(VLOOKUP(F3789,songs!$B$1:$C$1539, 2, FALSE),"")</f>
        <v>Me And My Uncle</v>
      </c>
      <c r="H3789" t="s">
        <v>903</v>
      </c>
    </row>
    <row r="3790" spans="1:8" x14ac:dyDescent="0.25">
      <c r="A3790">
        <v>3789</v>
      </c>
      <c r="B3790" t="s">
        <v>4861</v>
      </c>
      <c r="C3790" t="s">
        <v>4841</v>
      </c>
      <c r="D3790" t="str">
        <f t="shared" si="126"/>
        <v>&gt;</v>
      </c>
      <c r="E3790" t="str">
        <f t="shared" si="125"/>
        <v>cryptical envelopment</v>
      </c>
      <c r="F3790" t="s">
        <v>5408</v>
      </c>
      <c r="G3790" t="str">
        <f>_xlfn.IFNA(VLOOKUP(F3790,songs!$B$1:$C$1539, 2, FALSE),"")</f>
        <v>Cryptical Envelopment</v>
      </c>
      <c r="H3790" t="s">
        <v>233</v>
      </c>
    </row>
    <row r="3791" spans="1:8" x14ac:dyDescent="0.25">
      <c r="A3791">
        <v>3790</v>
      </c>
      <c r="B3791" t="s">
        <v>4862</v>
      </c>
      <c r="C3791" t="s">
        <v>275</v>
      </c>
      <c r="D3791" t="str">
        <f t="shared" si="126"/>
        <v>&gt;</v>
      </c>
      <c r="E3791" t="str">
        <f t="shared" si="125"/>
        <v>drums</v>
      </c>
      <c r="F3791" t="s">
        <v>5568</v>
      </c>
      <c r="G3791" t="str">
        <f>_xlfn.IFNA(VLOOKUP(F3791,songs!$B$1:$C$1539, 2, FALSE),"")</f>
        <v>Drums</v>
      </c>
      <c r="H3791" t="s">
        <v>100</v>
      </c>
    </row>
    <row r="3792" spans="1:8" x14ac:dyDescent="0.25">
      <c r="A3792">
        <v>3791</v>
      </c>
      <c r="B3792" t="s">
        <v>4863</v>
      </c>
      <c r="C3792" t="s">
        <v>747</v>
      </c>
      <c r="D3792" t="str">
        <f t="shared" si="126"/>
        <v>&gt;</v>
      </c>
      <c r="E3792" t="str">
        <f t="shared" si="125"/>
        <v>the other one</v>
      </c>
      <c r="F3792" t="s">
        <v>7325</v>
      </c>
      <c r="G3792" t="str">
        <f>_xlfn.IFNA(VLOOKUP(F3792,songs!$B$1:$C$1539, 2, FALSE),"")</f>
        <v>The Other One</v>
      </c>
      <c r="H3792" t="s">
        <v>139</v>
      </c>
    </row>
    <row r="3793" spans="1:8" x14ac:dyDescent="0.25">
      <c r="A3793">
        <v>3792</v>
      </c>
      <c r="B3793" t="s">
        <v>4864</v>
      </c>
      <c r="C3793" t="s">
        <v>239</v>
      </c>
      <c r="D3793" t="str">
        <f t="shared" si="126"/>
        <v/>
      </c>
      <c r="E3793" t="str">
        <f t="shared" si="125"/>
        <v>cosmic charlie</v>
      </c>
      <c r="F3793" t="s">
        <v>5373</v>
      </c>
      <c r="G3793" t="str">
        <f>_xlfn.IFNA(VLOOKUP(F3793,songs!$B$1:$C$1539, 2, FALSE),"")</f>
        <v>Cosmic Charlie</v>
      </c>
      <c r="H3793" t="s">
        <v>239</v>
      </c>
    </row>
    <row r="3794" spans="1:8" x14ac:dyDescent="0.25">
      <c r="A3794">
        <v>3793</v>
      </c>
      <c r="B3794" t="s">
        <v>4865</v>
      </c>
      <c r="C3794" t="s">
        <v>81</v>
      </c>
      <c r="D3794" t="str">
        <f t="shared" si="126"/>
        <v/>
      </c>
      <c r="E3794" t="str">
        <f t="shared" si="125"/>
        <v>casey jones</v>
      </c>
      <c r="F3794" t="s">
        <v>5290</v>
      </c>
      <c r="G3794" t="str">
        <f>_xlfn.IFNA(VLOOKUP(F3794,songs!$B$1:$C$1539, 2, FALSE),"")</f>
        <v>Casey Jones</v>
      </c>
      <c r="H3794" t="s">
        <v>81</v>
      </c>
    </row>
    <row r="3795" spans="1:8" x14ac:dyDescent="0.25">
      <c r="A3795">
        <v>3794</v>
      </c>
      <c r="B3795" t="s">
        <v>4866</v>
      </c>
      <c r="C3795" t="s">
        <v>595</v>
      </c>
      <c r="D3795" t="str">
        <f t="shared" si="126"/>
        <v/>
      </c>
      <c r="E3795" t="str">
        <f t="shared" si="125"/>
        <v>me and my uncle</v>
      </c>
      <c r="F3795" t="s">
        <v>6486</v>
      </c>
      <c r="G3795" t="str">
        <f>_xlfn.IFNA(VLOOKUP(F3795,songs!$B$1:$C$1539, 2, FALSE),"")</f>
        <v>Me And My Uncle</v>
      </c>
      <c r="H3795" t="s">
        <v>903</v>
      </c>
    </row>
    <row r="3796" spans="1:8" x14ac:dyDescent="0.25">
      <c r="A3796">
        <v>3795</v>
      </c>
      <c r="B3796" t="s">
        <v>4867</v>
      </c>
      <c r="C3796" t="s">
        <v>225</v>
      </c>
      <c r="D3796" t="str">
        <f t="shared" si="126"/>
        <v/>
      </c>
      <c r="E3796" t="str">
        <f t="shared" si="125"/>
        <v>cumberland blues</v>
      </c>
      <c r="F3796" t="s">
        <v>5411</v>
      </c>
      <c r="G3796" t="str">
        <f>_xlfn.IFNA(VLOOKUP(F3796,songs!$B$1:$C$1539, 2, FALSE),"")</f>
        <v>Cumberland Blues</v>
      </c>
      <c r="H3796" t="s">
        <v>225</v>
      </c>
    </row>
    <row r="3797" spans="1:8" x14ac:dyDescent="0.25">
      <c r="A3797">
        <v>3796</v>
      </c>
      <c r="B3797" t="s">
        <v>4868</v>
      </c>
      <c r="C3797" t="s">
        <v>1017</v>
      </c>
      <c r="D3797" t="str">
        <f t="shared" si="126"/>
        <v/>
      </c>
      <c r="E3797" t="str">
        <f t="shared" si="125"/>
        <v>next time you see me</v>
      </c>
      <c r="F3797" t="s">
        <v>6629</v>
      </c>
      <c r="G3797" t="str">
        <f>_xlfn.IFNA(VLOOKUP(F3797,songs!$B$1:$C$1539, 2, FALSE),"")</f>
        <v>Next Time You See Me</v>
      </c>
      <c r="H3797" t="s">
        <v>1017</v>
      </c>
    </row>
    <row r="3798" spans="1:8" x14ac:dyDescent="0.25">
      <c r="A3798">
        <v>3797</v>
      </c>
      <c r="B3798" t="s">
        <v>4869</v>
      </c>
      <c r="C3798" t="s">
        <v>323</v>
      </c>
      <c r="D3798" t="str">
        <f t="shared" si="126"/>
        <v/>
      </c>
      <c r="E3798" t="str">
        <f t="shared" si="125"/>
        <v>bird song</v>
      </c>
      <c r="F3798" t="s">
        <v>5184</v>
      </c>
      <c r="G3798" t="str">
        <f>_xlfn.IFNA(VLOOKUP(F3798,songs!$B$1:$C$1539, 2, FALSE),"")</f>
        <v>Bird Song</v>
      </c>
      <c r="H3798" t="s">
        <v>323</v>
      </c>
    </row>
    <row r="3799" spans="1:8" x14ac:dyDescent="0.25">
      <c r="A3799">
        <v>3798</v>
      </c>
      <c r="B3799" t="s">
        <v>4870</v>
      </c>
      <c r="C3799" t="s">
        <v>1340</v>
      </c>
      <c r="D3799" t="str">
        <f t="shared" si="126"/>
        <v/>
      </c>
      <c r="E3799" t="str">
        <f t="shared" si="125"/>
        <v>me and bobby mcgee</v>
      </c>
      <c r="F3799" t="s">
        <v>6483</v>
      </c>
      <c r="G3799" t="str">
        <f>_xlfn.IFNA(VLOOKUP(F3799,songs!$B$1:$C$1539, 2, FALSE),"")</f>
        <v>Me And Bobby McGee</v>
      </c>
      <c r="H3799" t="s">
        <v>1228</v>
      </c>
    </row>
    <row r="3800" spans="1:8" x14ac:dyDescent="0.25">
      <c r="A3800">
        <v>3799</v>
      </c>
      <c r="B3800" t="s">
        <v>4871</v>
      </c>
      <c r="C3800" t="s">
        <v>298</v>
      </c>
      <c r="D3800" t="str">
        <f t="shared" si="126"/>
        <v/>
      </c>
      <c r="E3800" t="str">
        <f t="shared" si="125"/>
        <v>bertha</v>
      </c>
      <c r="F3800" t="s">
        <v>5158</v>
      </c>
      <c r="G3800" t="str">
        <f>_xlfn.IFNA(VLOOKUP(F3800,songs!$B$1:$C$1539, 2, FALSE),"")</f>
        <v>Bertha</v>
      </c>
      <c r="H3800" t="s">
        <v>298</v>
      </c>
    </row>
    <row r="3801" spans="1:8" x14ac:dyDescent="0.25">
      <c r="A3801">
        <v>3800</v>
      </c>
      <c r="B3801" t="s">
        <v>4872</v>
      </c>
      <c r="C3801" t="s">
        <v>1511</v>
      </c>
      <c r="D3801" t="str">
        <f t="shared" si="126"/>
        <v/>
      </c>
      <c r="E3801" t="str">
        <f t="shared" si="125"/>
        <v>hard to handle</v>
      </c>
      <c r="F3801" t="s">
        <v>5861</v>
      </c>
      <c r="G3801" t="str">
        <f>_xlfn.IFNA(VLOOKUP(F3801,songs!$B$1:$C$1539, 2, FALSE),"")</f>
        <v>Hard To Handle</v>
      </c>
      <c r="H3801" t="s">
        <v>1199</v>
      </c>
    </row>
    <row r="3802" spans="1:8" x14ac:dyDescent="0.25">
      <c r="A3802">
        <v>3801</v>
      </c>
      <c r="B3802" t="s">
        <v>4873</v>
      </c>
      <c r="C3802" t="s">
        <v>291</v>
      </c>
      <c r="D3802" t="str">
        <f t="shared" si="126"/>
        <v/>
      </c>
      <c r="E3802" t="str">
        <f t="shared" si="125"/>
        <v>loser</v>
      </c>
      <c r="F3802" t="s">
        <v>6400</v>
      </c>
      <c r="G3802" t="str">
        <f>_xlfn.IFNA(VLOOKUP(F3802,songs!$B$1:$C$1539, 2, FALSE),"")</f>
        <v>Loser</v>
      </c>
      <c r="H3802" t="s">
        <v>291</v>
      </c>
    </row>
    <row r="3803" spans="1:8" x14ac:dyDescent="0.25">
      <c r="A3803">
        <v>3802</v>
      </c>
      <c r="B3803" t="s">
        <v>4874</v>
      </c>
      <c r="C3803" t="s">
        <v>11</v>
      </c>
      <c r="D3803" t="str">
        <f t="shared" si="126"/>
        <v/>
      </c>
      <c r="E3803" t="str">
        <f t="shared" si="125"/>
        <v>playing in the band</v>
      </c>
      <c r="F3803" t="s">
        <v>6769</v>
      </c>
      <c r="G3803" t="str">
        <f>_xlfn.IFNA(VLOOKUP(F3803,songs!$B$1:$C$1539, 2, FALSE),"")</f>
        <v>Playing In The Band</v>
      </c>
      <c r="H3803" t="s">
        <v>419</v>
      </c>
    </row>
    <row r="3804" spans="1:8" x14ac:dyDescent="0.25">
      <c r="A3804">
        <v>3803</v>
      </c>
      <c r="B3804" t="s">
        <v>4875</v>
      </c>
      <c r="C3804" t="s">
        <v>242</v>
      </c>
      <c r="D3804" t="str">
        <f t="shared" si="126"/>
        <v/>
      </c>
      <c r="E3804" t="str">
        <f t="shared" si="125"/>
        <v>good lovin'</v>
      </c>
      <c r="F3804" t="s">
        <v>5810</v>
      </c>
      <c r="G3804" t="str">
        <f>_xlfn.IFNA(VLOOKUP(F3804,songs!$B$1:$C$1539, 2, FALSE),"")</f>
        <v>Good Lovin'</v>
      </c>
      <c r="H3804" t="s">
        <v>242</v>
      </c>
    </row>
    <row r="3805" spans="1:8" x14ac:dyDescent="0.25">
      <c r="A3805">
        <v>3804</v>
      </c>
      <c r="B3805" t="s">
        <v>4876</v>
      </c>
      <c r="C3805" t="s">
        <v>30</v>
      </c>
      <c r="D3805" t="str">
        <f t="shared" si="126"/>
        <v/>
      </c>
      <c r="E3805" t="str">
        <f t="shared" si="125"/>
        <v>sugar magnolia</v>
      </c>
      <c r="F3805" t="s">
        <v>7150</v>
      </c>
      <c r="G3805" t="str">
        <f>_xlfn.IFNA(VLOOKUP(F3805,songs!$B$1:$C$1539, 2, FALSE),"")</f>
        <v>Sugar Magnolia</v>
      </c>
      <c r="H3805" t="s">
        <v>30</v>
      </c>
    </row>
    <row r="3806" spans="1:8" x14ac:dyDescent="0.25">
      <c r="A3806">
        <v>3805</v>
      </c>
      <c r="B3806" t="s">
        <v>4877</v>
      </c>
      <c r="C3806" t="s">
        <v>1768</v>
      </c>
      <c r="D3806" t="str">
        <f t="shared" si="126"/>
        <v/>
      </c>
      <c r="E3806" t="str">
        <f t="shared" si="125"/>
        <v>i'm a king bee</v>
      </c>
      <c r="F3806" t="s">
        <v>6080</v>
      </c>
      <c r="G3806" t="str">
        <f>_xlfn.IFNA(VLOOKUP(F3806,songs!$B$1:$C$1539, 2, FALSE),"")</f>
        <v>I'm A King Bee</v>
      </c>
      <c r="H3806" t="s">
        <v>1768</v>
      </c>
    </row>
    <row r="3807" spans="1:8" x14ac:dyDescent="0.25">
      <c r="A3807">
        <v>3806</v>
      </c>
      <c r="B3807" t="s">
        <v>4878</v>
      </c>
      <c r="C3807" t="s">
        <v>154</v>
      </c>
      <c r="D3807" t="str">
        <f t="shared" si="126"/>
        <v/>
      </c>
      <c r="E3807" t="str">
        <f t="shared" si="125"/>
        <v>greatest story ever told</v>
      </c>
      <c r="F3807" t="s">
        <v>5826</v>
      </c>
      <c r="G3807" t="str">
        <f>_xlfn.IFNA(VLOOKUP(F3807,songs!$B$1:$C$1539, 2, FALSE),"")</f>
        <v>Greatest Story Ever Told</v>
      </c>
      <c r="H3807" t="s">
        <v>154</v>
      </c>
    </row>
    <row r="3808" spans="1:8" x14ac:dyDescent="0.25">
      <c r="A3808">
        <v>3807</v>
      </c>
      <c r="B3808" t="s">
        <v>4879</v>
      </c>
      <c r="C3808" t="s">
        <v>148</v>
      </c>
      <c r="D3808" t="str">
        <f t="shared" si="126"/>
        <v/>
      </c>
      <c r="E3808" t="str">
        <f t="shared" si="125"/>
        <v>johnny b. goode</v>
      </c>
      <c r="F3808" t="s">
        <v>6192</v>
      </c>
      <c r="G3808" t="str">
        <f>_xlfn.IFNA(VLOOKUP(F3808,songs!$B$1:$C$1539, 2, FALSE),"")</f>
        <v>Johnny B. Goode</v>
      </c>
      <c r="H3808" t="s">
        <v>148</v>
      </c>
    </row>
    <row r="3809" spans="1:8" x14ac:dyDescent="0.25">
      <c r="A3809">
        <v>3808</v>
      </c>
      <c r="B3809" t="s">
        <v>4880</v>
      </c>
      <c r="C3809" t="s">
        <v>264</v>
      </c>
      <c r="D3809" t="str">
        <f t="shared" si="126"/>
        <v/>
      </c>
      <c r="E3809" t="str">
        <f t="shared" si="125"/>
        <v>deal</v>
      </c>
      <c r="F3809" t="s">
        <v>5461</v>
      </c>
      <c r="G3809" t="str">
        <f>_xlfn.IFNA(VLOOKUP(F3809,songs!$B$1:$C$1539, 2, FALSE),"")</f>
        <v>Deal</v>
      </c>
      <c r="H3809" t="s">
        <v>264</v>
      </c>
    </row>
    <row r="3810" spans="1:8" x14ac:dyDescent="0.25">
      <c r="A3810">
        <v>3822</v>
      </c>
      <c r="B3810" t="s">
        <v>4894</v>
      </c>
      <c r="C3810" t="s">
        <v>2342</v>
      </c>
      <c r="D3810" t="str">
        <f t="shared" si="126"/>
        <v>&gt;</v>
      </c>
      <c r="E3810" t="str">
        <f t="shared" si="125"/>
        <v>goin' down the road feeling bad</v>
      </c>
      <c r="F3810" t="s">
        <v>5783</v>
      </c>
      <c r="G3810" t="str">
        <f>_xlfn.IFNA(VLOOKUP(F3810,songs!$B$1:$C$1539, 2, FALSE),"")</f>
        <v>Goin' Down The Road Feelin' Bad</v>
      </c>
      <c r="H3810" t="s">
        <v>7867</v>
      </c>
    </row>
    <row r="3811" spans="1:8" x14ac:dyDescent="0.25">
      <c r="A3811">
        <v>3810</v>
      </c>
      <c r="B3811" t="s">
        <v>4882</v>
      </c>
      <c r="C3811" t="s">
        <v>924</v>
      </c>
      <c r="D3811" t="str">
        <f t="shared" si="126"/>
        <v>&gt;</v>
      </c>
      <c r="E3811" t="str">
        <f t="shared" si="125"/>
        <v>truckin'</v>
      </c>
      <c r="F3811" t="s">
        <v>7436</v>
      </c>
      <c r="G3811" t="str">
        <f>_xlfn.IFNA(VLOOKUP(F3811,songs!$B$1:$C$1539, 2, FALSE),"")</f>
        <v>Truckin'</v>
      </c>
      <c r="H3811" t="s">
        <v>15</v>
      </c>
    </row>
    <row r="3812" spans="1:8" x14ac:dyDescent="0.25">
      <c r="A3812">
        <v>3811</v>
      </c>
      <c r="B3812" t="s">
        <v>4883</v>
      </c>
      <c r="C3812" t="s">
        <v>905</v>
      </c>
      <c r="D3812" t="str">
        <f t="shared" si="126"/>
        <v>&gt;</v>
      </c>
      <c r="E3812" t="str">
        <f t="shared" si="125"/>
        <v>not fade away</v>
      </c>
      <c r="F3812" t="s">
        <v>6651</v>
      </c>
      <c r="G3812" t="str">
        <f>_xlfn.IFNA(VLOOKUP(F3812,songs!$B$1:$C$1539, 2, FALSE),"")</f>
        <v>Not Fade Away</v>
      </c>
      <c r="H3812" t="s">
        <v>34</v>
      </c>
    </row>
    <row r="3813" spans="1:8" x14ac:dyDescent="0.25">
      <c r="A3813">
        <v>3830</v>
      </c>
      <c r="B3813" t="s">
        <v>4902</v>
      </c>
      <c r="C3813" t="s">
        <v>4903</v>
      </c>
      <c r="D3813" t="str">
        <f t="shared" si="126"/>
        <v/>
      </c>
      <c r="E3813" t="str">
        <f t="shared" si="125"/>
        <v>ain't it crazy</v>
      </c>
      <c r="F3813" t="s">
        <v>7327</v>
      </c>
      <c r="G3813" t="str">
        <f>_xlfn.IFNA(VLOOKUP(F3813,songs!$B$1:$C$1539, 2, FALSE),"")</f>
        <v>The Rub</v>
      </c>
      <c r="H3813" t="s">
        <v>7867</v>
      </c>
    </row>
    <row r="3814" spans="1:8" x14ac:dyDescent="0.25">
      <c r="A3814">
        <v>3813</v>
      </c>
      <c r="B3814" t="s">
        <v>4885</v>
      </c>
      <c r="C3814" t="s">
        <v>905</v>
      </c>
      <c r="D3814" t="str">
        <f t="shared" si="126"/>
        <v>&gt;</v>
      </c>
      <c r="E3814" t="str">
        <f t="shared" si="125"/>
        <v>not fade away</v>
      </c>
      <c r="F3814" t="s">
        <v>6651</v>
      </c>
      <c r="G3814" t="str">
        <f>_xlfn.IFNA(VLOOKUP(F3814,songs!$B$1:$C$1539, 2, FALSE),"")</f>
        <v>Not Fade Away</v>
      </c>
      <c r="H3814" t="s">
        <v>34</v>
      </c>
    </row>
    <row r="3815" spans="1:8" x14ac:dyDescent="0.25">
      <c r="A3815">
        <v>3814</v>
      </c>
      <c r="B3815" t="s">
        <v>4886</v>
      </c>
      <c r="C3815" t="s">
        <v>507</v>
      </c>
      <c r="D3815" t="str">
        <f t="shared" si="126"/>
        <v/>
      </c>
      <c r="E3815" t="str">
        <f t="shared" si="125"/>
        <v>turn on your lovelight</v>
      </c>
      <c r="F3815" t="s">
        <v>7447</v>
      </c>
      <c r="G3815" t="str">
        <f>_xlfn.IFNA(VLOOKUP(F3815,songs!$B$1:$C$1539, 2, FALSE),"")</f>
        <v>Turn On Your Lovelight</v>
      </c>
      <c r="H3815" t="s">
        <v>507</v>
      </c>
    </row>
    <row r="3816" spans="1:8" x14ac:dyDescent="0.25">
      <c r="A3816">
        <v>3815</v>
      </c>
      <c r="B3816" t="s">
        <v>4887</v>
      </c>
      <c r="C3816" t="s">
        <v>1511</v>
      </c>
      <c r="D3816" t="str">
        <f t="shared" ref="D3816:D3847" si="127">IF(RIGHT(TRIM(C3816),2)="-&gt;","&gt;",IF(RIGHT(TRIM(C3816),1)="&gt;","&gt;",""))</f>
        <v/>
      </c>
      <c r="E3816" t="str">
        <f t="shared" si="125"/>
        <v>hard to handle</v>
      </c>
      <c r="F3816" t="s">
        <v>5861</v>
      </c>
      <c r="G3816" t="str">
        <f>_xlfn.IFNA(VLOOKUP(F3816,songs!$B$1:$C$1539, 2, FALSE),"")</f>
        <v>Hard To Handle</v>
      </c>
      <c r="H3816" t="s">
        <v>1199</v>
      </c>
    </row>
    <row r="3817" spans="1:8" x14ac:dyDescent="0.25">
      <c r="A3817">
        <v>3816</v>
      </c>
      <c r="B3817" t="s">
        <v>4888</v>
      </c>
      <c r="C3817" t="s">
        <v>4841</v>
      </c>
      <c r="D3817" t="str">
        <f t="shared" si="127"/>
        <v>&gt;</v>
      </c>
      <c r="E3817" t="str">
        <f t="shared" si="125"/>
        <v>cryptical envelopment</v>
      </c>
      <c r="F3817" t="s">
        <v>5408</v>
      </c>
      <c r="G3817" t="str">
        <f>_xlfn.IFNA(VLOOKUP(F3817,songs!$B$1:$C$1539, 2, FALSE),"")</f>
        <v>Cryptical Envelopment</v>
      </c>
      <c r="H3817" t="s">
        <v>233</v>
      </c>
    </row>
    <row r="3818" spans="1:8" x14ac:dyDescent="0.25">
      <c r="A3818">
        <v>3817</v>
      </c>
      <c r="B3818" t="s">
        <v>4889</v>
      </c>
      <c r="C3818" t="s">
        <v>275</v>
      </c>
      <c r="D3818" t="str">
        <f t="shared" si="127"/>
        <v>&gt;</v>
      </c>
      <c r="E3818" t="str">
        <f t="shared" si="125"/>
        <v>drums</v>
      </c>
      <c r="F3818" t="s">
        <v>5568</v>
      </c>
      <c r="G3818" t="str">
        <f>_xlfn.IFNA(VLOOKUP(F3818,songs!$B$1:$C$1539, 2, FALSE),"")</f>
        <v>Drums</v>
      </c>
      <c r="H3818" t="s">
        <v>100</v>
      </c>
    </row>
    <row r="3819" spans="1:8" x14ac:dyDescent="0.25">
      <c r="A3819">
        <v>3818</v>
      </c>
      <c r="B3819" t="s">
        <v>4890</v>
      </c>
      <c r="C3819" t="s">
        <v>747</v>
      </c>
      <c r="D3819" t="str">
        <f t="shared" si="127"/>
        <v>&gt;</v>
      </c>
      <c r="E3819" t="str">
        <f t="shared" si="125"/>
        <v>the other one</v>
      </c>
      <c r="F3819" t="s">
        <v>7325</v>
      </c>
      <c r="G3819" t="str">
        <f>_xlfn.IFNA(VLOOKUP(F3819,songs!$B$1:$C$1539, 2, FALSE),"")</f>
        <v>The Other One</v>
      </c>
      <c r="H3819" t="s">
        <v>139</v>
      </c>
    </row>
    <row r="3820" spans="1:8" x14ac:dyDescent="0.25">
      <c r="A3820">
        <v>3819</v>
      </c>
      <c r="B3820" t="s">
        <v>4891</v>
      </c>
      <c r="C3820" t="s">
        <v>73</v>
      </c>
      <c r="D3820" t="str">
        <f t="shared" si="127"/>
        <v/>
      </c>
      <c r="E3820" t="str">
        <f t="shared" si="125"/>
        <v>wharf rat</v>
      </c>
      <c r="F3820" t="s">
        <v>7664</v>
      </c>
      <c r="G3820" t="str">
        <f>_xlfn.IFNA(VLOOKUP(F3820,songs!$B$1:$C$1539, 2, FALSE),"")</f>
        <v>Wharf Rat</v>
      </c>
      <c r="H3820" t="s">
        <v>73</v>
      </c>
    </row>
    <row r="3821" spans="1:8" x14ac:dyDescent="0.25">
      <c r="A3821">
        <v>3820</v>
      </c>
      <c r="B3821" t="s">
        <v>4892</v>
      </c>
      <c r="C3821" t="s">
        <v>3166</v>
      </c>
      <c r="D3821" t="str">
        <f t="shared" si="127"/>
        <v/>
      </c>
      <c r="E3821" t="str">
        <f t="shared" si="125"/>
        <v>ripple</v>
      </c>
      <c r="F3821" t="s">
        <v>6864</v>
      </c>
      <c r="G3821" t="str">
        <f>_xlfn.IFNA(VLOOKUP(F3821,songs!$B$1:$C$1539, 2, FALSE),"")</f>
        <v>Ripple</v>
      </c>
      <c r="H3821" t="s">
        <v>3166</v>
      </c>
    </row>
    <row r="3822" spans="1:8" x14ac:dyDescent="0.25">
      <c r="A3822">
        <v>3821</v>
      </c>
      <c r="B3822" t="s">
        <v>4893</v>
      </c>
      <c r="C3822" t="s">
        <v>905</v>
      </c>
      <c r="D3822" t="str">
        <f t="shared" si="127"/>
        <v>&gt;</v>
      </c>
      <c r="E3822" t="str">
        <f t="shared" si="125"/>
        <v>not fade away</v>
      </c>
      <c r="F3822" t="s">
        <v>6651</v>
      </c>
      <c r="G3822" t="str">
        <f>_xlfn.IFNA(VLOOKUP(F3822,songs!$B$1:$C$1539, 2, FALSE),"")</f>
        <v>Not Fade Away</v>
      </c>
      <c r="H3822" t="s">
        <v>34</v>
      </c>
    </row>
    <row r="3823" spans="1:8" x14ac:dyDescent="0.25">
      <c r="A3823">
        <v>3838</v>
      </c>
      <c r="B3823" t="s">
        <v>4911</v>
      </c>
      <c r="C3823" t="s">
        <v>2342</v>
      </c>
      <c r="D3823" t="str">
        <f t="shared" si="127"/>
        <v>&gt;</v>
      </c>
      <c r="E3823" t="str">
        <f t="shared" si="125"/>
        <v>goin' down the road feeling bad</v>
      </c>
      <c r="F3823" t="s">
        <v>5783</v>
      </c>
      <c r="G3823" t="str">
        <f>_xlfn.IFNA(VLOOKUP(F3823,songs!$B$1:$C$1539, 2, FALSE),"")</f>
        <v>Goin' Down The Road Feelin' Bad</v>
      </c>
      <c r="H3823" t="s">
        <v>7867</v>
      </c>
    </row>
    <row r="3824" spans="1:8" x14ac:dyDescent="0.25">
      <c r="A3824">
        <v>3823</v>
      </c>
      <c r="B3824" t="s">
        <v>4895</v>
      </c>
      <c r="C3824" t="s">
        <v>905</v>
      </c>
      <c r="D3824" t="str">
        <f t="shared" si="127"/>
        <v>&gt;</v>
      </c>
      <c r="E3824" t="str">
        <f t="shared" si="125"/>
        <v>not fade away</v>
      </c>
      <c r="F3824" t="s">
        <v>6651</v>
      </c>
      <c r="G3824" t="str">
        <f>_xlfn.IFNA(VLOOKUP(F3824,songs!$B$1:$C$1539, 2, FALSE),"")</f>
        <v>Not Fade Away</v>
      </c>
      <c r="H3824" t="s">
        <v>34</v>
      </c>
    </row>
    <row r="3825" spans="1:8" x14ac:dyDescent="0.25">
      <c r="A3825">
        <v>3824</v>
      </c>
      <c r="B3825" t="s">
        <v>4896</v>
      </c>
      <c r="C3825" t="s">
        <v>507</v>
      </c>
      <c r="D3825" t="str">
        <f t="shared" si="127"/>
        <v/>
      </c>
      <c r="E3825" t="str">
        <f t="shared" si="125"/>
        <v>turn on your lovelight</v>
      </c>
      <c r="F3825" t="s">
        <v>7447</v>
      </c>
      <c r="G3825" t="str">
        <f>_xlfn.IFNA(VLOOKUP(F3825,songs!$B$1:$C$1539, 2, FALSE),"")</f>
        <v>Turn On Your Lovelight</v>
      </c>
      <c r="H3825" t="s">
        <v>507</v>
      </c>
    </row>
    <row r="3826" spans="1:8" x14ac:dyDescent="0.25">
      <c r="A3826">
        <v>3825</v>
      </c>
      <c r="B3826" t="s">
        <v>4897</v>
      </c>
      <c r="C3826" t="s">
        <v>15</v>
      </c>
      <c r="D3826" t="str">
        <f t="shared" si="127"/>
        <v/>
      </c>
      <c r="E3826" t="str">
        <f t="shared" si="125"/>
        <v>truckin'</v>
      </c>
      <c r="F3826" t="s">
        <v>7436</v>
      </c>
      <c r="G3826" t="str">
        <f>_xlfn.IFNA(VLOOKUP(F3826,songs!$B$1:$C$1539, 2, FALSE),"")</f>
        <v>Truckin'</v>
      </c>
      <c r="H3826" t="s">
        <v>15</v>
      </c>
    </row>
    <row r="3827" spans="1:8" x14ac:dyDescent="0.25">
      <c r="A3827">
        <v>3826</v>
      </c>
      <c r="B3827" t="s">
        <v>4898</v>
      </c>
      <c r="C3827" t="s">
        <v>291</v>
      </c>
      <c r="D3827" t="str">
        <f t="shared" si="127"/>
        <v/>
      </c>
      <c r="E3827" t="str">
        <f t="shared" si="125"/>
        <v>loser</v>
      </c>
      <c r="F3827" t="s">
        <v>6400</v>
      </c>
      <c r="G3827" t="str">
        <f>_xlfn.IFNA(VLOOKUP(F3827,songs!$B$1:$C$1539, 2, FALSE),"")</f>
        <v>Loser</v>
      </c>
      <c r="H3827" t="s">
        <v>291</v>
      </c>
    </row>
    <row r="3828" spans="1:8" x14ac:dyDescent="0.25">
      <c r="A3828">
        <v>3827</v>
      </c>
      <c r="B3828" t="s">
        <v>4899</v>
      </c>
      <c r="C3828" t="s">
        <v>1511</v>
      </c>
      <c r="D3828" t="str">
        <f t="shared" si="127"/>
        <v/>
      </c>
      <c r="E3828" t="str">
        <f t="shared" si="125"/>
        <v>hard to handle</v>
      </c>
      <c r="F3828" t="s">
        <v>5861</v>
      </c>
      <c r="G3828" t="str">
        <f>_xlfn.IFNA(VLOOKUP(F3828,songs!$B$1:$C$1539, 2, FALSE),"")</f>
        <v>Hard To Handle</v>
      </c>
      <c r="H3828" t="s">
        <v>1199</v>
      </c>
    </row>
    <row r="3829" spans="1:8" x14ac:dyDescent="0.25">
      <c r="A3829">
        <v>3828</v>
      </c>
      <c r="B3829" t="s">
        <v>4900</v>
      </c>
      <c r="C3829" t="s">
        <v>1340</v>
      </c>
      <c r="D3829" t="str">
        <f t="shared" si="127"/>
        <v/>
      </c>
      <c r="E3829" t="str">
        <f t="shared" si="125"/>
        <v>me and bobby mcgee</v>
      </c>
      <c r="F3829" t="s">
        <v>6483</v>
      </c>
      <c r="G3829" t="str">
        <f>_xlfn.IFNA(VLOOKUP(F3829,songs!$B$1:$C$1539, 2, FALSE),"")</f>
        <v>Me And Bobby McGee</v>
      </c>
      <c r="H3829" t="s">
        <v>1228</v>
      </c>
    </row>
    <row r="3830" spans="1:8" x14ac:dyDescent="0.25">
      <c r="A3830">
        <v>3829</v>
      </c>
      <c r="B3830" t="s">
        <v>4901</v>
      </c>
      <c r="C3830" t="s">
        <v>113</v>
      </c>
      <c r="D3830" t="str">
        <f t="shared" si="127"/>
        <v/>
      </c>
      <c r="E3830" t="str">
        <f t="shared" si="125"/>
        <v>cold rain and snow</v>
      </c>
      <c r="F3830" t="s">
        <v>5347</v>
      </c>
      <c r="G3830" t="str">
        <f>_xlfn.IFNA(VLOOKUP(F3830,songs!$B$1:$C$1539, 2, FALSE),"")</f>
        <v>Cold Rain And Snow</v>
      </c>
      <c r="H3830" t="s">
        <v>429</v>
      </c>
    </row>
    <row r="3831" spans="1:8" x14ac:dyDescent="0.25">
      <c r="A3831">
        <v>3907</v>
      </c>
      <c r="B3831" t="s">
        <v>4981</v>
      </c>
      <c r="C3831" t="s">
        <v>122</v>
      </c>
      <c r="D3831" t="str">
        <f t="shared" si="127"/>
        <v/>
      </c>
      <c r="E3831" t="str">
        <f t="shared" si="125"/>
        <v>new minglewood blues</v>
      </c>
      <c r="F3831" t="s">
        <v>7869</v>
      </c>
      <c r="G3831" t="str">
        <f>_xlfn.IFNA(VLOOKUP(F3831,songs!$B$1:$C$1539, 2, FALSE),"")</f>
        <v>Minglewood Blues</v>
      </c>
      <c r="H3831" t="s">
        <v>7867</v>
      </c>
    </row>
    <row r="3832" spans="1:8" x14ac:dyDescent="0.25">
      <c r="A3832">
        <v>3831</v>
      </c>
      <c r="B3832" t="s">
        <v>4904</v>
      </c>
      <c r="C3832" t="s">
        <v>11</v>
      </c>
      <c r="D3832" t="str">
        <f t="shared" si="127"/>
        <v/>
      </c>
      <c r="E3832" t="str">
        <f t="shared" si="125"/>
        <v>playing in the band</v>
      </c>
      <c r="F3832" t="s">
        <v>6769</v>
      </c>
      <c r="G3832" t="str">
        <f>_xlfn.IFNA(VLOOKUP(F3832,songs!$B$1:$C$1539, 2, FALSE),"")</f>
        <v>Playing In The Band</v>
      </c>
      <c r="H3832" t="s">
        <v>419</v>
      </c>
    </row>
    <row r="3833" spans="1:8" x14ac:dyDescent="0.25">
      <c r="A3833">
        <v>3832</v>
      </c>
      <c r="B3833" t="s">
        <v>4905</v>
      </c>
      <c r="C3833" t="s">
        <v>124</v>
      </c>
      <c r="D3833" t="str">
        <f t="shared" si="127"/>
        <v/>
      </c>
      <c r="E3833" t="str">
        <f t="shared" si="125"/>
        <v>friend of the devil</v>
      </c>
      <c r="F3833" t="s">
        <v>5721</v>
      </c>
      <c r="G3833" t="str">
        <f>_xlfn.IFNA(VLOOKUP(F3833,songs!$B$1:$C$1539, 2, FALSE),"")</f>
        <v>Friend Of The Devil</v>
      </c>
      <c r="H3833" t="s">
        <v>464</v>
      </c>
    </row>
    <row r="3834" spans="1:8" x14ac:dyDescent="0.25">
      <c r="A3834">
        <v>3833</v>
      </c>
      <c r="B3834" t="s">
        <v>4906</v>
      </c>
      <c r="C3834" t="s">
        <v>81</v>
      </c>
      <c r="D3834" t="str">
        <f t="shared" si="127"/>
        <v/>
      </c>
      <c r="E3834" t="str">
        <f t="shared" si="125"/>
        <v>casey jones</v>
      </c>
      <c r="F3834" t="s">
        <v>5290</v>
      </c>
      <c r="G3834" t="str">
        <f>_xlfn.IFNA(VLOOKUP(F3834,songs!$B$1:$C$1539, 2, FALSE),"")</f>
        <v>Casey Jones</v>
      </c>
      <c r="H3834" t="s">
        <v>81</v>
      </c>
    </row>
    <row r="3835" spans="1:8" x14ac:dyDescent="0.25">
      <c r="A3835">
        <v>3834</v>
      </c>
      <c r="B3835" t="s">
        <v>4907</v>
      </c>
      <c r="C3835" t="s">
        <v>212</v>
      </c>
      <c r="D3835" t="str">
        <f t="shared" si="127"/>
        <v/>
      </c>
      <c r="E3835" t="str">
        <f t="shared" si="125"/>
        <v>morning dew</v>
      </c>
      <c r="F3835" t="s">
        <v>6555</v>
      </c>
      <c r="G3835" t="str">
        <f>_xlfn.IFNA(VLOOKUP(F3835,songs!$B$1:$C$1539, 2, FALSE),"")</f>
        <v>Morning Dew</v>
      </c>
      <c r="H3835" t="s">
        <v>212</v>
      </c>
    </row>
    <row r="3836" spans="1:8" x14ac:dyDescent="0.25">
      <c r="A3836">
        <v>3835</v>
      </c>
      <c r="B3836" t="s">
        <v>4908</v>
      </c>
      <c r="C3836" t="s">
        <v>298</v>
      </c>
      <c r="D3836" t="str">
        <f t="shared" si="127"/>
        <v/>
      </c>
      <c r="E3836" t="str">
        <f t="shared" si="125"/>
        <v>bertha</v>
      </c>
      <c r="F3836" t="s">
        <v>5158</v>
      </c>
      <c r="G3836" t="str">
        <f>_xlfn.IFNA(VLOOKUP(F3836,songs!$B$1:$C$1539, 2, FALSE),"")</f>
        <v>Bertha</v>
      </c>
      <c r="H3836" t="s">
        <v>298</v>
      </c>
    </row>
    <row r="3837" spans="1:8" x14ac:dyDescent="0.25">
      <c r="A3837">
        <v>3836</v>
      </c>
      <c r="B3837" t="s">
        <v>4909</v>
      </c>
      <c r="C3837" t="s">
        <v>242</v>
      </c>
      <c r="D3837" t="str">
        <f t="shared" si="127"/>
        <v/>
      </c>
      <c r="E3837" t="str">
        <f t="shared" si="125"/>
        <v>good lovin'</v>
      </c>
      <c r="F3837" t="s">
        <v>5810</v>
      </c>
      <c r="G3837" t="str">
        <f>_xlfn.IFNA(VLOOKUP(F3837,songs!$B$1:$C$1539, 2, FALSE),"")</f>
        <v>Good Lovin'</v>
      </c>
      <c r="H3837" t="s">
        <v>242</v>
      </c>
    </row>
    <row r="3838" spans="1:8" x14ac:dyDescent="0.25">
      <c r="A3838">
        <v>3837</v>
      </c>
      <c r="B3838" t="s">
        <v>4910</v>
      </c>
      <c r="C3838" t="s">
        <v>905</v>
      </c>
      <c r="D3838" t="str">
        <f t="shared" si="127"/>
        <v>&gt;</v>
      </c>
      <c r="E3838" t="str">
        <f t="shared" si="125"/>
        <v>not fade away</v>
      </c>
      <c r="F3838" t="s">
        <v>6651</v>
      </c>
      <c r="G3838" t="str">
        <f>_xlfn.IFNA(VLOOKUP(F3838,songs!$B$1:$C$1539, 2, FALSE),"")</f>
        <v>Not Fade Away</v>
      </c>
      <c r="H3838" t="s">
        <v>34</v>
      </c>
    </row>
    <row r="3839" spans="1:8" x14ac:dyDescent="0.25">
      <c r="A3839">
        <v>2472</v>
      </c>
      <c r="B3839" t="s">
        <v>2974</v>
      </c>
      <c r="C3839" t="s">
        <v>2975</v>
      </c>
      <c r="D3839" t="str">
        <f t="shared" si="127"/>
        <v/>
      </c>
      <c r="E3839" t="str">
        <f t="shared" si="125"/>
        <v>wolfman jack introduction</v>
      </c>
      <c r="F3839" t="s">
        <v>7838</v>
      </c>
      <c r="G3839" t="str">
        <f>_xlfn.IFNA(VLOOKUP(F3839,songs!$B$1:$C$1539, 2, FALSE),"")</f>
        <v/>
      </c>
      <c r="H3839" t="s">
        <v>7867</v>
      </c>
    </row>
    <row r="3840" spans="1:8" x14ac:dyDescent="0.25">
      <c r="A3840">
        <v>3839</v>
      </c>
      <c r="B3840" t="s">
        <v>4912</v>
      </c>
      <c r="C3840" t="s">
        <v>905</v>
      </c>
      <c r="D3840" t="str">
        <f t="shared" si="127"/>
        <v>&gt;</v>
      </c>
      <c r="E3840" t="str">
        <f t="shared" si="125"/>
        <v>not fade away</v>
      </c>
      <c r="F3840" t="s">
        <v>6651</v>
      </c>
      <c r="G3840" t="str">
        <f>_xlfn.IFNA(VLOOKUP(F3840,songs!$B$1:$C$1539, 2, FALSE),"")</f>
        <v>Not Fade Away</v>
      </c>
      <c r="H3840" t="s">
        <v>34</v>
      </c>
    </row>
    <row r="3841" spans="1:8" x14ac:dyDescent="0.25">
      <c r="A3841">
        <v>3840</v>
      </c>
      <c r="B3841" t="s">
        <v>4913</v>
      </c>
      <c r="C3841" t="s">
        <v>133</v>
      </c>
      <c r="D3841" t="str">
        <f t="shared" si="127"/>
        <v/>
      </c>
      <c r="E3841" t="str">
        <f t="shared" si="125"/>
        <v>uncle john's band</v>
      </c>
      <c r="F3841" t="s">
        <v>7466</v>
      </c>
      <c r="G3841" t="str">
        <f>_xlfn.IFNA(VLOOKUP(F3841,songs!$B$1:$C$1539, 2, FALSE),"")</f>
        <v>Uncle John's Band</v>
      </c>
      <c r="H3841" t="s">
        <v>133</v>
      </c>
    </row>
    <row r="3842" spans="1:8" x14ac:dyDescent="0.25">
      <c r="A3842">
        <v>3841</v>
      </c>
      <c r="B3842" t="s">
        <v>4914</v>
      </c>
      <c r="C3842" t="s">
        <v>15</v>
      </c>
      <c r="D3842" t="str">
        <f t="shared" si="127"/>
        <v/>
      </c>
      <c r="E3842" t="str">
        <f t="shared" si="125"/>
        <v>truckin'</v>
      </c>
      <c r="F3842" t="s">
        <v>7436</v>
      </c>
      <c r="G3842" t="str">
        <f>_xlfn.IFNA(VLOOKUP(F3842,songs!$B$1:$C$1539, 2, FALSE),"")</f>
        <v>Truckin'</v>
      </c>
      <c r="H3842" t="s">
        <v>15</v>
      </c>
    </row>
    <row r="3843" spans="1:8" x14ac:dyDescent="0.25">
      <c r="A3843">
        <v>3842</v>
      </c>
      <c r="B3843" t="s">
        <v>4915</v>
      </c>
      <c r="C3843" t="s">
        <v>158</v>
      </c>
      <c r="D3843" t="str">
        <f t="shared" si="127"/>
        <v/>
      </c>
      <c r="E3843" t="str">
        <f t="shared" si="125"/>
        <v>mama tried</v>
      </c>
      <c r="F3843" t="s">
        <v>6454</v>
      </c>
      <c r="G3843" t="str">
        <f>_xlfn.IFNA(VLOOKUP(F3843,songs!$B$1:$C$1539, 2, FALSE),"")</f>
        <v>Mama Tried</v>
      </c>
      <c r="H3843" t="s">
        <v>158</v>
      </c>
    </row>
    <row r="3844" spans="1:8" x14ac:dyDescent="0.25">
      <c r="A3844">
        <v>3843</v>
      </c>
      <c r="B3844" t="s">
        <v>4916</v>
      </c>
      <c r="C3844" t="s">
        <v>298</v>
      </c>
      <c r="D3844" t="str">
        <f t="shared" si="127"/>
        <v/>
      </c>
      <c r="E3844" t="str">
        <f t="shared" ref="E3844:E3908" si="128">LOWER(TRIM(SUBSTITUTE(IF(RIGHT(TRIM(C3844),2)="-&gt;",LEFT(TRIM(C3844),LEN(TRIM(C3844))-2),IF(RIGHT(TRIM(C3844),1)="&gt;",LEFT(TRIM(C3844),LEN(TRIM(C3844))-1),C3844)),"//","")))</f>
        <v>bertha</v>
      </c>
      <c r="F3844" t="s">
        <v>5158</v>
      </c>
      <c r="G3844" t="str">
        <f>_xlfn.IFNA(VLOOKUP(F3844,songs!$B$1:$C$1539, 2, FALSE),"")</f>
        <v>Bertha</v>
      </c>
      <c r="H3844" t="s">
        <v>298</v>
      </c>
    </row>
    <row r="3845" spans="1:8" x14ac:dyDescent="0.25">
      <c r="A3845">
        <v>3844</v>
      </c>
      <c r="B3845" t="s">
        <v>4917</v>
      </c>
      <c r="C3845" t="s">
        <v>1017</v>
      </c>
      <c r="D3845" t="str">
        <f t="shared" si="127"/>
        <v/>
      </c>
      <c r="E3845" t="str">
        <f t="shared" si="128"/>
        <v>next time you see me</v>
      </c>
      <c r="F3845" t="s">
        <v>6629</v>
      </c>
      <c r="G3845" t="str">
        <f>_xlfn.IFNA(VLOOKUP(F3845,songs!$B$1:$C$1539, 2, FALSE),"")</f>
        <v>Next Time You See Me</v>
      </c>
      <c r="H3845" t="s">
        <v>1017</v>
      </c>
    </row>
    <row r="3846" spans="1:8" x14ac:dyDescent="0.25">
      <c r="A3846">
        <v>3845</v>
      </c>
      <c r="B3846" t="s">
        <v>4918</v>
      </c>
      <c r="C3846" t="s">
        <v>225</v>
      </c>
      <c r="D3846" t="str">
        <f t="shared" si="127"/>
        <v/>
      </c>
      <c r="E3846" t="str">
        <f t="shared" si="128"/>
        <v>cumberland blues</v>
      </c>
      <c r="F3846" t="s">
        <v>5411</v>
      </c>
      <c r="G3846" t="str">
        <f>_xlfn.IFNA(VLOOKUP(F3846,songs!$B$1:$C$1539, 2, FALSE),"")</f>
        <v>Cumberland Blues</v>
      </c>
      <c r="H3846" t="s">
        <v>225</v>
      </c>
    </row>
    <row r="3847" spans="1:8" x14ac:dyDescent="0.25">
      <c r="A3847">
        <v>3846</v>
      </c>
      <c r="B3847" t="s">
        <v>4919</v>
      </c>
      <c r="C3847" t="s">
        <v>1340</v>
      </c>
      <c r="D3847" t="str">
        <f t="shared" si="127"/>
        <v/>
      </c>
      <c r="E3847" t="str">
        <f t="shared" si="128"/>
        <v>me and bobby mcgee</v>
      </c>
      <c r="F3847" t="s">
        <v>6483</v>
      </c>
      <c r="G3847" t="str">
        <f>_xlfn.IFNA(VLOOKUP(F3847,songs!$B$1:$C$1539, 2, FALSE),"")</f>
        <v>Me And Bobby McGee</v>
      </c>
      <c r="H3847" t="s">
        <v>1228</v>
      </c>
    </row>
    <row r="3848" spans="1:8" x14ac:dyDescent="0.25">
      <c r="A3848">
        <v>3847</v>
      </c>
      <c r="B3848" t="s">
        <v>4920</v>
      </c>
      <c r="C3848" t="s">
        <v>291</v>
      </c>
      <c r="D3848" t="str">
        <f t="shared" ref="D3848:D3879" si="129">IF(RIGHT(TRIM(C3848),2)="-&gt;","&gt;",IF(RIGHT(TRIM(C3848),1)="&gt;","&gt;",""))</f>
        <v/>
      </c>
      <c r="E3848" t="str">
        <f t="shared" si="128"/>
        <v>loser</v>
      </c>
      <c r="F3848" t="s">
        <v>6400</v>
      </c>
      <c r="G3848" t="str">
        <f>_xlfn.IFNA(VLOOKUP(F3848,songs!$B$1:$C$1539, 2, FALSE),"")</f>
        <v>Loser</v>
      </c>
      <c r="H3848" t="s">
        <v>291</v>
      </c>
    </row>
    <row r="3849" spans="1:8" x14ac:dyDescent="0.25">
      <c r="A3849">
        <v>3848</v>
      </c>
      <c r="B3849" t="s">
        <v>4921</v>
      </c>
      <c r="C3849" t="s">
        <v>1511</v>
      </c>
      <c r="D3849" t="str">
        <f t="shared" si="129"/>
        <v/>
      </c>
      <c r="E3849" t="str">
        <f t="shared" si="128"/>
        <v>hard to handle</v>
      </c>
      <c r="F3849" t="s">
        <v>5861</v>
      </c>
      <c r="G3849" t="str">
        <f>_xlfn.IFNA(VLOOKUP(F3849,songs!$B$1:$C$1539, 2, FALSE),"")</f>
        <v>Hard To Handle</v>
      </c>
      <c r="H3849" t="s">
        <v>1199</v>
      </c>
    </row>
    <row r="3850" spans="1:8" x14ac:dyDescent="0.25">
      <c r="A3850">
        <v>3849</v>
      </c>
      <c r="B3850" t="s">
        <v>4922</v>
      </c>
      <c r="C3850" t="s">
        <v>84</v>
      </c>
      <c r="D3850" t="str">
        <f t="shared" si="129"/>
        <v/>
      </c>
      <c r="E3850" t="str">
        <f t="shared" si="128"/>
        <v>china cat sunflower</v>
      </c>
      <c r="F3850" t="s">
        <v>5319</v>
      </c>
      <c r="G3850" t="str">
        <f>_xlfn.IFNA(VLOOKUP(F3850,songs!$B$1:$C$1539, 2, FALSE),"")</f>
        <v>China Cat Sunflower</v>
      </c>
      <c r="H3850" t="s">
        <v>84</v>
      </c>
    </row>
    <row r="3851" spans="1:8" x14ac:dyDescent="0.25">
      <c r="A3851">
        <v>3850</v>
      </c>
      <c r="B3851" t="s">
        <v>4923</v>
      </c>
      <c r="C3851" t="s">
        <v>86</v>
      </c>
      <c r="D3851" t="str">
        <f t="shared" si="129"/>
        <v/>
      </c>
      <c r="E3851" t="str">
        <f t="shared" si="128"/>
        <v>i know you rider</v>
      </c>
      <c r="F3851" t="s">
        <v>6020</v>
      </c>
      <c r="G3851" t="str">
        <f>_xlfn.IFNA(VLOOKUP(F3851,songs!$B$1:$C$1539, 2, FALSE),"")</f>
        <v>I Know You Rider</v>
      </c>
      <c r="H3851" t="s">
        <v>86</v>
      </c>
    </row>
    <row r="3852" spans="1:8" x14ac:dyDescent="0.25">
      <c r="A3852">
        <v>3851</v>
      </c>
      <c r="B3852" t="s">
        <v>4924</v>
      </c>
      <c r="C3852" t="s">
        <v>81</v>
      </c>
      <c r="D3852" t="str">
        <f t="shared" si="129"/>
        <v/>
      </c>
      <c r="E3852" t="str">
        <f t="shared" si="128"/>
        <v>casey jones</v>
      </c>
      <c r="F3852" t="s">
        <v>5290</v>
      </c>
      <c r="G3852" t="str">
        <f>_xlfn.IFNA(VLOOKUP(F3852,songs!$B$1:$C$1539, 2, FALSE),"")</f>
        <v>Casey Jones</v>
      </c>
      <c r="H3852" t="s">
        <v>81</v>
      </c>
    </row>
    <row r="3853" spans="1:8" x14ac:dyDescent="0.25">
      <c r="A3853">
        <v>3852</v>
      </c>
      <c r="B3853" t="s">
        <v>4925</v>
      </c>
      <c r="C3853" t="s">
        <v>30</v>
      </c>
      <c r="D3853" t="str">
        <f t="shared" si="129"/>
        <v/>
      </c>
      <c r="E3853" t="str">
        <f t="shared" si="128"/>
        <v>sugar magnolia</v>
      </c>
      <c r="F3853" t="s">
        <v>7150</v>
      </c>
      <c r="G3853" t="str">
        <f>_xlfn.IFNA(VLOOKUP(F3853,songs!$B$1:$C$1539, 2, FALSE),"")</f>
        <v>Sugar Magnolia</v>
      </c>
      <c r="H3853" t="s">
        <v>30</v>
      </c>
    </row>
    <row r="3854" spans="1:8" x14ac:dyDescent="0.25">
      <c r="A3854">
        <v>3853</v>
      </c>
      <c r="B3854" t="s">
        <v>4926</v>
      </c>
      <c r="C3854" t="s">
        <v>264</v>
      </c>
      <c r="D3854" t="str">
        <f t="shared" si="129"/>
        <v/>
      </c>
      <c r="E3854" t="str">
        <f t="shared" si="128"/>
        <v>deal</v>
      </c>
      <c r="F3854" t="s">
        <v>5461</v>
      </c>
      <c r="G3854" t="str">
        <f>_xlfn.IFNA(VLOOKUP(F3854,songs!$B$1:$C$1539, 2, FALSE),"")</f>
        <v>Deal</v>
      </c>
      <c r="H3854" t="s">
        <v>264</v>
      </c>
    </row>
    <row r="3855" spans="1:8" x14ac:dyDescent="0.25">
      <c r="A3855">
        <v>3854</v>
      </c>
      <c r="B3855" t="s">
        <v>4927</v>
      </c>
      <c r="C3855" t="s">
        <v>595</v>
      </c>
      <c r="D3855" t="str">
        <f t="shared" si="129"/>
        <v/>
      </c>
      <c r="E3855" t="str">
        <f t="shared" si="128"/>
        <v>me and my uncle</v>
      </c>
      <c r="F3855" t="s">
        <v>6486</v>
      </c>
      <c r="G3855" t="str">
        <f>_xlfn.IFNA(VLOOKUP(F3855,songs!$B$1:$C$1539, 2, FALSE),"")</f>
        <v>Me And My Uncle</v>
      </c>
      <c r="H3855" t="s">
        <v>903</v>
      </c>
    </row>
    <row r="3856" spans="1:8" x14ac:dyDescent="0.25">
      <c r="A3856">
        <v>3855</v>
      </c>
      <c r="B3856" t="s">
        <v>4928</v>
      </c>
      <c r="C3856" t="s">
        <v>323</v>
      </c>
      <c r="D3856" t="str">
        <f t="shared" si="129"/>
        <v/>
      </c>
      <c r="E3856" t="str">
        <f t="shared" si="128"/>
        <v>bird song</v>
      </c>
      <c r="F3856" t="s">
        <v>5184</v>
      </c>
      <c r="G3856" t="str">
        <f>_xlfn.IFNA(VLOOKUP(F3856,songs!$B$1:$C$1539, 2, FALSE),"")</f>
        <v>Bird Song</v>
      </c>
      <c r="H3856" t="s">
        <v>323</v>
      </c>
    </row>
    <row r="3857" spans="1:8" x14ac:dyDescent="0.25">
      <c r="A3857">
        <v>3856</v>
      </c>
      <c r="B3857" t="s">
        <v>4929</v>
      </c>
      <c r="C3857" t="s">
        <v>11</v>
      </c>
      <c r="D3857" t="str">
        <f t="shared" si="129"/>
        <v/>
      </c>
      <c r="E3857" t="str">
        <f t="shared" si="128"/>
        <v>playing in the band</v>
      </c>
      <c r="F3857" t="s">
        <v>6769</v>
      </c>
      <c r="G3857" t="str">
        <f>_xlfn.IFNA(VLOOKUP(F3857,songs!$B$1:$C$1539, 2, FALSE),"")</f>
        <v>Playing In The Band</v>
      </c>
      <c r="H3857" t="s">
        <v>419</v>
      </c>
    </row>
    <row r="3858" spans="1:8" x14ac:dyDescent="0.25">
      <c r="A3858">
        <v>3857</v>
      </c>
      <c r="B3858" t="s">
        <v>4930</v>
      </c>
      <c r="C3858" t="s">
        <v>90</v>
      </c>
      <c r="D3858" t="str">
        <f t="shared" si="129"/>
        <v/>
      </c>
      <c r="E3858" t="str">
        <f t="shared" si="128"/>
        <v>dire wolf</v>
      </c>
      <c r="F3858" t="s">
        <v>5497</v>
      </c>
      <c r="G3858" t="str">
        <f>_xlfn.IFNA(VLOOKUP(F3858,songs!$B$1:$C$1539, 2, FALSE),"")</f>
        <v>Dire Wolf</v>
      </c>
      <c r="H3858" t="s">
        <v>90</v>
      </c>
    </row>
    <row r="3859" spans="1:8" x14ac:dyDescent="0.25">
      <c r="A3859">
        <v>3858</v>
      </c>
      <c r="B3859" t="s">
        <v>4931</v>
      </c>
      <c r="C3859" t="s">
        <v>130</v>
      </c>
      <c r="D3859" t="str">
        <f t="shared" si="129"/>
        <v/>
      </c>
      <c r="E3859" t="str">
        <f t="shared" si="128"/>
        <v>promised land</v>
      </c>
      <c r="F3859" t="s">
        <v>6797</v>
      </c>
      <c r="G3859" t="str">
        <f>_xlfn.IFNA(VLOOKUP(F3859,songs!$B$1:$C$1539, 2, FALSE),"")</f>
        <v>Promised Land</v>
      </c>
      <c r="H3859" t="s">
        <v>130</v>
      </c>
    </row>
    <row r="3860" spans="1:8" x14ac:dyDescent="0.25">
      <c r="A3860">
        <v>3859</v>
      </c>
      <c r="B3860" t="s">
        <v>4932</v>
      </c>
      <c r="C3860" t="s">
        <v>51</v>
      </c>
      <c r="D3860" t="str">
        <f t="shared" si="129"/>
        <v/>
      </c>
      <c r="E3860" t="str">
        <f t="shared" si="128"/>
        <v>sugaree</v>
      </c>
      <c r="F3860" t="s">
        <v>7151</v>
      </c>
      <c r="G3860" t="str">
        <f>_xlfn.IFNA(VLOOKUP(F3860,songs!$B$1:$C$1539, 2, FALSE),"")</f>
        <v>Sugaree</v>
      </c>
      <c r="H3860" t="s">
        <v>51</v>
      </c>
    </row>
    <row r="3861" spans="1:8" x14ac:dyDescent="0.25">
      <c r="A3861">
        <v>3860</v>
      </c>
      <c r="B3861" t="s">
        <v>4933</v>
      </c>
      <c r="C3861" t="s">
        <v>154</v>
      </c>
      <c r="D3861" t="str">
        <f t="shared" si="129"/>
        <v/>
      </c>
      <c r="E3861" t="str">
        <f t="shared" si="128"/>
        <v>greatest story ever told</v>
      </c>
      <c r="F3861" t="s">
        <v>5826</v>
      </c>
      <c r="G3861" t="str">
        <f>_xlfn.IFNA(VLOOKUP(F3861,songs!$B$1:$C$1539, 2, FALSE),"")</f>
        <v>Greatest Story Ever Told</v>
      </c>
      <c r="H3861" t="s">
        <v>154</v>
      </c>
    </row>
    <row r="3862" spans="1:8" x14ac:dyDescent="0.25">
      <c r="A3862">
        <v>3861</v>
      </c>
      <c r="B3862" t="s">
        <v>4934</v>
      </c>
      <c r="C3862" t="s">
        <v>592</v>
      </c>
      <c r="D3862" t="str">
        <f t="shared" si="129"/>
        <v>&gt;</v>
      </c>
      <c r="E3862" t="str">
        <f t="shared" si="128"/>
        <v>china cat sunflower</v>
      </c>
      <c r="F3862" t="s">
        <v>5319</v>
      </c>
      <c r="G3862" t="str">
        <f>_xlfn.IFNA(VLOOKUP(F3862,songs!$B$1:$C$1539, 2, FALSE),"")</f>
        <v>China Cat Sunflower</v>
      </c>
      <c r="H3862" t="s">
        <v>84</v>
      </c>
    </row>
    <row r="3863" spans="1:8" x14ac:dyDescent="0.25">
      <c r="A3863">
        <v>3862</v>
      </c>
      <c r="B3863" t="s">
        <v>4935</v>
      </c>
      <c r="C3863" t="s">
        <v>86</v>
      </c>
      <c r="D3863" t="str">
        <f t="shared" si="129"/>
        <v/>
      </c>
      <c r="E3863" t="str">
        <f t="shared" si="128"/>
        <v>i know you rider</v>
      </c>
      <c r="F3863" t="s">
        <v>6020</v>
      </c>
      <c r="G3863" t="str">
        <f>_xlfn.IFNA(VLOOKUP(F3863,songs!$B$1:$C$1539, 2, FALSE),"")</f>
        <v>I Know You Rider</v>
      </c>
      <c r="H3863" t="s">
        <v>86</v>
      </c>
    </row>
    <row r="3864" spans="1:8" x14ac:dyDescent="0.25">
      <c r="A3864">
        <v>3863</v>
      </c>
      <c r="B3864" t="s">
        <v>4936</v>
      </c>
      <c r="C3864" t="s">
        <v>1244</v>
      </c>
      <c r="D3864" t="str">
        <f t="shared" si="129"/>
        <v/>
      </c>
      <c r="E3864" t="str">
        <f t="shared" si="128"/>
        <v>black throated wind</v>
      </c>
      <c r="F3864" t="s">
        <v>5193</v>
      </c>
      <c r="G3864" t="str">
        <f>_xlfn.IFNA(VLOOKUP(F3864,songs!$B$1:$C$1539, 2, FALSE),"")</f>
        <v>Black Throated Wind</v>
      </c>
      <c r="H3864" t="s">
        <v>1244</v>
      </c>
    </row>
    <row r="3865" spans="1:8" x14ac:dyDescent="0.25">
      <c r="A3865">
        <v>3864</v>
      </c>
      <c r="B3865" t="s">
        <v>4937</v>
      </c>
      <c r="C3865" t="s">
        <v>164</v>
      </c>
      <c r="D3865" t="str">
        <f t="shared" si="129"/>
        <v/>
      </c>
      <c r="E3865" t="str">
        <f t="shared" si="128"/>
        <v>tennessee jed</v>
      </c>
      <c r="F3865" t="s">
        <v>7234</v>
      </c>
      <c r="G3865" t="str">
        <f>_xlfn.IFNA(VLOOKUP(F3865,songs!$B$1:$C$1539, 2, FALSE),"")</f>
        <v>Tennessee Jed</v>
      </c>
      <c r="H3865" t="s">
        <v>164</v>
      </c>
    </row>
    <row r="3866" spans="1:8" x14ac:dyDescent="0.25">
      <c r="A3866">
        <v>3865</v>
      </c>
      <c r="B3866" t="s">
        <v>4938</v>
      </c>
      <c r="C3866" t="s">
        <v>327</v>
      </c>
      <c r="D3866" t="str">
        <f t="shared" si="129"/>
        <v/>
      </c>
      <c r="E3866" t="str">
        <f t="shared" si="128"/>
        <v>el paso</v>
      </c>
      <c r="F3866" t="s">
        <v>5600</v>
      </c>
      <c r="G3866" t="str">
        <f>_xlfn.IFNA(VLOOKUP(F3866,songs!$B$1:$C$1539, 2, FALSE),"")</f>
        <v>El Paso</v>
      </c>
      <c r="H3866" t="s">
        <v>327</v>
      </c>
    </row>
    <row r="3867" spans="1:8" x14ac:dyDescent="0.25">
      <c r="A3867">
        <v>3866</v>
      </c>
      <c r="B3867" t="s">
        <v>4939</v>
      </c>
      <c r="C3867" t="s">
        <v>291</v>
      </c>
      <c r="D3867" t="str">
        <f t="shared" si="129"/>
        <v/>
      </c>
      <c r="E3867" t="str">
        <f t="shared" si="128"/>
        <v>loser</v>
      </c>
      <c r="F3867" t="s">
        <v>6400</v>
      </c>
      <c r="G3867" t="str">
        <f>_xlfn.IFNA(VLOOKUP(F3867,songs!$B$1:$C$1539, 2, FALSE),"")</f>
        <v>Loser</v>
      </c>
      <c r="H3867" t="s">
        <v>291</v>
      </c>
    </row>
    <row r="3868" spans="1:8" x14ac:dyDescent="0.25">
      <c r="A3868">
        <v>3867</v>
      </c>
      <c r="B3868" t="s">
        <v>4940</v>
      </c>
      <c r="C3868" t="s">
        <v>199</v>
      </c>
      <c r="D3868" t="str">
        <f t="shared" si="129"/>
        <v/>
      </c>
      <c r="E3868" t="str">
        <f t="shared" si="128"/>
        <v>jack straw</v>
      </c>
      <c r="F3868" t="s">
        <v>6161</v>
      </c>
      <c r="G3868" t="str">
        <f>_xlfn.IFNA(VLOOKUP(F3868,songs!$B$1:$C$1539, 2, FALSE),"")</f>
        <v>Jack Straw</v>
      </c>
      <c r="H3868" t="s">
        <v>199</v>
      </c>
    </row>
    <row r="3869" spans="1:8" x14ac:dyDescent="0.25">
      <c r="A3869">
        <v>3868</v>
      </c>
      <c r="B3869" t="s">
        <v>4941</v>
      </c>
      <c r="C3869" t="s">
        <v>124</v>
      </c>
      <c r="D3869" t="str">
        <f t="shared" si="129"/>
        <v/>
      </c>
      <c r="E3869" t="str">
        <f t="shared" si="128"/>
        <v>friend of the devil</v>
      </c>
      <c r="F3869" t="s">
        <v>5721</v>
      </c>
      <c r="G3869" t="str">
        <f>_xlfn.IFNA(VLOOKUP(F3869,songs!$B$1:$C$1539, 2, FALSE),"")</f>
        <v>Friend Of The Devil</v>
      </c>
      <c r="H3869" t="s">
        <v>464</v>
      </c>
    </row>
    <row r="3870" spans="1:8" x14ac:dyDescent="0.25">
      <c r="A3870">
        <v>3869</v>
      </c>
      <c r="B3870" t="s">
        <v>4942</v>
      </c>
      <c r="C3870" t="s">
        <v>11</v>
      </c>
      <c r="D3870" t="str">
        <f t="shared" si="129"/>
        <v/>
      </c>
      <c r="E3870" t="str">
        <f t="shared" si="128"/>
        <v>playing in the band</v>
      </c>
      <c r="F3870" t="s">
        <v>6769</v>
      </c>
      <c r="G3870" t="str">
        <f>_xlfn.IFNA(VLOOKUP(F3870,songs!$B$1:$C$1539, 2, FALSE),"")</f>
        <v>Playing In The Band</v>
      </c>
      <c r="H3870" t="s">
        <v>419</v>
      </c>
    </row>
    <row r="3871" spans="1:8" x14ac:dyDescent="0.25">
      <c r="A3871">
        <v>3870</v>
      </c>
      <c r="B3871" t="s">
        <v>4943</v>
      </c>
      <c r="C3871" t="s">
        <v>81</v>
      </c>
      <c r="D3871" t="str">
        <f t="shared" si="129"/>
        <v/>
      </c>
      <c r="E3871" t="str">
        <f t="shared" si="128"/>
        <v>casey jones</v>
      </c>
      <c r="F3871" t="s">
        <v>5290</v>
      </c>
      <c r="G3871" t="str">
        <f>_xlfn.IFNA(VLOOKUP(F3871,songs!$B$1:$C$1539, 2, FALSE),"")</f>
        <v>Casey Jones</v>
      </c>
      <c r="H3871" t="s">
        <v>81</v>
      </c>
    </row>
    <row r="3872" spans="1:8" x14ac:dyDescent="0.25">
      <c r="A3872">
        <v>3871</v>
      </c>
      <c r="B3872" t="s">
        <v>4944</v>
      </c>
      <c r="C3872" t="s">
        <v>13</v>
      </c>
      <c r="D3872" t="str">
        <f t="shared" si="129"/>
        <v/>
      </c>
      <c r="E3872" t="str">
        <f t="shared" si="128"/>
        <v>he's gone</v>
      </c>
      <c r="F3872" t="s">
        <v>5903</v>
      </c>
      <c r="G3872" t="str">
        <f>_xlfn.IFNA(VLOOKUP(F3872,songs!$B$1:$C$1539, 2, FALSE),"")</f>
        <v>He's Gone</v>
      </c>
      <c r="H3872" t="s">
        <v>13</v>
      </c>
    </row>
    <row r="3873" spans="1:8" x14ac:dyDescent="0.25">
      <c r="A3873">
        <v>3872</v>
      </c>
      <c r="B3873" t="s">
        <v>4945</v>
      </c>
      <c r="C3873" t="s">
        <v>595</v>
      </c>
      <c r="D3873" t="str">
        <f t="shared" si="129"/>
        <v/>
      </c>
      <c r="E3873" t="str">
        <f t="shared" si="128"/>
        <v>me and my uncle</v>
      </c>
      <c r="F3873" t="s">
        <v>6486</v>
      </c>
      <c r="G3873" t="str">
        <f>_xlfn.IFNA(VLOOKUP(F3873,songs!$B$1:$C$1539, 2, FALSE),"")</f>
        <v>Me And My Uncle</v>
      </c>
      <c r="H3873" t="s">
        <v>903</v>
      </c>
    </row>
    <row r="3874" spans="1:8" x14ac:dyDescent="0.25">
      <c r="A3874">
        <v>3873</v>
      </c>
      <c r="B3874" t="s">
        <v>4946</v>
      </c>
      <c r="C3874" t="s">
        <v>323</v>
      </c>
      <c r="D3874" t="str">
        <f t="shared" si="129"/>
        <v/>
      </c>
      <c r="E3874" t="str">
        <f t="shared" si="128"/>
        <v>bird song</v>
      </c>
      <c r="F3874" t="s">
        <v>5184</v>
      </c>
      <c r="G3874" t="str">
        <f>_xlfn.IFNA(VLOOKUP(F3874,songs!$B$1:$C$1539, 2, FALSE),"")</f>
        <v>Bird Song</v>
      </c>
      <c r="H3874" t="s">
        <v>323</v>
      </c>
    </row>
    <row r="3875" spans="1:8" x14ac:dyDescent="0.25">
      <c r="A3875">
        <v>3874</v>
      </c>
      <c r="B3875" t="s">
        <v>4947</v>
      </c>
      <c r="C3875" t="s">
        <v>186</v>
      </c>
      <c r="D3875" t="str">
        <f t="shared" si="129"/>
        <v/>
      </c>
      <c r="E3875" t="str">
        <f t="shared" si="128"/>
        <v>mexicali blues</v>
      </c>
      <c r="F3875" t="s">
        <v>6499</v>
      </c>
      <c r="G3875" t="str">
        <f>_xlfn.IFNA(VLOOKUP(F3875,songs!$B$1:$C$1539, 2, FALSE),"")</f>
        <v>Mexicali Blues</v>
      </c>
      <c r="H3875" t="s">
        <v>186</v>
      </c>
    </row>
    <row r="3876" spans="1:8" x14ac:dyDescent="0.25">
      <c r="A3876">
        <v>3875</v>
      </c>
      <c r="B3876" t="s">
        <v>4948</v>
      </c>
      <c r="C3876" t="s">
        <v>336</v>
      </c>
      <c r="D3876" t="str">
        <f t="shared" si="129"/>
        <v/>
      </c>
      <c r="E3876" t="str">
        <f t="shared" si="128"/>
        <v>ramble on rose</v>
      </c>
      <c r="F3876" t="s">
        <v>6827</v>
      </c>
      <c r="G3876" t="str">
        <f>_xlfn.IFNA(VLOOKUP(F3876,songs!$B$1:$C$1539, 2, FALSE),"")</f>
        <v>Ramble On Rose</v>
      </c>
      <c r="H3876" t="s">
        <v>436</v>
      </c>
    </row>
    <row r="3877" spans="1:8" x14ac:dyDescent="0.25">
      <c r="A3877">
        <v>3876</v>
      </c>
      <c r="B3877" t="s">
        <v>4949</v>
      </c>
      <c r="C3877" t="s">
        <v>924</v>
      </c>
      <c r="D3877" t="str">
        <f t="shared" si="129"/>
        <v>&gt;</v>
      </c>
      <c r="E3877" t="str">
        <f t="shared" si="128"/>
        <v>truckin'</v>
      </c>
      <c r="F3877" t="s">
        <v>7436</v>
      </c>
      <c r="G3877" t="str">
        <f>_xlfn.IFNA(VLOOKUP(F3877,songs!$B$1:$C$1539, 2, FALSE),"")</f>
        <v>Truckin'</v>
      </c>
      <c r="H3877" t="s">
        <v>15</v>
      </c>
    </row>
    <row r="3878" spans="1:8" x14ac:dyDescent="0.25">
      <c r="A3878">
        <v>3877</v>
      </c>
      <c r="B3878" t="s">
        <v>4950</v>
      </c>
      <c r="C3878" t="s">
        <v>275</v>
      </c>
      <c r="D3878" t="str">
        <f t="shared" si="129"/>
        <v>&gt;</v>
      </c>
      <c r="E3878" t="str">
        <f t="shared" si="128"/>
        <v>drums</v>
      </c>
      <c r="F3878" t="s">
        <v>5568</v>
      </c>
      <c r="G3878" t="str">
        <f>_xlfn.IFNA(VLOOKUP(F3878,songs!$B$1:$C$1539, 2, FALSE),"")</f>
        <v>Drums</v>
      </c>
      <c r="H3878" t="s">
        <v>100</v>
      </c>
    </row>
    <row r="3879" spans="1:8" x14ac:dyDescent="0.25">
      <c r="A3879">
        <v>3878</v>
      </c>
      <c r="B3879" t="s">
        <v>4951</v>
      </c>
      <c r="C3879" t="s">
        <v>747</v>
      </c>
      <c r="D3879" t="str">
        <f t="shared" si="129"/>
        <v>&gt;</v>
      </c>
      <c r="E3879" t="str">
        <f t="shared" si="128"/>
        <v>the other one</v>
      </c>
      <c r="F3879" t="s">
        <v>7325</v>
      </c>
      <c r="G3879" t="str">
        <f>_xlfn.IFNA(VLOOKUP(F3879,songs!$B$1:$C$1539, 2, FALSE),"")</f>
        <v>The Other One</v>
      </c>
      <c r="H3879" t="s">
        <v>139</v>
      </c>
    </row>
    <row r="3880" spans="1:8" x14ac:dyDescent="0.25">
      <c r="A3880">
        <v>3879</v>
      </c>
      <c r="B3880" t="s">
        <v>4952</v>
      </c>
      <c r="C3880" t="s">
        <v>603</v>
      </c>
      <c r="D3880" t="str">
        <f t="shared" ref="D3880:D3908" si="130">IF(RIGHT(TRIM(C3880),2)="-&gt;","&gt;",IF(RIGHT(TRIM(C3880),1)="&gt;","&gt;",""))</f>
        <v>&gt;</v>
      </c>
      <c r="E3880" t="str">
        <f t="shared" si="128"/>
        <v>morning dew</v>
      </c>
      <c r="F3880" t="s">
        <v>6555</v>
      </c>
      <c r="G3880" t="str">
        <f>_xlfn.IFNA(VLOOKUP(F3880,songs!$B$1:$C$1539, 2, FALSE),"")</f>
        <v>Morning Dew</v>
      </c>
      <c r="H3880" t="s">
        <v>212</v>
      </c>
    </row>
    <row r="3881" spans="1:8" x14ac:dyDescent="0.25">
      <c r="A3881">
        <v>3880</v>
      </c>
      <c r="B3881" t="s">
        <v>4953</v>
      </c>
      <c r="C3881" t="s">
        <v>599</v>
      </c>
      <c r="D3881" t="str">
        <f t="shared" si="130"/>
        <v>&gt;</v>
      </c>
      <c r="E3881" t="str">
        <f t="shared" si="128"/>
        <v>dark star</v>
      </c>
      <c r="F3881" t="s">
        <v>5428</v>
      </c>
      <c r="G3881" t="str">
        <f>_xlfn.IFNA(VLOOKUP(F3881,songs!$B$1:$C$1539, 2, FALSE),"")</f>
        <v>Dark Star</v>
      </c>
      <c r="H3881" t="s">
        <v>92</v>
      </c>
    </row>
    <row r="3882" spans="1:8" x14ac:dyDescent="0.25">
      <c r="A3882">
        <v>3881</v>
      </c>
      <c r="B3882" t="s">
        <v>4954</v>
      </c>
      <c r="C3882" t="s">
        <v>145</v>
      </c>
      <c r="D3882" t="str">
        <f t="shared" si="130"/>
        <v/>
      </c>
      <c r="E3882" t="str">
        <f t="shared" si="128"/>
        <v>brokedown palace</v>
      </c>
      <c r="F3882" t="s">
        <v>5250</v>
      </c>
      <c r="G3882" t="str">
        <f>_xlfn.IFNA(VLOOKUP(F3882,songs!$B$1:$C$1539, 2, FALSE),"")</f>
        <v>Brokedown Palace</v>
      </c>
      <c r="H3882" t="s">
        <v>145</v>
      </c>
    </row>
    <row r="3883" spans="1:8" x14ac:dyDescent="0.25">
      <c r="A3883">
        <v>3882</v>
      </c>
      <c r="B3883" t="s">
        <v>4955</v>
      </c>
      <c r="C3883" t="s">
        <v>592</v>
      </c>
      <c r="D3883" t="str">
        <f t="shared" si="130"/>
        <v>&gt;</v>
      </c>
      <c r="E3883" t="str">
        <f t="shared" si="128"/>
        <v>china cat sunflower</v>
      </c>
      <c r="F3883" t="s">
        <v>5319</v>
      </c>
      <c r="G3883" t="str">
        <f>_xlfn.IFNA(VLOOKUP(F3883,songs!$B$1:$C$1539, 2, FALSE),"")</f>
        <v>China Cat Sunflower</v>
      </c>
      <c r="H3883" t="s">
        <v>84</v>
      </c>
    </row>
    <row r="3884" spans="1:8" x14ac:dyDescent="0.25">
      <c r="A3884">
        <v>3883</v>
      </c>
      <c r="B3884" t="s">
        <v>4956</v>
      </c>
      <c r="C3884" t="s">
        <v>86</v>
      </c>
      <c r="D3884" t="str">
        <f t="shared" si="130"/>
        <v/>
      </c>
      <c r="E3884" t="str">
        <f t="shared" si="128"/>
        <v>i know you rider</v>
      </c>
      <c r="F3884" t="s">
        <v>6020</v>
      </c>
      <c r="G3884" t="str">
        <f>_xlfn.IFNA(VLOOKUP(F3884,songs!$B$1:$C$1539, 2, FALSE),"")</f>
        <v>I Know You Rider</v>
      </c>
      <c r="H3884" t="s">
        <v>86</v>
      </c>
    </row>
    <row r="3885" spans="1:8" x14ac:dyDescent="0.25">
      <c r="A3885">
        <v>3884</v>
      </c>
      <c r="B3885" t="s">
        <v>4957</v>
      </c>
      <c r="C3885" t="s">
        <v>199</v>
      </c>
      <c r="D3885" t="str">
        <f t="shared" si="130"/>
        <v/>
      </c>
      <c r="E3885" t="str">
        <f t="shared" si="128"/>
        <v>jack straw</v>
      </c>
      <c r="F3885" t="s">
        <v>6161</v>
      </c>
      <c r="G3885" t="str">
        <f>_xlfn.IFNA(VLOOKUP(F3885,songs!$B$1:$C$1539, 2, FALSE),"")</f>
        <v>Jack Straw</v>
      </c>
      <c r="H3885" t="s">
        <v>199</v>
      </c>
    </row>
    <row r="3886" spans="1:8" x14ac:dyDescent="0.25">
      <c r="A3886">
        <v>3885</v>
      </c>
      <c r="B3886" t="s">
        <v>4958</v>
      </c>
      <c r="C3886" t="s">
        <v>1666</v>
      </c>
      <c r="D3886" t="str">
        <f t="shared" si="130"/>
        <v/>
      </c>
      <c r="E3886" t="str">
        <f t="shared" si="128"/>
        <v>wave that flag</v>
      </c>
      <c r="F3886" t="s">
        <v>7645</v>
      </c>
      <c r="G3886" t="str">
        <f>_xlfn.IFNA(VLOOKUP(F3886,songs!$B$1:$C$1539, 2, FALSE),"")</f>
        <v>Wave That Flag</v>
      </c>
      <c r="H3886" t="s">
        <v>1666</v>
      </c>
    </row>
    <row r="3887" spans="1:8" x14ac:dyDescent="0.25">
      <c r="A3887">
        <v>3886</v>
      </c>
      <c r="B3887" t="s">
        <v>4959</v>
      </c>
      <c r="C3887" t="s">
        <v>126</v>
      </c>
      <c r="D3887" t="str">
        <f t="shared" si="130"/>
        <v/>
      </c>
      <c r="E3887" t="str">
        <f t="shared" si="128"/>
        <v>looks like rain</v>
      </c>
      <c r="F3887" t="s">
        <v>6398</v>
      </c>
      <c r="G3887" t="str">
        <f>_xlfn.IFNA(VLOOKUP(F3887,songs!$B$1:$C$1539, 2, FALSE),"")</f>
        <v>Looks Like Rain</v>
      </c>
      <c r="H3887" t="s">
        <v>126</v>
      </c>
    </row>
    <row r="3888" spans="1:8" x14ac:dyDescent="0.25">
      <c r="A3888">
        <v>3887</v>
      </c>
      <c r="B3888" t="s">
        <v>4960</v>
      </c>
      <c r="C3888" t="s">
        <v>336</v>
      </c>
      <c r="D3888" t="str">
        <f t="shared" si="130"/>
        <v/>
      </c>
      <c r="E3888" t="str">
        <f t="shared" si="128"/>
        <v>ramble on rose</v>
      </c>
      <c r="F3888" t="s">
        <v>6827</v>
      </c>
      <c r="G3888" t="str">
        <f>_xlfn.IFNA(VLOOKUP(F3888,songs!$B$1:$C$1539, 2, FALSE),"")</f>
        <v>Ramble On Rose</v>
      </c>
      <c r="H3888" t="s">
        <v>436</v>
      </c>
    </row>
    <row r="3889" spans="1:8" x14ac:dyDescent="0.25">
      <c r="A3889">
        <v>3888</v>
      </c>
      <c r="B3889" t="s">
        <v>4961</v>
      </c>
      <c r="C3889" t="s">
        <v>1671</v>
      </c>
      <c r="D3889" t="str">
        <f t="shared" si="130"/>
        <v/>
      </c>
      <c r="E3889" t="str">
        <f t="shared" si="128"/>
        <v>box of rain</v>
      </c>
      <c r="F3889" t="s">
        <v>5237</v>
      </c>
      <c r="G3889" t="str">
        <f>_xlfn.IFNA(VLOOKUP(F3889,songs!$B$1:$C$1539, 2, FALSE),"")</f>
        <v>Box Of Rain</v>
      </c>
      <c r="H3889" t="s">
        <v>915</v>
      </c>
    </row>
    <row r="3890" spans="1:8" x14ac:dyDescent="0.25">
      <c r="A3890">
        <v>3889</v>
      </c>
      <c r="B3890" t="s">
        <v>4962</v>
      </c>
      <c r="C3890" t="s">
        <v>193</v>
      </c>
      <c r="D3890" t="str">
        <f t="shared" si="130"/>
        <v/>
      </c>
      <c r="E3890" t="str">
        <f t="shared" si="128"/>
        <v>beat it on down the line</v>
      </c>
      <c r="F3890" t="s">
        <v>5149</v>
      </c>
      <c r="G3890" t="str">
        <f>_xlfn.IFNA(VLOOKUP(F3890,songs!$B$1:$C$1539, 2, FALSE),"")</f>
        <v>Beat It On Down The Line</v>
      </c>
      <c r="H3890" t="s">
        <v>431</v>
      </c>
    </row>
    <row r="3891" spans="1:8" x14ac:dyDescent="0.25">
      <c r="A3891">
        <v>3890</v>
      </c>
      <c r="B3891" t="s">
        <v>4963</v>
      </c>
      <c r="C3891" t="s">
        <v>156</v>
      </c>
      <c r="D3891" t="str">
        <f t="shared" si="130"/>
        <v/>
      </c>
      <c r="E3891" t="str">
        <f t="shared" si="128"/>
        <v>they love each other</v>
      </c>
      <c r="F3891" t="s">
        <v>7358</v>
      </c>
      <c r="G3891" t="str">
        <f>_xlfn.IFNA(VLOOKUP(F3891,songs!$B$1:$C$1539, 2, FALSE),"")</f>
        <v>They Love Each Other</v>
      </c>
      <c r="H3891" t="s">
        <v>156</v>
      </c>
    </row>
    <row r="3892" spans="1:8" x14ac:dyDescent="0.25">
      <c r="A3892">
        <v>3891</v>
      </c>
      <c r="B3892" t="s">
        <v>4964</v>
      </c>
      <c r="C3892" t="s">
        <v>327</v>
      </c>
      <c r="D3892" t="str">
        <f t="shared" si="130"/>
        <v/>
      </c>
      <c r="E3892" t="str">
        <f t="shared" si="128"/>
        <v>el paso</v>
      </c>
      <c r="F3892" t="s">
        <v>5600</v>
      </c>
      <c r="G3892" t="str">
        <f>_xlfn.IFNA(VLOOKUP(F3892,songs!$B$1:$C$1539, 2, FALSE),"")</f>
        <v>El Paso</v>
      </c>
      <c r="H3892" t="s">
        <v>327</v>
      </c>
    </row>
    <row r="3893" spans="1:8" x14ac:dyDescent="0.25">
      <c r="A3893">
        <v>3892</v>
      </c>
      <c r="B3893" t="s">
        <v>4965</v>
      </c>
      <c r="C3893" t="s">
        <v>188</v>
      </c>
      <c r="D3893" t="str">
        <f t="shared" si="130"/>
        <v/>
      </c>
      <c r="E3893" t="str">
        <f t="shared" si="128"/>
        <v>row jimmy</v>
      </c>
      <c r="F3893" t="s">
        <v>6893</v>
      </c>
      <c r="G3893" t="str">
        <f>_xlfn.IFNA(VLOOKUP(F3893,songs!$B$1:$C$1539, 2, FALSE),"")</f>
        <v>Row Jimmy</v>
      </c>
      <c r="H3893" t="s">
        <v>188</v>
      </c>
    </row>
    <row r="3894" spans="1:8" x14ac:dyDescent="0.25">
      <c r="A3894">
        <v>3893</v>
      </c>
      <c r="B3894" t="s">
        <v>4966</v>
      </c>
      <c r="C3894" t="s">
        <v>186</v>
      </c>
      <c r="D3894" t="str">
        <f t="shared" si="130"/>
        <v/>
      </c>
      <c r="E3894" t="str">
        <f t="shared" si="128"/>
        <v>mexicali blues</v>
      </c>
      <c r="F3894" t="s">
        <v>6499</v>
      </c>
      <c r="G3894" t="str">
        <f>_xlfn.IFNA(VLOOKUP(F3894,songs!$B$1:$C$1539, 2, FALSE),"")</f>
        <v>Mexicali Blues</v>
      </c>
      <c r="H3894" t="s">
        <v>186</v>
      </c>
    </row>
    <row r="3895" spans="1:8" x14ac:dyDescent="0.25">
      <c r="A3895">
        <v>3894</v>
      </c>
      <c r="B3895" t="s">
        <v>4967</v>
      </c>
      <c r="C3895" t="s">
        <v>323</v>
      </c>
      <c r="D3895" t="str">
        <f t="shared" si="130"/>
        <v/>
      </c>
      <c r="E3895" t="str">
        <f t="shared" si="128"/>
        <v>bird song</v>
      </c>
      <c r="F3895" t="s">
        <v>5184</v>
      </c>
      <c r="G3895" t="str">
        <f>_xlfn.IFNA(VLOOKUP(F3895,songs!$B$1:$C$1539, 2, FALSE),"")</f>
        <v>Bird Song</v>
      </c>
      <c r="H3895" t="s">
        <v>323</v>
      </c>
    </row>
    <row r="3896" spans="1:8" x14ac:dyDescent="0.25">
      <c r="A3896">
        <v>3895</v>
      </c>
      <c r="B3896" t="s">
        <v>4968</v>
      </c>
      <c r="C3896" t="s">
        <v>11</v>
      </c>
      <c r="D3896" t="str">
        <f t="shared" si="130"/>
        <v/>
      </c>
      <c r="E3896" t="str">
        <f t="shared" si="128"/>
        <v>playing in the band</v>
      </c>
      <c r="F3896" t="s">
        <v>6769</v>
      </c>
      <c r="G3896" t="str">
        <f>_xlfn.IFNA(VLOOKUP(F3896,songs!$B$1:$C$1539, 2, FALSE),"")</f>
        <v>Playing In The Band</v>
      </c>
      <c r="H3896" t="s">
        <v>419</v>
      </c>
    </row>
    <row r="3897" spans="1:8" x14ac:dyDescent="0.25">
      <c r="A3897">
        <v>3896</v>
      </c>
      <c r="B3897" t="s">
        <v>4969</v>
      </c>
      <c r="C3897" t="s">
        <v>4970</v>
      </c>
      <c r="D3897" t="str">
        <f t="shared" si="130"/>
        <v>&gt;</v>
      </c>
      <c r="E3897" t="str">
        <f t="shared" si="128"/>
        <v>promised land</v>
      </c>
      <c r="F3897" t="s">
        <v>6797</v>
      </c>
      <c r="G3897" t="str">
        <f>_xlfn.IFNA(VLOOKUP(F3897,songs!$B$1:$C$1539, 2, FALSE),"")</f>
        <v>Promised Land</v>
      </c>
      <c r="H3897" t="s">
        <v>130</v>
      </c>
    </row>
    <row r="3898" spans="1:8" x14ac:dyDescent="0.25">
      <c r="A3898">
        <v>3897</v>
      </c>
      <c r="B3898" t="s">
        <v>4971</v>
      </c>
      <c r="C3898" t="s">
        <v>789</v>
      </c>
      <c r="D3898" t="str">
        <f t="shared" si="130"/>
        <v>&gt;</v>
      </c>
      <c r="E3898" t="str">
        <f t="shared" si="128"/>
        <v>bertha</v>
      </c>
      <c r="F3898" t="s">
        <v>5158</v>
      </c>
      <c r="G3898" t="str">
        <f>_xlfn.IFNA(VLOOKUP(F3898,songs!$B$1:$C$1539, 2, FALSE),"")</f>
        <v>Bertha</v>
      </c>
      <c r="H3898" t="s">
        <v>298</v>
      </c>
    </row>
    <row r="3899" spans="1:8" x14ac:dyDescent="0.25">
      <c r="A3899">
        <v>3898</v>
      </c>
      <c r="B3899" t="s">
        <v>4972</v>
      </c>
      <c r="C3899" t="s">
        <v>154</v>
      </c>
      <c r="D3899" t="str">
        <f t="shared" si="130"/>
        <v/>
      </c>
      <c r="E3899" t="str">
        <f t="shared" si="128"/>
        <v>greatest story ever told</v>
      </c>
      <c r="F3899" t="s">
        <v>5826</v>
      </c>
      <c r="G3899" t="str">
        <f>_xlfn.IFNA(VLOOKUP(F3899,songs!$B$1:$C$1539, 2, FALSE),"")</f>
        <v>Greatest Story Ever Told</v>
      </c>
      <c r="H3899" t="s">
        <v>154</v>
      </c>
    </row>
    <row r="3900" spans="1:8" x14ac:dyDescent="0.25">
      <c r="A3900">
        <v>3899</v>
      </c>
      <c r="B3900" t="s">
        <v>4973</v>
      </c>
      <c r="C3900" t="s">
        <v>291</v>
      </c>
      <c r="D3900" t="str">
        <f t="shared" si="130"/>
        <v/>
      </c>
      <c r="E3900" t="str">
        <f t="shared" si="128"/>
        <v>loser</v>
      </c>
      <c r="F3900" t="s">
        <v>6400</v>
      </c>
      <c r="G3900" t="str">
        <f>_xlfn.IFNA(VLOOKUP(F3900,songs!$B$1:$C$1539, 2, FALSE),"")</f>
        <v>Loser</v>
      </c>
      <c r="H3900" t="s">
        <v>291</v>
      </c>
    </row>
    <row r="3901" spans="1:8" x14ac:dyDescent="0.25">
      <c r="A3901">
        <v>3900</v>
      </c>
      <c r="B3901" t="s">
        <v>4974</v>
      </c>
      <c r="C3901" t="s">
        <v>3</v>
      </c>
      <c r="D3901" t="str">
        <f t="shared" si="130"/>
        <v/>
      </c>
      <c r="E3901" t="str">
        <f t="shared" si="128"/>
        <v>big river</v>
      </c>
      <c r="F3901" t="s">
        <v>5175</v>
      </c>
      <c r="G3901" t="str">
        <f>_xlfn.IFNA(VLOOKUP(F3901,songs!$B$1:$C$1539, 2, FALSE),"")</f>
        <v>Big River</v>
      </c>
      <c r="H3901" t="s">
        <v>3</v>
      </c>
    </row>
    <row r="3902" spans="1:8" x14ac:dyDescent="0.25">
      <c r="A3902">
        <v>3901</v>
      </c>
      <c r="B3902" t="s">
        <v>4975</v>
      </c>
      <c r="C3902" t="s">
        <v>215</v>
      </c>
      <c r="D3902" t="str">
        <f t="shared" si="130"/>
        <v/>
      </c>
      <c r="E3902" t="str">
        <f t="shared" si="128"/>
        <v>don't ease me in</v>
      </c>
      <c r="F3902" t="s">
        <v>5513</v>
      </c>
      <c r="G3902" t="str">
        <f>_xlfn.IFNA(VLOOKUP(F3902,songs!$B$1:$C$1539, 2, FALSE),"")</f>
        <v>Don't Ease Me In</v>
      </c>
      <c r="H3902" t="s">
        <v>215</v>
      </c>
    </row>
    <row r="3903" spans="1:8" x14ac:dyDescent="0.25">
      <c r="A3903">
        <v>3902</v>
      </c>
      <c r="B3903" t="s">
        <v>4976</v>
      </c>
      <c r="C3903" t="s">
        <v>595</v>
      </c>
      <c r="D3903" t="str">
        <f t="shared" si="130"/>
        <v/>
      </c>
      <c r="E3903" t="str">
        <f t="shared" si="128"/>
        <v>me and my uncle</v>
      </c>
      <c r="F3903" t="s">
        <v>6486</v>
      </c>
      <c r="G3903" t="str">
        <f>_xlfn.IFNA(VLOOKUP(F3903,songs!$B$1:$C$1539, 2, FALSE),"")</f>
        <v>Me And My Uncle</v>
      </c>
      <c r="H3903" t="s">
        <v>903</v>
      </c>
    </row>
    <row r="3904" spans="1:8" x14ac:dyDescent="0.25">
      <c r="A3904">
        <v>3903</v>
      </c>
      <c r="B3904" t="s">
        <v>4977</v>
      </c>
      <c r="C3904" t="s">
        <v>599</v>
      </c>
      <c r="D3904" t="str">
        <f t="shared" si="130"/>
        <v>&gt;</v>
      </c>
      <c r="E3904" t="str">
        <f t="shared" si="128"/>
        <v>dark star</v>
      </c>
      <c r="F3904" t="s">
        <v>5428</v>
      </c>
      <c r="G3904" t="str">
        <f>_xlfn.IFNA(VLOOKUP(F3904,songs!$B$1:$C$1539, 2, FALSE),"")</f>
        <v>Dark Star</v>
      </c>
      <c r="H3904" t="s">
        <v>92</v>
      </c>
    </row>
    <row r="3905" spans="1:8" x14ac:dyDescent="0.25">
      <c r="A3905">
        <v>3904</v>
      </c>
      <c r="B3905" t="s">
        <v>4978</v>
      </c>
      <c r="C3905" t="s">
        <v>924</v>
      </c>
      <c r="D3905" t="str">
        <f t="shared" si="130"/>
        <v>&gt;</v>
      </c>
      <c r="E3905" t="str">
        <f t="shared" si="128"/>
        <v>truckin'</v>
      </c>
      <c r="F3905" t="s">
        <v>7436</v>
      </c>
      <c r="G3905" t="str">
        <f>_xlfn.IFNA(VLOOKUP(F3905,songs!$B$1:$C$1539, 2, FALSE),"")</f>
        <v>Truckin'</v>
      </c>
      <c r="H3905" t="s">
        <v>15</v>
      </c>
    </row>
    <row r="3906" spans="1:8" x14ac:dyDescent="0.25">
      <c r="A3906">
        <v>3905</v>
      </c>
      <c r="B3906" t="s">
        <v>4979</v>
      </c>
      <c r="C3906" t="s">
        <v>212</v>
      </c>
      <c r="D3906" t="str">
        <f t="shared" si="130"/>
        <v/>
      </c>
      <c r="E3906" t="str">
        <f t="shared" si="128"/>
        <v>morning dew</v>
      </c>
      <c r="F3906" t="s">
        <v>6555</v>
      </c>
      <c r="G3906" t="str">
        <f>_xlfn.IFNA(VLOOKUP(F3906,songs!$B$1:$C$1539, 2, FALSE),"")</f>
        <v>Morning Dew</v>
      </c>
      <c r="H3906" t="s">
        <v>212</v>
      </c>
    </row>
    <row r="3907" spans="1:8" x14ac:dyDescent="0.25">
      <c r="A3907">
        <v>3906</v>
      </c>
      <c r="B3907" t="s">
        <v>4980</v>
      </c>
      <c r="C3907" t="s">
        <v>30</v>
      </c>
      <c r="D3907" t="str">
        <f t="shared" si="130"/>
        <v/>
      </c>
      <c r="E3907" t="str">
        <f t="shared" si="128"/>
        <v>sugar magnolia</v>
      </c>
      <c r="F3907" t="s">
        <v>7150</v>
      </c>
      <c r="G3907" t="str">
        <f>_xlfn.IFNA(VLOOKUP(F3907,songs!$B$1:$C$1539, 2, FALSE),"")</f>
        <v>Sugar Magnolia</v>
      </c>
      <c r="H3907" t="s">
        <v>30</v>
      </c>
    </row>
    <row r="3908" spans="1:8" x14ac:dyDescent="0.25">
      <c r="A3908">
        <v>120</v>
      </c>
      <c r="B3908" t="s">
        <v>203</v>
      </c>
      <c r="C3908" t="s">
        <v>204</v>
      </c>
      <c r="D3908" t="str">
        <f t="shared" si="130"/>
        <v/>
      </c>
      <c r="E3908" t="str">
        <f t="shared" si="128"/>
        <v>wood green jam</v>
      </c>
      <c r="F3908" t="s">
        <v>7819</v>
      </c>
      <c r="G3908" t="str">
        <f>_xlfn.IFNA(VLOOKUP(F3908,songs!$B$1:$C$1539, 2, FALSE),"")</f>
        <v/>
      </c>
      <c r="H3908" t="s">
        <v>7867</v>
      </c>
    </row>
    <row r="3909" spans="1:8" x14ac:dyDescent="0.25">
      <c r="A3909">
        <v>3908</v>
      </c>
      <c r="B3909" t="s">
        <v>4982</v>
      </c>
      <c r="C3909" t="s">
        <v>336</v>
      </c>
      <c r="D3909" t="str">
        <f t="shared" ref="D3909:D3912" si="131">IF(RIGHT(TRIM(C3909),2)="-&gt;","&gt;",IF(RIGHT(TRIM(C3909),1)="&gt;","&gt;",""))</f>
        <v/>
      </c>
      <c r="E3909" t="str">
        <f t="shared" ref="E3909:E3912" si="132">LOWER(TRIM(SUBSTITUTE(IF(RIGHT(TRIM(C3909),2)="-&gt;",LEFT(TRIM(C3909),LEN(TRIM(C3909))-2),IF(RIGHT(TRIM(C3909),1)="&gt;",LEFT(TRIM(C3909),LEN(TRIM(C3909))-1),C3909)),"//","")))</f>
        <v>ramble on rose</v>
      </c>
      <c r="F3909" t="s">
        <v>6827</v>
      </c>
      <c r="G3909" t="str">
        <f>_xlfn.IFNA(VLOOKUP(F3909,songs!$B$1:$C$1539, 2, FALSE),"")</f>
        <v>Ramble On Rose</v>
      </c>
      <c r="H3909" t="s">
        <v>436</v>
      </c>
    </row>
    <row r="3910" spans="1:8" x14ac:dyDescent="0.25">
      <c r="A3910">
        <v>3909</v>
      </c>
      <c r="B3910" t="s">
        <v>4983</v>
      </c>
      <c r="C3910" t="s">
        <v>327</v>
      </c>
      <c r="D3910" t="str">
        <f t="shared" si="131"/>
        <v/>
      </c>
      <c r="E3910" t="str">
        <f t="shared" si="132"/>
        <v>el paso</v>
      </c>
      <c r="F3910" t="s">
        <v>5600</v>
      </c>
      <c r="G3910" t="str">
        <f>_xlfn.IFNA(VLOOKUP(F3910,songs!$B$1:$C$1539, 2, FALSE),"")</f>
        <v>El Paso</v>
      </c>
      <c r="H3910" t="s">
        <v>327</v>
      </c>
    </row>
    <row r="3911" spans="1:8" x14ac:dyDescent="0.25">
      <c r="A3911">
        <v>3910</v>
      </c>
      <c r="B3911" t="s">
        <v>4984</v>
      </c>
      <c r="C3911" t="s">
        <v>264</v>
      </c>
      <c r="D3911" t="str">
        <f t="shared" si="131"/>
        <v/>
      </c>
      <c r="E3911" t="str">
        <f t="shared" si="132"/>
        <v>deal</v>
      </c>
      <c r="F3911" t="s">
        <v>5461</v>
      </c>
      <c r="G3911" t="str">
        <f>_xlfn.IFNA(VLOOKUP(F3911,songs!$B$1:$C$1539, 2, FALSE),"")</f>
        <v>Deal</v>
      </c>
      <c r="H3911" t="s">
        <v>264</v>
      </c>
    </row>
    <row r="3912" spans="1:8" x14ac:dyDescent="0.25">
      <c r="A3912">
        <v>3911</v>
      </c>
      <c r="B3912" t="s">
        <v>4985</v>
      </c>
      <c r="C3912" t="s">
        <v>262</v>
      </c>
      <c r="D3912" t="str">
        <f t="shared" si="131"/>
        <v/>
      </c>
      <c r="E3912" t="str">
        <f t="shared" si="132"/>
        <v>cassidy</v>
      </c>
      <c r="F3912" t="s">
        <v>5291</v>
      </c>
      <c r="G3912" t="str">
        <f>_xlfn.IFNA(VLOOKUP(F3912,songs!$B$1:$C$1539, 2, FALSE),"")</f>
        <v>Cassidy</v>
      </c>
      <c r="H3912" t="s">
        <v>262</v>
      </c>
    </row>
  </sheetData>
  <autoFilter ref="A1:H3912" xr:uid="{B4F6D011-257B-4E83-8EF2-3C3C26232491}">
    <sortState xmlns:xlrd2="http://schemas.microsoft.com/office/spreadsheetml/2017/richdata2" ref="A4:H3831">
      <sortCondition ref="A1:A391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AF43-464D-4E93-AFF0-4977E7BCBC0A}">
  <dimension ref="A1:C1539"/>
  <sheetViews>
    <sheetView workbookViewId="0"/>
  </sheetViews>
  <sheetFormatPr defaultRowHeight="15" x14ac:dyDescent="0.25"/>
  <cols>
    <col min="1" max="1" width="5" bestFit="1" customWidth="1"/>
    <col min="2" max="2" width="58" bestFit="1" customWidth="1"/>
    <col min="3" max="3" width="59.5703125" bestFit="1" customWidth="1"/>
  </cols>
  <sheetData>
    <row r="1" spans="1:3" x14ac:dyDescent="0.25">
      <c r="A1">
        <v>1501</v>
      </c>
      <c r="B1" t="s">
        <v>4986</v>
      </c>
      <c r="C1" t="s">
        <v>4987</v>
      </c>
    </row>
    <row r="2" spans="1:3" x14ac:dyDescent="0.25">
      <c r="A2">
        <v>500</v>
      </c>
      <c r="B2" t="s">
        <v>4988</v>
      </c>
      <c r="C2" t="s">
        <v>4989</v>
      </c>
    </row>
    <row r="3" spans="1:3" x14ac:dyDescent="0.25">
      <c r="A3">
        <v>935</v>
      </c>
      <c r="B3" t="s">
        <v>4990</v>
      </c>
      <c r="C3" t="s">
        <v>4990</v>
      </c>
    </row>
    <row r="4" spans="1:3" x14ac:dyDescent="0.25">
      <c r="A4">
        <v>1629</v>
      </c>
      <c r="B4" t="s">
        <v>4991</v>
      </c>
      <c r="C4" t="s">
        <v>4992</v>
      </c>
    </row>
    <row r="5" spans="1:3" x14ac:dyDescent="0.25">
      <c r="A5">
        <v>35</v>
      </c>
      <c r="B5" t="s">
        <v>4993</v>
      </c>
      <c r="C5" t="s">
        <v>4994</v>
      </c>
    </row>
    <row r="6" spans="1:3" x14ac:dyDescent="0.25">
      <c r="A6">
        <v>817</v>
      </c>
      <c r="B6" t="s">
        <v>4995</v>
      </c>
      <c r="C6" t="s">
        <v>4996</v>
      </c>
    </row>
    <row r="7" spans="1:3" x14ac:dyDescent="0.25">
      <c r="A7">
        <v>1709</v>
      </c>
      <c r="B7" t="s">
        <v>4997</v>
      </c>
      <c r="C7" t="s">
        <v>4998</v>
      </c>
    </row>
    <row r="8" spans="1:3" x14ac:dyDescent="0.25">
      <c r="A8">
        <v>1555</v>
      </c>
      <c r="B8" t="s">
        <v>4999</v>
      </c>
      <c r="C8" t="s">
        <v>5000</v>
      </c>
    </row>
    <row r="9" spans="1:3" x14ac:dyDescent="0.25">
      <c r="A9">
        <v>479</v>
      </c>
      <c r="B9" t="s">
        <v>5001</v>
      </c>
      <c r="C9" t="s">
        <v>5002</v>
      </c>
    </row>
    <row r="10" spans="1:3" x14ac:dyDescent="0.25">
      <c r="A10">
        <v>370</v>
      </c>
      <c r="B10" t="s">
        <v>5003</v>
      </c>
      <c r="C10" t="s">
        <v>5004</v>
      </c>
    </row>
    <row r="11" spans="1:3" x14ac:dyDescent="0.25">
      <c r="A11">
        <v>815</v>
      </c>
      <c r="B11" t="s">
        <v>5005</v>
      </c>
      <c r="C11" t="s">
        <v>5006</v>
      </c>
    </row>
    <row r="12" spans="1:3" x14ac:dyDescent="0.25">
      <c r="A12">
        <v>1213</v>
      </c>
      <c r="B12" t="s">
        <v>5007</v>
      </c>
      <c r="C12" t="s">
        <v>5008</v>
      </c>
    </row>
    <row r="13" spans="1:3" x14ac:dyDescent="0.25">
      <c r="A13">
        <v>620</v>
      </c>
      <c r="B13" t="s">
        <v>5009</v>
      </c>
      <c r="C13" t="s">
        <v>5010</v>
      </c>
    </row>
    <row r="14" spans="1:3" x14ac:dyDescent="0.25">
      <c r="A14">
        <v>1720</v>
      </c>
      <c r="B14" t="s">
        <v>5011</v>
      </c>
      <c r="C14" t="s">
        <v>5012</v>
      </c>
    </row>
    <row r="15" spans="1:3" x14ac:dyDescent="0.25">
      <c r="A15">
        <v>317</v>
      </c>
      <c r="B15" t="s">
        <v>5013</v>
      </c>
      <c r="C15" t="s">
        <v>5014</v>
      </c>
    </row>
    <row r="16" spans="1:3" x14ac:dyDescent="0.25">
      <c r="A16">
        <v>236</v>
      </c>
      <c r="B16" t="s">
        <v>5015</v>
      </c>
      <c r="C16" t="s">
        <v>5016</v>
      </c>
    </row>
    <row r="17" spans="1:3" x14ac:dyDescent="0.25">
      <c r="A17">
        <v>53</v>
      </c>
      <c r="B17" t="s">
        <v>5017</v>
      </c>
      <c r="C17" t="s">
        <v>5018</v>
      </c>
    </row>
    <row r="18" spans="1:3" x14ac:dyDescent="0.25">
      <c r="A18">
        <v>722</v>
      </c>
      <c r="B18" t="s">
        <v>5019</v>
      </c>
      <c r="C18" t="s">
        <v>5020</v>
      </c>
    </row>
    <row r="19" spans="1:3" x14ac:dyDescent="0.25">
      <c r="A19">
        <v>377</v>
      </c>
      <c r="B19" t="s">
        <v>5021</v>
      </c>
      <c r="C19" t="s">
        <v>5022</v>
      </c>
    </row>
    <row r="20" spans="1:3" x14ac:dyDescent="0.25">
      <c r="A20">
        <v>352</v>
      </c>
      <c r="B20" t="s">
        <v>5023</v>
      </c>
      <c r="C20" t="s">
        <v>5024</v>
      </c>
    </row>
    <row r="21" spans="1:3" x14ac:dyDescent="0.25">
      <c r="A21">
        <v>775</v>
      </c>
      <c r="B21" t="s">
        <v>5025</v>
      </c>
      <c r="C21" t="s">
        <v>5026</v>
      </c>
    </row>
    <row r="22" spans="1:3" x14ac:dyDescent="0.25">
      <c r="A22">
        <v>929</v>
      </c>
      <c r="B22" t="s">
        <v>5027</v>
      </c>
      <c r="C22" t="s">
        <v>5028</v>
      </c>
    </row>
    <row r="23" spans="1:3" x14ac:dyDescent="0.25">
      <c r="A23">
        <v>194</v>
      </c>
      <c r="B23" t="s">
        <v>5029</v>
      </c>
      <c r="C23" t="s">
        <v>5030</v>
      </c>
    </row>
    <row r="24" spans="1:3" x14ac:dyDescent="0.25">
      <c r="A24">
        <v>558</v>
      </c>
      <c r="B24" t="s">
        <v>5031</v>
      </c>
      <c r="C24" t="s">
        <v>5032</v>
      </c>
    </row>
    <row r="25" spans="1:3" x14ac:dyDescent="0.25">
      <c r="A25">
        <v>520</v>
      </c>
      <c r="B25" t="s">
        <v>5033</v>
      </c>
      <c r="C25" t="s">
        <v>5034</v>
      </c>
    </row>
    <row r="26" spans="1:3" x14ac:dyDescent="0.25">
      <c r="A26">
        <v>1399</v>
      </c>
      <c r="B26" t="s">
        <v>5035</v>
      </c>
      <c r="C26" t="s">
        <v>5036</v>
      </c>
    </row>
    <row r="27" spans="1:3" x14ac:dyDescent="0.25">
      <c r="A27">
        <v>757</v>
      </c>
      <c r="B27" t="s">
        <v>5037</v>
      </c>
      <c r="C27" t="s">
        <v>5038</v>
      </c>
    </row>
    <row r="28" spans="1:3" x14ac:dyDescent="0.25">
      <c r="A28">
        <v>1328</v>
      </c>
      <c r="B28" t="s">
        <v>5039</v>
      </c>
      <c r="C28" t="s">
        <v>5040</v>
      </c>
    </row>
    <row r="29" spans="1:3" x14ac:dyDescent="0.25">
      <c r="A29">
        <v>591</v>
      </c>
      <c r="B29" t="s">
        <v>5041</v>
      </c>
      <c r="C29" t="s">
        <v>5042</v>
      </c>
    </row>
    <row r="30" spans="1:3" x14ac:dyDescent="0.25">
      <c r="A30">
        <v>820</v>
      </c>
      <c r="B30" t="s">
        <v>5043</v>
      </c>
      <c r="C30" t="s">
        <v>5044</v>
      </c>
    </row>
    <row r="31" spans="1:3" x14ac:dyDescent="0.25">
      <c r="A31">
        <v>228</v>
      </c>
      <c r="B31" t="s">
        <v>5045</v>
      </c>
      <c r="C31" t="s">
        <v>5046</v>
      </c>
    </row>
    <row r="32" spans="1:3" x14ac:dyDescent="0.25">
      <c r="A32">
        <v>1187</v>
      </c>
      <c r="B32" t="s">
        <v>5047</v>
      </c>
      <c r="C32" t="s">
        <v>128</v>
      </c>
    </row>
    <row r="33" spans="1:3" x14ac:dyDescent="0.25">
      <c r="A33">
        <v>1171</v>
      </c>
      <c r="B33" t="s">
        <v>5048</v>
      </c>
      <c r="C33" t="s">
        <v>5049</v>
      </c>
    </row>
    <row r="34" spans="1:3" x14ac:dyDescent="0.25">
      <c r="A34">
        <v>1037</v>
      </c>
      <c r="B34" t="s">
        <v>5050</v>
      </c>
      <c r="C34" t="s">
        <v>4505</v>
      </c>
    </row>
    <row r="35" spans="1:3" x14ac:dyDescent="0.25">
      <c r="A35">
        <v>835</v>
      </c>
      <c r="B35" t="s">
        <v>5051</v>
      </c>
      <c r="C35" t="s">
        <v>872</v>
      </c>
    </row>
    <row r="36" spans="1:3" x14ac:dyDescent="0.25">
      <c r="A36">
        <v>541</v>
      </c>
      <c r="B36" t="s">
        <v>5052</v>
      </c>
      <c r="C36" t="s">
        <v>5053</v>
      </c>
    </row>
    <row r="37" spans="1:3" x14ac:dyDescent="0.25">
      <c r="A37">
        <v>603</v>
      </c>
      <c r="B37" t="s">
        <v>5054</v>
      </c>
      <c r="C37" t="s">
        <v>5055</v>
      </c>
    </row>
    <row r="38" spans="1:3" x14ac:dyDescent="0.25">
      <c r="A38">
        <v>180</v>
      </c>
      <c r="B38" t="s">
        <v>5056</v>
      </c>
      <c r="C38" t="s">
        <v>5057</v>
      </c>
    </row>
    <row r="39" spans="1:3" x14ac:dyDescent="0.25">
      <c r="A39">
        <v>71</v>
      </c>
      <c r="B39" t="s">
        <v>5058</v>
      </c>
      <c r="C39" t="s">
        <v>5059</v>
      </c>
    </row>
    <row r="40" spans="1:3" x14ac:dyDescent="0.25">
      <c r="A40">
        <v>99</v>
      </c>
      <c r="B40" t="s">
        <v>5060</v>
      </c>
      <c r="C40" t="s">
        <v>5061</v>
      </c>
    </row>
    <row r="41" spans="1:3" x14ac:dyDescent="0.25">
      <c r="A41">
        <v>1348</v>
      </c>
      <c r="B41" t="s">
        <v>5062</v>
      </c>
      <c r="C41" t="s">
        <v>5063</v>
      </c>
    </row>
    <row r="42" spans="1:3" x14ac:dyDescent="0.25">
      <c r="A42">
        <v>864</v>
      </c>
      <c r="B42" t="s">
        <v>5064</v>
      </c>
      <c r="C42" t="s">
        <v>5065</v>
      </c>
    </row>
    <row r="43" spans="1:3" x14ac:dyDescent="0.25">
      <c r="A43">
        <v>988</v>
      </c>
      <c r="B43" t="s">
        <v>5066</v>
      </c>
      <c r="C43" t="s">
        <v>5067</v>
      </c>
    </row>
    <row r="44" spans="1:3" x14ac:dyDescent="0.25">
      <c r="A44">
        <v>577</v>
      </c>
      <c r="B44" t="s">
        <v>5068</v>
      </c>
      <c r="C44" t="s">
        <v>5069</v>
      </c>
    </row>
    <row r="45" spans="1:3" x14ac:dyDescent="0.25">
      <c r="A45">
        <v>731</v>
      </c>
      <c r="B45" t="s">
        <v>5070</v>
      </c>
      <c r="C45" t="s">
        <v>5071</v>
      </c>
    </row>
    <row r="46" spans="1:3" x14ac:dyDescent="0.25">
      <c r="A46">
        <v>976</v>
      </c>
      <c r="B46" t="s">
        <v>5072</v>
      </c>
      <c r="C46" t="s">
        <v>98</v>
      </c>
    </row>
    <row r="47" spans="1:3" x14ac:dyDescent="0.25">
      <c r="A47">
        <v>1183</v>
      </c>
      <c r="B47" t="s">
        <v>5073</v>
      </c>
      <c r="C47" t="s">
        <v>161</v>
      </c>
    </row>
    <row r="48" spans="1:3" x14ac:dyDescent="0.25">
      <c r="A48">
        <v>195</v>
      </c>
      <c r="B48" t="s">
        <v>5074</v>
      </c>
      <c r="C48" t="s">
        <v>5075</v>
      </c>
    </row>
    <row r="49" spans="1:3" x14ac:dyDescent="0.25">
      <c r="A49">
        <v>891</v>
      </c>
      <c r="B49" t="s">
        <v>5076</v>
      </c>
      <c r="C49" t="s">
        <v>5077</v>
      </c>
    </row>
    <row r="50" spans="1:3" x14ac:dyDescent="0.25">
      <c r="A50">
        <v>1686</v>
      </c>
      <c r="B50" t="s">
        <v>5078</v>
      </c>
      <c r="C50" t="s">
        <v>5079</v>
      </c>
    </row>
    <row r="51" spans="1:3" x14ac:dyDescent="0.25">
      <c r="A51">
        <v>804</v>
      </c>
      <c r="B51" t="s">
        <v>5080</v>
      </c>
      <c r="C51" t="s">
        <v>5081</v>
      </c>
    </row>
    <row r="52" spans="1:3" x14ac:dyDescent="0.25">
      <c r="A52">
        <v>1058</v>
      </c>
      <c r="B52" t="s">
        <v>5082</v>
      </c>
      <c r="C52" t="s">
        <v>5083</v>
      </c>
    </row>
    <row r="53" spans="1:3" x14ac:dyDescent="0.25">
      <c r="A53">
        <v>490</v>
      </c>
      <c r="B53" t="s">
        <v>5084</v>
      </c>
      <c r="C53" t="s">
        <v>5085</v>
      </c>
    </row>
    <row r="54" spans="1:3" x14ac:dyDescent="0.25">
      <c r="A54">
        <v>225</v>
      </c>
      <c r="B54" t="s">
        <v>5086</v>
      </c>
      <c r="C54" t="s">
        <v>5087</v>
      </c>
    </row>
    <row r="55" spans="1:3" x14ac:dyDescent="0.25">
      <c r="A55">
        <v>285</v>
      </c>
      <c r="B55" t="s">
        <v>5088</v>
      </c>
      <c r="C55" t="s">
        <v>5089</v>
      </c>
    </row>
    <row r="56" spans="1:3" x14ac:dyDescent="0.25">
      <c r="A56">
        <v>893</v>
      </c>
      <c r="B56" t="s">
        <v>5090</v>
      </c>
      <c r="C56" t="s">
        <v>5091</v>
      </c>
    </row>
    <row r="57" spans="1:3" x14ac:dyDescent="0.25">
      <c r="A57">
        <v>734</v>
      </c>
      <c r="B57" t="s">
        <v>5092</v>
      </c>
      <c r="C57" t="s">
        <v>5093</v>
      </c>
    </row>
    <row r="58" spans="1:3" x14ac:dyDescent="0.25">
      <c r="A58">
        <v>920</v>
      </c>
      <c r="B58" t="s">
        <v>5094</v>
      </c>
      <c r="C58" t="s">
        <v>5095</v>
      </c>
    </row>
    <row r="59" spans="1:3" x14ac:dyDescent="0.25">
      <c r="A59">
        <v>353</v>
      </c>
      <c r="B59" t="s">
        <v>5096</v>
      </c>
      <c r="C59" t="s">
        <v>1001</v>
      </c>
    </row>
    <row r="60" spans="1:3" x14ac:dyDescent="0.25">
      <c r="A60">
        <v>1500</v>
      </c>
      <c r="B60" t="s">
        <v>5097</v>
      </c>
      <c r="C60" t="s">
        <v>5098</v>
      </c>
    </row>
    <row r="61" spans="1:3" x14ac:dyDescent="0.25">
      <c r="A61">
        <v>1332</v>
      </c>
      <c r="B61" t="s">
        <v>5099</v>
      </c>
      <c r="C61" t="s">
        <v>5100</v>
      </c>
    </row>
    <row r="62" spans="1:3" x14ac:dyDescent="0.25">
      <c r="A62">
        <v>1451</v>
      </c>
      <c r="B62" t="s">
        <v>5101</v>
      </c>
      <c r="C62" t="s">
        <v>5102</v>
      </c>
    </row>
    <row r="63" spans="1:3" x14ac:dyDescent="0.25">
      <c r="A63">
        <v>1100</v>
      </c>
      <c r="B63" t="s">
        <v>5103</v>
      </c>
      <c r="C63" t="s">
        <v>579</v>
      </c>
    </row>
    <row r="64" spans="1:3" x14ac:dyDescent="0.25">
      <c r="A64">
        <v>1505</v>
      </c>
      <c r="B64" t="s">
        <v>5104</v>
      </c>
      <c r="C64" t="s">
        <v>5105</v>
      </c>
    </row>
    <row r="65" spans="1:3" x14ac:dyDescent="0.25">
      <c r="A65">
        <v>573</v>
      </c>
      <c r="B65" t="s">
        <v>5106</v>
      </c>
      <c r="C65" t="s">
        <v>5107</v>
      </c>
    </row>
    <row r="66" spans="1:3" x14ac:dyDescent="0.25">
      <c r="A66">
        <v>965</v>
      </c>
      <c r="B66" t="s">
        <v>5108</v>
      </c>
      <c r="C66" t="s">
        <v>2859</v>
      </c>
    </row>
    <row r="67" spans="1:3" x14ac:dyDescent="0.25">
      <c r="A67">
        <v>671</v>
      </c>
      <c r="B67" t="s">
        <v>5109</v>
      </c>
      <c r="C67" t="s">
        <v>5110</v>
      </c>
    </row>
    <row r="68" spans="1:3" x14ac:dyDescent="0.25">
      <c r="A68">
        <v>1474</v>
      </c>
      <c r="B68" t="s">
        <v>5111</v>
      </c>
      <c r="C68" t="s">
        <v>5112</v>
      </c>
    </row>
    <row r="69" spans="1:3" x14ac:dyDescent="0.25">
      <c r="A69">
        <v>400</v>
      </c>
      <c r="B69" t="s">
        <v>5113</v>
      </c>
      <c r="C69" t="s">
        <v>5114</v>
      </c>
    </row>
    <row r="70" spans="1:3" x14ac:dyDescent="0.25">
      <c r="A70">
        <v>1297</v>
      </c>
      <c r="B70" t="s">
        <v>5115</v>
      </c>
      <c r="C70" t="s">
        <v>5116</v>
      </c>
    </row>
    <row r="71" spans="1:3" x14ac:dyDescent="0.25">
      <c r="A71">
        <v>388</v>
      </c>
      <c r="B71" t="s">
        <v>5117</v>
      </c>
      <c r="C71" t="s">
        <v>5118</v>
      </c>
    </row>
    <row r="72" spans="1:3" x14ac:dyDescent="0.25">
      <c r="A72">
        <v>134</v>
      </c>
      <c r="B72" t="s">
        <v>5119</v>
      </c>
      <c r="C72" t="s">
        <v>5120</v>
      </c>
    </row>
    <row r="73" spans="1:3" x14ac:dyDescent="0.25">
      <c r="A73">
        <v>682</v>
      </c>
      <c r="B73" t="s">
        <v>5121</v>
      </c>
      <c r="C73" t="s">
        <v>5122</v>
      </c>
    </row>
    <row r="74" spans="1:3" x14ac:dyDescent="0.25">
      <c r="A74">
        <v>1455</v>
      </c>
      <c r="B74" t="s">
        <v>5123</v>
      </c>
      <c r="C74" t="s">
        <v>5124</v>
      </c>
    </row>
    <row r="75" spans="1:3" x14ac:dyDescent="0.25">
      <c r="A75">
        <v>886</v>
      </c>
      <c r="B75" t="s">
        <v>5125</v>
      </c>
      <c r="C75" t="s">
        <v>5126</v>
      </c>
    </row>
    <row r="76" spans="1:3" x14ac:dyDescent="0.25">
      <c r="A76">
        <v>934</v>
      </c>
      <c r="B76" t="s">
        <v>5127</v>
      </c>
      <c r="C76" t="s">
        <v>5128</v>
      </c>
    </row>
    <row r="77" spans="1:3" x14ac:dyDescent="0.25">
      <c r="A77">
        <v>1251</v>
      </c>
      <c r="B77" t="s">
        <v>5129</v>
      </c>
      <c r="C77" t="s">
        <v>5130</v>
      </c>
    </row>
    <row r="78" spans="1:3" x14ac:dyDescent="0.25">
      <c r="A78">
        <v>794</v>
      </c>
      <c r="B78" t="s">
        <v>5131</v>
      </c>
      <c r="C78" t="s">
        <v>5132</v>
      </c>
    </row>
    <row r="79" spans="1:3" x14ac:dyDescent="0.25">
      <c r="A79">
        <v>381</v>
      </c>
      <c r="B79" t="s">
        <v>5133</v>
      </c>
      <c r="C79" t="s">
        <v>5134</v>
      </c>
    </row>
    <row r="80" spans="1:3" x14ac:dyDescent="0.25">
      <c r="A80">
        <v>502</v>
      </c>
      <c r="B80" t="s">
        <v>5135</v>
      </c>
      <c r="C80" t="s">
        <v>5136</v>
      </c>
    </row>
    <row r="81" spans="1:3" x14ac:dyDescent="0.25">
      <c r="A81">
        <v>1212</v>
      </c>
      <c r="B81" t="s">
        <v>5137</v>
      </c>
      <c r="C81" t="s">
        <v>5138</v>
      </c>
    </row>
    <row r="82" spans="1:3" x14ac:dyDescent="0.25">
      <c r="A82">
        <v>1207</v>
      </c>
      <c r="B82" t="s">
        <v>5139</v>
      </c>
      <c r="C82" t="s">
        <v>5140</v>
      </c>
    </row>
    <row r="83" spans="1:3" x14ac:dyDescent="0.25">
      <c r="A83">
        <v>1064</v>
      </c>
      <c r="B83" t="s">
        <v>5141</v>
      </c>
      <c r="C83" t="s">
        <v>5142</v>
      </c>
    </row>
    <row r="84" spans="1:3" x14ac:dyDescent="0.25">
      <c r="A84">
        <v>1710</v>
      </c>
      <c r="B84" t="s">
        <v>5143</v>
      </c>
      <c r="C84" t="s">
        <v>5144</v>
      </c>
    </row>
    <row r="85" spans="1:3" x14ac:dyDescent="0.25">
      <c r="A85">
        <v>1403</v>
      </c>
      <c r="B85" t="s">
        <v>5145</v>
      </c>
      <c r="C85" t="s">
        <v>5146</v>
      </c>
    </row>
    <row r="86" spans="1:3" x14ac:dyDescent="0.25">
      <c r="A86">
        <v>535</v>
      </c>
      <c r="B86" t="s">
        <v>5147</v>
      </c>
      <c r="C86" t="s">
        <v>5148</v>
      </c>
    </row>
    <row r="87" spans="1:3" x14ac:dyDescent="0.25">
      <c r="A87">
        <v>992</v>
      </c>
      <c r="B87" t="s">
        <v>5149</v>
      </c>
      <c r="C87" t="s">
        <v>431</v>
      </c>
    </row>
    <row r="88" spans="1:3" x14ac:dyDescent="0.25">
      <c r="A88">
        <v>1318</v>
      </c>
      <c r="B88" t="s">
        <v>5150</v>
      </c>
      <c r="C88" t="s">
        <v>5151</v>
      </c>
    </row>
    <row r="89" spans="1:3" x14ac:dyDescent="0.25">
      <c r="A89">
        <v>1109</v>
      </c>
      <c r="B89" t="s">
        <v>5152</v>
      </c>
      <c r="C89" t="s">
        <v>5153</v>
      </c>
    </row>
    <row r="90" spans="1:3" x14ac:dyDescent="0.25">
      <c r="A90">
        <v>1469</v>
      </c>
      <c r="B90" t="s">
        <v>5154</v>
      </c>
      <c r="C90" t="s">
        <v>5155</v>
      </c>
    </row>
    <row r="91" spans="1:3" x14ac:dyDescent="0.25">
      <c r="A91">
        <v>1276</v>
      </c>
      <c r="B91" t="s">
        <v>5156</v>
      </c>
      <c r="C91" t="s">
        <v>5157</v>
      </c>
    </row>
    <row r="92" spans="1:3" x14ac:dyDescent="0.25">
      <c r="A92">
        <v>230</v>
      </c>
      <c r="B92" t="s">
        <v>5158</v>
      </c>
      <c r="C92" t="s">
        <v>298</v>
      </c>
    </row>
    <row r="93" spans="1:3" x14ac:dyDescent="0.25">
      <c r="A93">
        <v>263</v>
      </c>
      <c r="B93" t="s">
        <v>5159</v>
      </c>
      <c r="C93" t="s">
        <v>5160</v>
      </c>
    </row>
    <row r="94" spans="1:3" x14ac:dyDescent="0.25">
      <c r="A94">
        <v>998</v>
      </c>
      <c r="B94" t="s">
        <v>5161</v>
      </c>
      <c r="C94" t="s">
        <v>5162</v>
      </c>
    </row>
    <row r="95" spans="1:3" x14ac:dyDescent="0.25">
      <c r="A95">
        <v>145</v>
      </c>
      <c r="B95" t="s">
        <v>5163</v>
      </c>
      <c r="C95" t="s">
        <v>1196</v>
      </c>
    </row>
    <row r="96" spans="1:3" x14ac:dyDescent="0.25">
      <c r="A96">
        <v>743</v>
      </c>
      <c r="B96" t="s">
        <v>5164</v>
      </c>
      <c r="C96" t="s">
        <v>5165</v>
      </c>
    </row>
    <row r="97" spans="1:3" x14ac:dyDescent="0.25">
      <c r="A97">
        <v>169</v>
      </c>
      <c r="B97" t="s">
        <v>5166</v>
      </c>
      <c r="C97" t="s">
        <v>5167</v>
      </c>
    </row>
    <row r="98" spans="1:3" x14ac:dyDescent="0.25">
      <c r="A98">
        <v>1464</v>
      </c>
      <c r="B98" t="s">
        <v>5168</v>
      </c>
      <c r="C98" t="s">
        <v>5169</v>
      </c>
    </row>
    <row r="99" spans="1:3" x14ac:dyDescent="0.25">
      <c r="A99">
        <v>116</v>
      </c>
      <c r="B99" t="s">
        <v>5170</v>
      </c>
      <c r="C99" t="s">
        <v>5171</v>
      </c>
    </row>
    <row r="100" spans="1:3" x14ac:dyDescent="0.25">
      <c r="A100">
        <v>1668</v>
      </c>
      <c r="B100" t="s">
        <v>5172</v>
      </c>
      <c r="C100" t="s">
        <v>5173</v>
      </c>
    </row>
    <row r="101" spans="1:3" x14ac:dyDescent="0.25">
      <c r="A101">
        <v>136</v>
      </c>
      <c r="B101" t="s">
        <v>5174</v>
      </c>
      <c r="C101" t="s">
        <v>9</v>
      </c>
    </row>
    <row r="102" spans="1:3" x14ac:dyDescent="0.25">
      <c r="A102">
        <v>43</v>
      </c>
      <c r="B102" t="s">
        <v>5175</v>
      </c>
      <c r="C102" t="s">
        <v>3</v>
      </c>
    </row>
    <row r="103" spans="1:3" x14ac:dyDescent="0.25">
      <c r="A103">
        <v>209</v>
      </c>
      <c r="B103" t="s">
        <v>5176</v>
      </c>
      <c r="C103" t="s">
        <v>5177</v>
      </c>
    </row>
    <row r="104" spans="1:3" x14ac:dyDescent="0.25">
      <c r="A104">
        <v>1368</v>
      </c>
      <c r="B104" t="s">
        <v>5178</v>
      </c>
      <c r="C104" t="s">
        <v>5179</v>
      </c>
    </row>
    <row r="105" spans="1:3" x14ac:dyDescent="0.25">
      <c r="A105">
        <v>461</v>
      </c>
      <c r="B105" t="s">
        <v>5180</v>
      </c>
      <c r="C105" t="s">
        <v>5181</v>
      </c>
    </row>
    <row r="106" spans="1:3" x14ac:dyDescent="0.25">
      <c r="A106">
        <v>276</v>
      </c>
      <c r="B106" t="s">
        <v>5182</v>
      </c>
      <c r="C106" t="s">
        <v>5183</v>
      </c>
    </row>
    <row r="107" spans="1:3" x14ac:dyDescent="0.25">
      <c r="A107">
        <v>231</v>
      </c>
      <c r="B107" t="s">
        <v>5184</v>
      </c>
      <c r="C107" t="s">
        <v>323</v>
      </c>
    </row>
    <row r="108" spans="1:3" x14ac:dyDescent="0.25">
      <c r="A108">
        <v>668</v>
      </c>
      <c r="B108" t="s">
        <v>5185</v>
      </c>
      <c r="C108" t="s">
        <v>5186</v>
      </c>
    </row>
    <row r="109" spans="1:3" x14ac:dyDescent="0.25">
      <c r="A109">
        <v>1427</v>
      </c>
      <c r="B109" t="s">
        <v>5187</v>
      </c>
      <c r="C109" t="s">
        <v>5188</v>
      </c>
    </row>
    <row r="110" spans="1:3" x14ac:dyDescent="0.25">
      <c r="A110">
        <v>1245</v>
      </c>
      <c r="B110" t="s">
        <v>5189</v>
      </c>
      <c r="C110" t="s">
        <v>4278</v>
      </c>
    </row>
    <row r="111" spans="1:3" x14ac:dyDescent="0.25">
      <c r="A111">
        <v>160</v>
      </c>
      <c r="B111" t="s">
        <v>5190</v>
      </c>
      <c r="C111" t="s">
        <v>221</v>
      </c>
    </row>
    <row r="112" spans="1:3" x14ac:dyDescent="0.25">
      <c r="A112">
        <v>1078</v>
      </c>
      <c r="B112" t="s">
        <v>5191</v>
      </c>
      <c r="C112" t="s">
        <v>5192</v>
      </c>
    </row>
    <row r="113" spans="1:3" x14ac:dyDescent="0.25">
      <c r="A113">
        <v>1126</v>
      </c>
      <c r="B113" t="s">
        <v>5193</v>
      </c>
      <c r="C113" t="s">
        <v>1244</v>
      </c>
    </row>
    <row r="114" spans="1:3" x14ac:dyDescent="0.25">
      <c r="A114">
        <v>453</v>
      </c>
      <c r="B114" t="s">
        <v>5194</v>
      </c>
      <c r="C114" t="s">
        <v>5195</v>
      </c>
    </row>
    <row r="115" spans="1:3" x14ac:dyDescent="0.25">
      <c r="A115">
        <v>656</v>
      </c>
      <c r="B115" t="s">
        <v>5196</v>
      </c>
      <c r="C115" t="s">
        <v>5197</v>
      </c>
    </row>
    <row r="116" spans="1:3" x14ac:dyDescent="0.25">
      <c r="A116">
        <v>1274</v>
      </c>
      <c r="B116" t="s">
        <v>5198</v>
      </c>
      <c r="C116" t="s">
        <v>4285</v>
      </c>
    </row>
    <row r="117" spans="1:3" x14ac:dyDescent="0.25">
      <c r="A117">
        <v>1352</v>
      </c>
      <c r="B117" t="s">
        <v>5199</v>
      </c>
      <c r="C117" t="s">
        <v>5200</v>
      </c>
    </row>
    <row r="118" spans="1:3" x14ac:dyDescent="0.25">
      <c r="A118">
        <v>52</v>
      </c>
      <c r="B118" t="s">
        <v>5201</v>
      </c>
      <c r="C118" t="s">
        <v>5202</v>
      </c>
    </row>
    <row r="119" spans="1:3" x14ac:dyDescent="0.25">
      <c r="A119">
        <v>139</v>
      </c>
      <c r="B119" t="s">
        <v>5203</v>
      </c>
      <c r="C119" t="s">
        <v>5204</v>
      </c>
    </row>
    <row r="120" spans="1:3" x14ac:dyDescent="0.25">
      <c r="A120">
        <v>445</v>
      </c>
      <c r="B120" t="s">
        <v>5205</v>
      </c>
      <c r="C120" t="s">
        <v>5206</v>
      </c>
    </row>
    <row r="121" spans="1:3" x14ac:dyDescent="0.25">
      <c r="A121">
        <v>706</v>
      </c>
      <c r="B121" t="s">
        <v>5207</v>
      </c>
      <c r="C121" t="s">
        <v>5208</v>
      </c>
    </row>
    <row r="122" spans="1:3" x14ac:dyDescent="0.25">
      <c r="A122">
        <v>1326</v>
      </c>
      <c r="B122" t="s">
        <v>5209</v>
      </c>
      <c r="C122" t="s">
        <v>5210</v>
      </c>
    </row>
    <row r="123" spans="1:3" x14ac:dyDescent="0.25">
      <c r="A123">
        <v>839</v>
      </c>
      <c r="B123" t="s">
        <v>5211</v>
      </c>
      <c r="C123" t="s">
        <v>5212</v>
      </c>
    </row>
    <row r="124" spans="1:3" x14ac:dyDescent="0.25">
      <c r="A124">
        <v>49</v>
      </c>
      <c r="B124" t="s">
        <v>5213</v>
      </c>
      <c r="C124" t="s">
        <v>5214</v>
      </c>
    </row>
    <row r="125" spans="1:3" x14ac:dyDescent="0.25">
      <c r="A125">
        <v>1157</v>
      </c>
      <c r="B125" t="s">
        <v>5215</v>
      </c>
      <c r="C125" t="s">
        <v>4160</v>
      </c>
    </row>
    <row r="126" spans="1:3" x14ac:dyDescent="0.25">
      <c r="A126">
        <v>1008</v>
      </c>
      <c r="B126" t="s">
        <v>5216</v>
      </c>
      <c r="C126" t="s">
        <v>5217</v>
      </c>
    </row>
    <row r="127" spans="1:3" x14ac:dyDescent="0.25">
      <c r="A127">
        <v>1568</v>
      </c>
      <c r="B127" t="s">
        <v>5218</v>
      </c>
      <c r="C127" t="s">
        <v>5219</v>
      </c>
    </row>
    <row r="128" spans="1:3" x14ac:dyDescent="0.25">
      <c r="A128">
        <v>512</v>
      </c>
      <c r="B128" t="s">
        <v>5220</v>
      </c>
      <c r="C128" t="s">
        <v>5221</v>
      </c>
    </row>
    <row r="129" spans="1:3" x14ac:dyDescent="0.25">
      <c r="A129">
        <v>1514</v>
      </c>
      <c r="B129" t="s">
        <v>5222</v>
      </c>
      <c r="C129" t="s">
        <v>5223</v>
      </c>
    </row>
    <row r="130" spans="1:3" x14ac:dyDescent="0.25">
      <c r="A130">
        <v>1463</v>
      </c>
      <c r="B130" t="s">
        <v>5224</v>
      </c>
      <c r="C130" t="s">
        <v>5225</v>
      </c>
    </row>
    <row r="131" spans="1:3" x14ac:dyDescent="0.25">
      <c r="A131">
        <v>567</v>
      </c>
      <c r="B131" t="s">
        <v>5226</v>
      </c>
      <c r="C131" t="s">
        <v>5227</v>
      </c>
    </row>
    <row r="132" spans="1:3" x14ac:dyDescent="0.25">
      <c r="A132">
        <v>1051</v>
      </c>
      <c r="B132" t="s">
        <v>5228</v>
      </c>
      <c r="C132" t="s">
        <v>3105</v>
      </c>
    </row>
    <row r="133" spans="1:3" x14ac:dyDescent="0.25">
      <c r="A133">
        <v>896</v>
      </c>
      <c r="B133" t="s">
        <v>5229</v>
      </c>
      <c r="C133" t="s">
        <v>5230</v>
      </c>
    </row>
    <row r="134" spans="1:3" x14ac:dyDescent="0.25">
      <c r="A134">
        <v>878</v>
      </c>
      <c r="B134" t="s">
        <v>5231</v>
      </c>
      <c r="C134" t="s">
        <v>5232</v>
      </c>
    </row>
    <row r="135" spans="1:3" x14ac:dyDescent="0.25">
      <c r="A135">
        <v>1465</v>
      </c>
      <c r="B135" t="s">
        <v>5233</v>
      </c>
      <c r="C135" t="s">
        <v>5234</v>
      </c>
    </row>
    <row r="136" spans="1:3" x14ac:dyDescent="0.25">
      <c r="A136">
        <v>955</v>
      </c>
      <c r="B136" t="s">
        <v>5235</v>
      </c>
      <c r="C136" t="s">
        <v>5236</v>
      </c>
    </row>
    <row r="137" spans="1:3" x14ac:dyDescent="0.25">
      <c r="A137">
        <v>1097</v>
      </c>
      <c r="B137" t="s">
        <v>5237</v>
      </c>
      <c r="C137" t="s">
        <v>915</v>
      </c>
    </row>
    <row r="138" spans="1:3" x14ac:dyDescent="0.25">
      <c r="A138">
        <v>45</v>
      </c>
      <c r="B138" t="s">
        <v>5238</v>
      </c>
      <c r="C138" t="s">
        <v>5239</v>
      </c>
    </row>
    <row r="139" spans="1:3" x14ac:dyDescent="0.25">
      <c r="A139">
        <v>1507</v>
      </c>
      <c r="B139" t="s">
        <v>5240</v>
      </c>
      <c r="C139" t="s">
        <v>5241</v>
      </c>
    </row>
    <row r="140" spans="1:3" x14ac:dyDescent="0.25">
      <c r="A140">
        <v>1190</v>
      </c>
      <c r="B140" t="s">
        <v>5242</v>
      </c>
      <c r="C140" t="s">
        <v>5243</v>
      </c>
    </row>
    <row r="141" spans="1:3" x14ac:dyDescent="0.25">
      <c r="A141">
        <v>838</v>
      </c>
      <c r="B141" t="s">
        <v>5244</v>
      </c>
      <c r="C141" t="s">
        <v>5245</v>
      </c>
    </row>
    <row r="142" spans="1:3" x14ac:dyDescent="0.25">
      <c r="A142">
        <v>930</v>
      </c>
      <c r="B142" t="s">
        <v>5246</v>
      </c>
      <c r="C142" t="s">
        <v>5247</v>
      </c>
    </row>
    <row r="143" spans="1:3" x14ac:dyDescent="0.25">
      <c r="A143">
        <v>1092</v>
      </c>
      <c r="B143" t="s">
        <v>5248</v>
      </c>
      <c r="C143" t="s">
        <v>5249</v>
      </c>
    </row>
    <row r="144" spans="1:3" x14ac:dyDescent="0.25">
      <c r="A144">
        <v>1095</v>
      </c>
      <c r="B144" t="s">
        <v>5250</v>
      </c>
      <c r="C144" t="s">
        <v>145</v>
      </c>
    </row>
    <row r="145" spans="1:3" x14ac:dyDescent="0.25">
      <c r="A145">
        <v>1302</v>
      </c>
      <c r="B145" t="s">
        <v>5251</v>
      </c>
      <c r="C145" t="s">
        <v>5252</v>
      </c>
    </row>
    <row r="146" spans="1:3" x14ac:dyDescent="0.25">
      <c r="A146">
        <v>176</v>
      </c>
      <c r="B146" t="s">
        <v>5253</v>
      </c>
      <c r="C146" t="s">
        <v>5254</v>
      </c>
    </row>
    <row r="147" spans="1:3" x14ac:dyDescent="0.25">
      <c r="A147">
        <v>1117</v>
      </c>
      <c r="B147" t="s">
        <v>5255</v>
      </c>
      <c r="C147" t="s">
        <v>1222</v>
      </c>
    </row>
    <row r="148" spans="1:3" x14ac:dyDescent="0.25">
      <c r="A148">
        <v>1358</v>
      </c>
      <c r="B148" t="s">
        <v>5256</v>
      </c>
      <c r="C148" t="s">
        <v>5257</v>
      </c>
    </row>
    <row r="149" spans="1:3" x14ac:dyDescent="0.25">
      <c r="A149">
        <v>1371</v>
      </c>
      <c r="B149" t="s">
        <v>5258</v>
      </c>
      <c r="C149" t="s">
        <v>5259</v>
      </c>
    </row>
    <row r="150" spans="1:3" x14ac:dyDescent="0.25">
      <c r="A150">
        <v>109</v>
      </c>
      <c r="B150" t="s">
        <v>5260</v>
      </c>
      <c r="C150" t="s">
        <v>5261</v>
      </c>
    </row>
    <row r="151" spans="1:3" x14ac:dyDescent="0.25">
      <c r="A151">
        <v>531</v>
      </c>
      <c r="B151" t="s">
        <v>5262</v>
      </c>
      <c r="C151" t="s">
        <v>5263</v>
      </c>
    </row>
    <row r="152" spans="1:3" x14ac:dyDescent="0.25">
      <c r="A152">
        <v>1281</v>
      </c>
      <c r="B152" t="s">
        <v>5264</v>
      </c>
      <c r="C152" t="s">
        <v>4283</v>
      </c>
    </row>
    <row r="153" spans="1:3" x14ac:dyDescent="0.25">
      <c r="A153">
        <v>1557</v>
      </c>
      <c r="B153" t="s">
        <v>5265</v>
      </c>
      <c r="C153" t="s">
        <v>5266</v>
      </c>
    </row>
    <row r="154" spans="1:3" x14ac:dyDescent="0.25">
      <c r="A154">
        <v>1417</v>
      </c>
      <c r="B154" t="s">
        <v>5267</v>
      </c>
      <c r="C154" t="s">
        <v>5268</v>
      </c>
    </row>
    <row r="155" spans="1:3" x14ac:dyDescent="0.25">
      <c r="A155">
        <v>876</v>
      </c>
      <c r="B155" t="s">
        <v>5269</v>
      </c>
      <c r="C155" t="s">
        <v>5270</v>
      </c>
    </row>
    <row r="156" spans="1:3" x14ac:dyDescent="0.25">
      <c r="A156">
        <v>1206</v>
      </c>
      <c r="B156" t="s">
        <v>5271</v>
      </c>
      <c r="C156" t="s">
        <v>5272</v>
      </c>
    </row>
    <row r="157" spans="1:3" x14ac:dyDescent="0.25">
      <c r="A157">
        <v>203</v>
      </c>
      <c r="B157" t="s">
        <v>5273</v>
      </c>
      <c r="C157" t="s">
        <v>115</v>
      </c>
    </row>
    <row r="158" spans="1:3" x14ac:dyDescent="0.25">
      <c r="A158">
        <v>1286</v>
      </c>
      <c r="B158" t="s">
        <v>5274</v>
      </c>
      <c r="C158" t="s">
        <v>5275</v>
      </c>
    </row>
    <row r="159" spans="1:3" x14ac:dyDescent="0.25">
      <c r="A159">
        <v>1433</v>
      </c>
      <c r="B159" t="s">
        <v>5276</v>
      </c>
      <c r="C159" t="s">
        <v>5277</v>
      </c>
    </row>
    <row r="160" spans="1:3" x14ac:dyDescent="0.25">
      <c r="A160">
        <v>155</v>
      </c>
      <c r="B160" t="s">
        <v>5278</v>
      </c>
      <c r="C160" t="s">
        <v>641</v>
      </c>
    </row>
    <row r="161" spans="1:3" x14ac:dyDescent="0.25">
      <c r="A161">
        <v>1369</v>
      </c>
      <c r="B161" t="s">
        <v>5279</v>
      </c>
      <c r="C161" t="s">
        <v>5280</v>
      </c>
    </row>
    <row r="162" spans="1:3" x14ac:dyDescent="0.25">
      <c r="A162">
        <v>969</v>
      </c>
      <c r="B162" t="s">
        <v>5281</v>
      </c>
      <c r="C162" t="s">
        <v>5282</v>
      </c>
    </row>
    <row r="163" spans="1:3" x14ac:dyDescent="0.25">
      <c r="A163">
        <v>1430</v>
      </c>
      <c r="B163" t="s">
        <v>5283</v>
      </c>
      <c r="C163" t="s">
        <v>5284</v>
      </c>
    </row>
    <row r="164" spans="1:3" x14ac:dyDescent="0.25">
      <c r="A164">
        <v>1017</v>
      </c>
      <c r="B164" t="s">
        <v>5285</v>
      </c>
      <c r="C164" t="s">
        <v>3066</v>
      </c>
    </row>
    <row r="165" spans="1:3" x14ac:dyDescent="0.25">
      <c r="A165">
        <v>539</v>
      </c>
      <c r="B165" t="s">
        <v>5286</v>
      </c>
      <c r="C165" t="s">
        <v>5287</v>
      </c>
    </row>
    <row r="166" spans="1:3" x14ac:dyDescent="0.25">
      <c r="A166">
        <v>201</v>
      </c>
      <c r="B166" t="s">
        <v>5288</v>
      </c>
      <c r="C166" t="s">
        <v>5289</v>
      </c>
    </row>
    <row r="167" spans="1:3" x14ac:dyDescent="0.25">
      <c r="A167">
        <v>1073</v>
      </c>
      <c r="B167" t="s">
        <v>5290</v>
      </c>
      <c r="C167" t="s">
        <v>81</v>
      </c>
    </row>
    <row r="168" spans="1:3" x14ac:dyDescent="0.25">
      <c r="A168">
        <v>786</v>
      </c>
      <c r="B168" t="s">
        <v>5291</v>
      </c>
      <c r="C168" t="s">
        <v>262</v>
      </c>
    </row>
    <row r="169" spans="1:3" x14ac:dyDescent="0.25">
      <c r="A169">
        <v>478</v>
      </c>
      <c r="B169" t="s">
        <v>5292</v>
      </c>
      <c r="C169" t="s">
        <v>5293</v>
      </c>
    </row>
    <row r="170" spans="1:3" x14ac:dyDescent="0.25">
      <c r="A170">
        <v>90</v>
      </c>
      <c r="B170" t="s">
        <v>5294</v>
      </c>
      <c r="C170" t="s">
        <v>5295</v>
      </c>
    </row>
    <row r="171" spans="1:3" x14ac:dyDescent="0.25">
      <c r="A171">
        <v>937</v>
      </c>
      <c r="B171" t="s">
        <v>5296</v>
      </c>
      <c r="C171" t="s">
        <v>5297</v>
      </c>
    </row>
    <row r="172" spans="1:3" x14ac:dyDescent="0.25">
      <c r="A172">
        <v>721</v>
      </c>
      <c r="B172" t="s">
        <v>5298</v>
      </c>
      <c r="C172" t="s">
        <v>5299</v>
      </c>
    </row>
    <row r="173" spans="1:3" x14ac:dyDescent="0.25">
      <c r="A173">
        <v>972</v>
      </c>
      <c r="B173" t="s">
        <v>5300</v>
      </c>
      <c r="C173" t="s">
        <v>3962</v>
      </c>
    </row>
    <row r="174" spans="1:3" x14ac:dyDescent="0.25">
      <c r="A174">
        <v>149</v>
      </c>
      <c r="B174" t="s">
        <v>5301</v>
      </c>
      <c r="C174" t="s">
        <v>5302</v>
      </c>
    </row>
    <row r="175" spans="1:3" x14ac:dyDescent="0.25">
      <c r="A175">
        <v>442</v>
      </c>
      <c r="B175" t="s">
        <v>5303</v>
      </c>
      <c r="C175" t="s">
        <v>5304</v>
      </c>
    </row>
    <row r="176" spans="1:3" x14ac:dyDescent="0.25">
      <c r="A176">
        <v>883</v>
      </c>
      <c r="B176" t="s">
        <v>5305</v>
      </c>
      <c r="C176" t="s">
        <v>5306</v>
      </c>
    </row>
    <row r="177" spans="1:3" x14ac:dyDescent="0.25">
      <c r="A177">
        <v>1070</v>
      </c>
      <c r="B177" t="s">
        <v>5307</v>
      </c>
      <c r="C177" t="s">
        <v>5308</v>
      </c>
    </row>
    <row r="178" spans="1:3" x14ac:dyDescent="0.25">
      <c r="A178">
        <v>475</v>
      </c>
      <c r="B178" t="s">
        <v>5309</v>
      </c>
      <c r="C178" t="s">
        <v>5310</v>
      </c>
    </row>
    <row r="179" spans="1:3" x14ac:dyDescent="0.25">
      <c r="A179">
        <v>897</v>
      </c>
      <c r="B179" t="s">
        <v>5311</v>
      </c>
      <c r="C179" t="s">
        <v>5312</v>
      </c>
    </row>
    <row r="180" spans="1:3" x14ac:dyDescent="0.25">
      <c r="A180">
        <v>964</v>
      </c>
      <c r="B180" t="s">
        <v>5313</v>
      </c>
      <c r="C180" t="s">
        <v>5314</v>
      </c>
    </row>
    <row r="181" spans="1:3" x14ac:dyDescent="0.25">
      <c r="A181">
        <v>1203</v>
      </c>
      <c r="B181" t="s">
        <v>5315</v>
      </c>
      <c r="C181" t="s">
        <v>5316</v>
      </c>
    </row>
    <row r="182" spans="1:3" x14ac:dyDescent="0.25">
      <c r="A182">
        <v>1254</v>
      </c>
      <c r="B182" t="s">
        <v>5317</v>
      </c>
      <c r="C182" t="s">
        <v>5318</v>
      </c>
    </row>
    <row r="183" spans="1:3" x14ac:dyDescent="0.25">
      <c r="A183">
        <v>1053</v>
      </c>
      <c r="B183" t="s">
        <v>5319</v>
      </c>
      <c r="C183" t="s">
        <v>84</v>
      </c>
    </row>
    <row r="184" spans="1:3" x14ac:dyDescent="0.25">
      <c r="A184">
        <v>795</v>
      </c>
      <c r="B184" t="s">
        <v>5320</v>
      </c>
      <c r="C184" t="s">
        <v>304</v>
      </c>
    </row>
    <row r="185" spans="1:3" x14ac:dyDescent="0.25">
      <c r="A185">
        <v>1125</v>
      </c>
      <c r="B185" t="s">
        <v>5321</v>
      </c>
      <c r="C185" t="s">
        <v>1008</v>
      </c>
    </row>
    <row r="186" spans="1:3" x14ac:dyDescent="0.25">
      <c r="A186">
        <v>1278</v>
      </c>
      <c r="B186" t="s">
        <v>5322</v>
      </c>
      <c r="C186" t="s">
        <v>5323</v>
      </c>
    </row>
    <row r="187" spans="1:3" x14ac:dyDescent="0.25">
      <c r="A187">
        <v>850</v>
      </c>
      <c r="B187" t="s">
        <v>5324</v>
      </c>
      <c r="C187" t="s">
        <v>5325</v>
      </c>
    </row>
    <row r="188" spans="1:3" x14ac:dyDescent="0.25">
      <c r="A188">
        <v>373</v>
      </c>
      <c r="B188" t="s">
        <v>5326</v>
      </c>
      <c r="C188" t="s">
        <v>5327</v>
      </c>
    </row>
    <row r="189" spans="1:3" x14ac:dyDescent="0.25">
      <c r="A189">
        <v>967</v>
      </c>
      <c r="B189" t="s">
        <v>5328</v>
      </c>
      <c r="C189" t="s">
        <v>5329</v>
      </c>
    </row>
    <row r="190" spans="1:3" x14ac:dyDescent="0.25">
      <c r="A190">
        <v>677</v>
      </c>
      <c r="B190" t="s">
        <v>5330</v>
      </c>
      <c r="C190" t="s">
        <v>5331</v>
      </c>
    </row>
    <row r="191" spans="1:3" x14ac:dyDescent="0.25">
      <c r="A191">
        <v>1056</v>
      </c>
      <c r="B191" t="s">
        <v>5332</v>
      </c>
      <c r="C191" t="s">
        <v>5333</v>
      </c>
    </row>
    <row r="192" spans="1:3" x14ac:dyDescent="0.25">
      <c r="A192">
        <v>1388</v>
      </c>
      <c r="B192" t="s">
        <v>5334</v>
      </c>
      <c r="C192" t="s">
        <v>5335</v>
      </c>
    </row>
    <row r="193" spans="1:3" x14ac:dyDescent="0.25">
      <c r="A193">
        <v>1176</v>
      </c>
      <c r="B193" t="s">
        <v>5336</v>
      </c>
      <c r="C193" t="s">
        <v>5337</v>
      </c>
    </row>
    <row r="194" spans="1:3" x14ac:dyDescent="0.25">
      <c r="A194">
        <v>104</v>
      </c>
      <c r="B194" t="s">
        <v>5338</v>
      </c>
      <c r="C194" t="s">
        <v>5339</v>
      </c>
    </row>
    <row r="195" spans="1:3" x14ac:dyDescent="0.25">
      <c r="A195">
        <v>856</v>
      </c>
      <c r="B195" t="s">
        <v>5340</v>
      </c>
      <c r="C195" t="s">
        <v>5341</v>
      </c>
    </row>
    <row r="196" spans="1:3" x14ac:dyDescent="0.25">
      <c r="A196">
        <v>103</v>
      </c>
      <c r="B196" t="s">
        <v>5342</v>
      </c>
      <c r="C196" t="s">
        <v>5343</v>
      </c>
    </row>
    <row r="197" spans="1:3" x14ac:dyDescent="0.25">
      <c r="A197">
        <v>1468</v>
      </c>
      <c r="B197" t="s">
        <v>5344</v>
      </c>
      <c r="C197" t="s">
        <v>5345</v>
      </c>
    </row>
    <row r="198" spans="1:3" x14ac:dyDescent="0.25">
      <c r="A198">
        <v>192</v>
      </c>
      <c r="B198" t="s">
        <v>5346</v>
      </c>
      <c r="C198" t="s">
        <v>229</v>
      </c>
    </row>
    <row r="199" spans="1:3" x14ac:dyDescent="0.25">
      <c r="A199">
        <v>1006</v>
      </c>
      <c r="B199" t="s">
        <v>5347</v>
      </c>
      <c r="C199" t="s">
        <v>429</v>
      </c>
    </row>
    <row r="200" spans="1:3" x14ac:dyDescent="0.25">
      <c r="A200">
        <v>526</v>
      </c>
      <c r="B200" t="s">
        <v>5348</v>
      </c>
      <c r="C200" t="s">
        <v>5349</v>
      </c>
    </row>
    <row r="201" spans="1:3" x14ac:dyDescent="0.25">
      <c r="A201">
        <v>363</v>
      </c>
      <c r="B201" t="s">
        <v>5350</v>
      </c>
      <c r="C201" t="s">
        <v>5351</v>
      </c>
    </row>
    <row r="202" spans="1:3" x14ac:dyDescent="0.25">
      <c r="A202">
        <v>1104</v>
      </c>
      <c r="B202" t="s">
        <v>5352</v>
      </c>
      <c r="C202" t="s">
        <v>5353</v>
      </c>
    </row>
    <row r="203" spans="1:3" x14ac:dyDescent="0.25">
      <c r="A203">
        <v>358</v>
      </c>
      <c r="B203" t="s">
        <v>5354</v>
      </c>
      <c r="C203" t="s">
        <v>5355</v>
      </c>
    </row>
    <row r="204" spans="1:3" x14ac:dyDescent="0.25">
      <c r="A204">
        <v>626</v>
      </c>
      <c r="B204" t="s">
        <v>5356</v>
      </c>
      <c r="C204" t="s">
        <v>5357</v>
      </c>
    </row>
    <row r="205" spans="1:3" x14ac:dyDescent="0.25">
      <c r="A205">
        <v>659</v>
      </c>
      <c r="B205" t="s">
        <v>5358</v>
      </c>
      <c r="C205" t="s">
        <v>5359</v>
      </c>
    </row>
    <row r="206" spans="1:3" x14ac:dyDescent="0.25">
      <c r="A206">
        <v>1120</v>
      </c>
      <c r="B206" t="s">
        <v>5360</v>
      </c>
      <c r="C206" t="s">
        <v>1731</v>
      </c>
    </row>
    <row r="207" spans="1:3" x14ac:dyDescent="0.25">
      <c r="A207">
        <v>5</v>
      </c>
      <c r="B207" t="s">
        <v>5361</v>
      </c>
      <c r="C207" t="s">
        <v>5362</v>
      </c>
    </row>
    <row r="208" spans="1:3" x14ac:dyDescent="0.25">
      <c r="A208">
        <v>858</v>
      </c>
      <c r="B208" t="s">
        <v>5363</v>
      </c>
      <c r="C208" t="s">
        <v>5364</v>
      </c>
    </row>
    <row r="209" spans="1:3" x14ac:dyDescent="0.25">
      <c r="A209">
        <v>119</v>
      </c>
      <c r="B209" t="s">
        <v>5365</v>
      </c>
      <c r="C209" t="s">
        <v>5366</v>
      </c>
    </row>
    <row r="210" spans="1:3" x14ac:dyDescent="0.25">
      <c r="A210">
        <v>950</v>
      </c>
      <c r="B210" t="s">
        <v>5367</v>
      </c>
      <c r="C210" t="s">
        <v>5368</v>
      </c>
    </row>
    <row r="211" spans="1:3" x14ac:dyDescent="0.25">
      <c r="A211">
        <v>430</v>
      </c>
      <c r="B211" t="s">
        <v>5369</v>
      </c>
      <c r="C211" t="s">
        <v>5370</v>
      </c>
    </row>
    <row r="212" spans="1:3" x14ac:dyDescent="0.25">
      <c r="A212">
        <v>1296</v>
      </c>
      <c r="B212" t="s">
        <v>5371</v>
      </c>
      <c r="C212" t="s">
        <v>5372</v>
      </c>
    </row>
    <row r="213" spans="1:3" x14ac:dyDescent="0.25">
      <c r="A213">
        <v>18</v>
      </c>
      <c r="B213" t="s">
        <v>5373</v>
      </c>
      <c r="C213" t="s">
        <v>239</v>
      </c>
    </row>
    <row r="214" spans="1:3" x14ac:dyDescent="0.25">
      <c r="A214">
        <v>464</v>
      </c>
      <c r="B214" t="s">
        <v>5374</v>
      </c>
      <c r="C214" t="s">
        <v>5375</v>
      </c>
    </row>
    <row r="215" spans="1:3" x14ac:dyDescent="0.25">
      <c r="A215">
        <v>1400</v>
      </c>
      <c r="B215" t="s">
        <v>5376</v>
      </c>
      <c r="C215" t="s">
        <v>5377</v>
      </c>
    </row>
    <row r="216" spans="1:3" x14ac:dyDescent="0.25">
      <c r="A216">
        <v>112</v>
      </c>
      <c r="B216" t="s">
        <v>5378</v>
      </c>
      <c r="C216" t="s">
        <v>5379</v>
      </c>
    </row>
    <row r="217" spans="1:3" x14ac:dyDescent="0.25">
      <c r="A217">
        <v>778</v>
      </c>
      <c r="B217" t="s">
        <v>5380</v>
      </c>
      <c r="C217" t="s">
        <v>5381</v>
      </c>
    </row>
    <row r="218" spans="1:3" x14ac:dyDescent="0.25">
      <c r="A218">
        <v>220</v>
      </c>
      <c r="B218" t="s">
        <v>5382</v>
      </c>
      <c r="C218" t="s">
        <v>5383</v>
      </c>
    </row>
    <row r="219" spans="1:3" x14ac:dyDescent="0.25">
      <c r="A219">
        <v>1084</v>
      </c>
      <c r="B219" t="s">
        <v>5384</v>
      </c>
      <c r="C219" t="s">
        <v>5385</v>
      </c>
    </row>
    <row r="220" spans="1:3" x14ac:dyDescent="0.25">
      <c r="A220">
        <v>1712</v>
      </c>
      <c r="B220" t="s">
        <v>5386</v>
      </c>
      <c r="C220" t="s">
        <v>5387</v>
      </c>
    </row>
    <row r="221" spans="1:3" x14ac:dyDescent="0.25">
      <c r="A221">
        <v>433</v>
      </c>
      <c r="B221" t="s">
        <v>5388</v>
      </c>
      <c r="C221" t="s">
        <v>5389</v>
      </c>
    </row>
    <row r="222" spans="1:3" x14ac:dyDescent="0.25">
      <c r="A222">
        <v>1158</v>
      </c>
      <c r="B222" t="s">
        <v>5390</v>
      </c>
      <c r="C222" t="s">
        <v>526</v>
      </c>
    </row>
    <row r="223" spans="1:3" x14ac:dyDescent="0.25">
      <c r="A223">
        <v>805</v>
      </c>
      <c r="B223" t="s">
        <v>5391</v>
      </c>
      <c r="C223" t="s">
        <v>5392</v>
      </c>
    </row>
    <row r="224" spans="1:3" x14ac:dyDescent="0.25">
      <c r="A224">
        <v>1471</v>
      </c>
      <c r="B224" t="s">
        <v>5393</v>
      </c>
      <c r="C224" t="s">
        <v>5394</v>
      </c>
    </row>
    <row r="225" spans="1:3" x14ac:dyDescent="0.25">
      <c r="A225">
        <v>1011</v>
      </c>
      <c r="B225" t="s">
        <v>5395</v>
      </c>
      <c r="C225" t="s">
        <v>3088</v>
      </c>
    </row>
    <row r="226" spans="1:3" x14ac:dyDescent="0.25">
      <c r="A226">
        <v>572</v>
      </c>
      <c r="B226" t="s">
        <v>5396</v>
      </c>
      <c r="C226" t="s">
        <v>5397</v>
      </c>
    </row>
    <row r="227" spans="1:3" x14ac:dyDescent="0.25">
      <c r="A227">
        <v>1356</v>
      </c>
      <c r="B227" t="s">
        <v>5398</v>
      </c>
      <c r="C227" t="s">
        <v>5399</v>
      </c>
    </row>
    <row r="228" spans="1:3" x14ac:dyDescent="0.25">
      <c r="A228">
        <v>1385</v>
      </c>
      <c r="B228" t="s">
        <v>5400</v>
      </c>
      <c r="C228" t="s">
        <v>5401</v>
      </c>
    </row>
    <row r="229" spans="1:3" x14ac:dyDescent="0.25">
      <c r="A229">
        <v>518</v>
      </c>
      <c r="B229" t="s">
        <v>5402</v>
      </c>
      <c r="C229" t="s">
        <v>5403</v>
      </c>
    </row>
    <row r="230" spans="1:3" x14ac:dyDescent="0.25">
      <c r="A230">
        <v>62</v>
      </c>
      <c r="B230" t="s">
        <v>5404</v>
      </c>
      <c r="C230" t="s">
        <v>5405</v>
      </c>
    </row>
    <row r="231" spans="1:3" x14ac:dyDescent="0.25">
      <c r="A231">
        <v>1374</v>
      </c>
      <c r="B231" t="s">
        <v>5406</v>
      </c>
      <c r="C231" t="s">
        <v>5407</v>
      </c>
    </row>
    <row r="232" spans="1:3" x14ac:dyDescent="0.25">
      <c r="A232">
        <v>1050</v>
      </c>
      <c r="B232" t="s">
        <v>5408</v>
      </c>
      <c r="C232" t="s">
        <v>233</v>
      </c>
    </row>
    <row r="233" spans="1:3" x14ac:dyDescent="0.25">
      <c r="A233">
        <v>570</v>
      </c>
      <c r="B233" t="s">
        <v>5409</v>
      </c>
      <c r="C233" t="s">
        <v>5410</v>
      </c>
    </row>
    <row r="234" spans="1:3" x14ac:dyDescent="0.25">
      <c r="A234">
        <v>156</v>
      </c>
      <c r="B234" t="s">
        <v>5411</v>
      </c>
      <c r="C234" t="s">
        <v>225</v>
      </c>
    </row>
    <row r="235" spans="1:3" x14ac:dyDescent="0.25">
      <c r="A235">
        <v>1644</v>
      </c>
      <c r="B235" t="s">
        <v>5412</v>
      </c>
      <c r="C235" t="s">
        <v>5413</v>
      </c>
    </row>
    <row r="236" spans="1:3" x14ac:dyDescent="0.25">
      <c r="A236">
        <v>1498</v>
      </c>
      <c r="B236" t="s">
        <v>5414</v>
      </c>
      <c r="C236" t="s">
        <v>5415</v>
      </c>
    </row>
    <row r="237" spans="1:3" x14ac:dyDescent="0.25">
      <c r="A237">
        <v>398</v>
      </c>
      <c r="B237" t="s">
        <v>5416</v>
      </c>
      <c r="C237" t="s">
        <v>5417</v>
      </c>
    </row>
    <row r="238" spans="1:3" x14ac:dyDescent="0.25">
      <c r="A238">
        <v>1013</v>
      </c>
      <c r="B238" t="s">
        <v>5418</v>
      </c>
      <c r="C238" t="s">
        <v>2062</v>
      </c>
    </row>
    <row r="239" spans="1:3" x14ac:dyDescent="0.25">
      <c r="A239">
        <v>347</v>
      </c>
      <c r="B239" t="s">
        <v>5419</v>
      </c>
      <c r="C239" t="s">
        <v>5420</v>
      </c>
    </row>
    <row r="240" spans="1:3" x14ac:dyDescent="0.25">
      <c r="A240">
        <v>1584</v>
      </c>
      <c r="B240" t="s">
        <v>5421</v>
      </c>
      <c r="C240" t="s">
        <v>5422</v>
      </c>
    </row>
    <row r="241" spans="1:3" x14ac:dyDescent="0.25">
      <c r="A241">
        <v>540</v>
      </c>
      <c r="B241" t="s">
        <v>5423</v>
      </c>
      <c r="C241" t="s">
        <v>5424</v>
      </c>
    </row>
    <row r="242" spans="1:3" x14ac:dyDescent="0.25">
      <c r="A242">
        <v>954</v>
      </c>
      <c r="B242" t="s">
        <v>5425</v>
      </c>
      <c r="C242" t="s">
        <v>5426</v>
      </c>
    </row>
    <row r="243" spans="1:3" x14ac:dyDescent="0.25">
      <c r="A243">
        <v>215</v>
      </c>
      <c r="B243" t="s">
        <v>5427</v>
      </c>
      <c r="C243" t="s">
        <v>4123</v>
      </c>
    </row>
    <row r="244" spans="1:3" x14ac:dyDescent="0.25">
      <c r="A244">
        <v>1052</v>
      </c>
      <c r="B244" t="s">
        <v>5428</v>
      </c>
      <c r="C244" t="s">
        <v>92</v>
      </c>
    </row>
    <row r="245" spans="1:3" x14ac:dyDescent="0.25">
      <c r="A245">
        <v>1085</v>
      </c>
      <c r="B245" t="s">
        <v>5429</v>
      </c>
      <c r="C245" t="s">
        <v>5430</v>
      </c>
    </row>
    <row r="246" spans="1:3" x14ac:dyDescent="0.25">
      <c r="A246">
        <v>1408</v>
      </c>
      <c r="B246" t="s">
        <v>5431</v>
      </c>
      <c r="C246" t="s">
        <v>5432</v>
      </c>
    </row>
    <row r="247" spans="1:3" x14ac:dyDescent="0.25">
      <c r="A247">
        <v>1105</v>
      </c>
      <c r="B247" t="s">
        <v>5433</v>
      </c>
      <c r="C247" t="s">
        <v>5434</v>
      </c>
    </row>
    <row r="248" spans="1:3" x14ac:dyDescent="0.25">
      <c r="A248">
        <v>623</v>
      </c>
      <c r="B248" t="s">
        <v>5435</v>
      </c>
      <c r="C248" t="s">
        <v>5436</v>
      </c>
    </row>
    <row r="249" spans="1:3" x14ac:dyDescent="0.25">
      <c r="A249">
        <v>943</v>
      </c>
      <c r="B249" t="s">
        <v>5437</v>
      </c>
      <c r="C249" t="s">
        <v>5438</v>
      </c>
    </row>
    <row r="250" spans="1:3" x14ac:dyDescent="0.25">
      <c r="A250">
        <v>523</v>
      </c>
      <c r="B250" t="s">
        <v>5439</v>
      </c>
      <c r="C250" t="s">
        <v>5440</v>
      </c>
    </row>
    <row r="251" spans="1:3" x14ac:dyDescent="0.25">
      <c r="A251">
        <v>527</v>
      </c>
      <c r="B251" t="s">
        <v>5441</v>
      </c>
      <c r="C251" t="s">
        <v>5442</v>
      </c>
    </row>
    <row r="252" spans="1:3" x14ac:dyDescent="0.25">
      <c r="A252">
        <v>913</v>
      </c>
      <c r="B252" t="s">
        <v>5443</v>
      </c>
      <c r="C252" t="s">
        <v>5444</v>
      </c>
    </row>
    <row r="253" spans="1:3" x14ac:dyDescent="0.25">
      <c r="A253">
        <v>605</v>
      </c>
      <c r="B253" t="s">
        <v>5445</v>
      </c>
      <c r="C253" t="s">
        <v>5446</v>
      </c>
    </row>
    <row r="254" spans="1:3" x14ac:dyDescent="0.25">
      <c r="A254">
        <v>1215</v>
      </c>
      <c r="B254" t="s">
        <v>5447</v>
      </c>
      <c r="C254" t="s">
        <v>5448</v>
      </c>
    </row>
    <row r="255" spans="1:3" x14ac:dyDescent="0.25">
      <c r="A255">
        <v>1235</v>
      </c>
      <c r="B255" t="s">
        <v>5449</v>
      </c>
      <c r="C255" t="s">
        <v>5450</v>
      </c>
    </row>
    <row r="256" spans="1:3" x14ac:dyDescent="0.25">
      <c r="A256">
        <v>1256</v>
      </c>
      <c r="B256" t="s">
        <v>5451</v>
      </c>
      <c r="C256" t="s">
        <v>5452</v>
      </c>
    </row>
    <row r="257" spans="1:3" x14ac:dyDescent="0.25">
      <c r="A257">
        <v>321</v>
      </c>
      <c r="B257" t="s">
        <v>5453</v>
      </c>
      <c r="C257" t="s">
        <v>5454</v>
      </c>
    </row>
    <row r="258" spans="1:3" x14ac:dyDescent="0.25">
      <c r="A258">
        <v>903</v>
      </c>
      <c r="B258" t="s">
        <v>5455</v>
      </c>
      <c r="C258" t="s">
        <v>5456</v>
      </c>
    </row>
    <row r="259" spans="1:3" x14ac:dyDescent="0.25">
      <c r="A259">
        <v>1262</v>
      </c>
      <c r="B259" t="s">
        <v>5457</v>
      </c>
      <c r="C259" t="s">
        <v>5458</v>
      </c>
    </row>
    <row r="260" spans="1:3" x14ac:dyDescent="0.25">
      <c r="A260">
        <v>454</v>
      </c>
      <c r="B260" t="s">
        <v>5459</v>
      </c>
      <c r="C260" t="s">
        <v>5460</v>
      </c>
    </row>
    <row r="261" spans="1:3" x14ac:dyDescent="0.25">
      <c r="A261">
        <v>269</v>
      </c>
      <c r="B261" t="s">
        <v>5461</v>
      </c>
      <c r="C261" t="s">
        <v>264</v>
      </c>
    </row>
    <row r="262" spans="1:3" x14ac:dyDescent="0.25">
      <c r="A262">
        <v>958</v>
      </c>
      <c r="B262" t="s">
        <v>5462</v>
      </c>
      <c r="C262" t="s">
        <v>5463</v>
      </c>
    </row>
    <row r="263" spans="1:3" x14ac:dyDescent="0.25">
      <c r="A263">
        <v>754</v>
      </c>
      <c r="B263" t="s">
        <v>5464</v>
      </c>
      <c r="C263" t="s">
        <v>5465</v>
      </c>
    </row>
    <row r="264" spans="1:3" x14ac:dyDescent="0.25">
      <c r="A264">
        <v>141</v>
      </c>
      <c r="B264" t="s">
        <v>5466</v>
      </c>
      <c r="C264" t="s">
        <v>5467</v>
      </c>
    </row>
    <row r="265" spans="1:3" x14ac:dyDescent="0.25">
      <c r="A265">
        <v>15</v>
      </c>
      <c r="B265" t="s">
        <v>5468</v>
      </c>
      <c r="C265" t="s">
        <v>4041</v>
      </c>
    </row>
    <row r="266" spans="1:3" x14ac:dyDescent="0.25">
      <c r="A266">
        <v>29</v>
      </c>
      <c r="B266" t="s">
        <v>5469</v>
      </c>
      <c r="C266" t="s">
        <v>5470</v>
      </c>
    </row>
    <row r="267" spans="1:3" x14ac:dyDescent="0.25">
      <c r="A267">
        <v>154</v>
      </c>
      <c r="B267" t="s">
        <v>5471</v>
      </c>
      <c r="C267" t="s">
        <v>227</v>
      </c>
    </row>
    <row r="268" spans="1:3" x14ac:dyDescent="0.25">
      <c r="A268">
        <v>197</v>
      </c>
      <c r="B268" t="s">
        <v>5472</v>
      </c>
      <c r="C268" t="s">
        <v>5473</v>
      </c>
    </row>
    <row r="269" spans="1:3" x14ac:dyDescent="0.25">
      <c r="A269">
        <v>69</v>
      </c>
      <c r="B269" t="s">
        <v>5474</v>
      </c>
      <c r="C269" t="s">
        <v>5475</v>
      </c>
    </row>
    <row r="270" spans="1:3" x14ac:dyDescent="0.25">
      <c r="A270">
        <v>1682</v>
      </c>
      <c r="B270" t="s">
        <v>5476</v>
      </c>
      <c r="C270" t="s">
        <v>5477</v>
      </c>
    </row>
    <row r="271" spans="1:3" x14ac:dyDescent="0.25">
      <c r="A271">
        <v>1558</v>
      </c>
      <c r="B271" t="s">
        <v>5478</v>
      </c>
      <c r="C271" t="s">
        <v>5479</v>
      </c>
    </row>
    <row r="272" spans="1:3" x14ac:dyDescent="0.25">
      <c r="A272">
        <v>348</v>
      </c>
      <c r="B272" t="s">
        <v>5480</v>
      </c>
      <c r="C272" t="s">
        <v>5481</v>
      </c>
    </row>
    <row r="273" spans="1:3" x14ac:dyDescent="0.25">
      <c r="A273">
        <v>1726</v>
      </c>
      <c r="B273" t="s">
        <v>5482</v>
      </c>
      <c r="C273" t="s">
        <v>5483</v>
      </c>
    </row>
    <row r="274" spans="1:3" x14ac:dyDescent="0.25">
      <c r="A274">
        <v>1240</v>
      </c>
      <c r="B274" t="s">
        <v>5484</v>
      </c>
      <c r="C274" t="s">
        <v>2227</v>
      </c>
    </row>
    <row r="275" spans="1:3" x14ac:dyDescent="0.25">
      <c r="A275">
        <v>812</v>
      </c>
      <c r="B275" t="s">
        <v>5485</v>
      </c>
      <c r="C275" t="s">
        <v>5486</v>
      </c>
    </row>
    <row r="276" spans="1:3" x14ac:dyDescent="0.25">
      <c r="A276">
        <v>1268</v>
      </c>
      <c r="B276" t="s">
        <v>5487</v>
      </c>
      <c r="C276" t="s">
        <v>5488</v>
      </c>
    </row>
    <row r="277" spans="1:3" x14ac:dyDescent="0.25">
      <c r="A277">
        <v>1370</v>
      </c>
      <c r="B277" t="s">
        <v>5489</v>
      </c>
      <c r="C277" t="s">
        <v>5490</v>
      </c>
    </row>
    <row r="278" spans="1:3" x14ac:dyDescent="0.25">
      <c r="A278">
        <v>1442</v>
      </c>
      <c r="B278" t="s">
        <v>5491</v>
      </c>
      <c r="C278" t="s">
        <v>5492</v>
      </c>
    </row>
    <row r="279" spans="1:3" x14ac:dyDescent="0.25">
      <c r="A279">
        <v>758</v>
      </c>
      <c r="B279" t="s">
        <v>5493</v>
      </c>
      <c r="C279" t="s">
        <v>5494</v>
      </c>
    </row>
    <row r="280" spans="1:3" x14ac:dyDescent="0.25">
      <c r="A280">
        <v>183</v>
      </c>
      <c r="B280" t="s">
        <v>5495</v>
      </c>
      <c r="C280" t="s">
        <v>5496</v>
      </c>
    </row>
    <row r="281" spans="1:3" x14ac:dyDescent="0.25">
      <c r="A281">
        <v>93</v>
      </c>
      <c r="B281" t="s">
        <v>5497</v>
      </c>
      <c r="C281" t="s">
        <v>90</v>
      </c>
    </row>
    <row r="282" spans="1:3" x14ac:dyDescent="0.25">
      <c r="A282">
        <v>171</v>
      </c>
      <c r="B282" t="s">
        <v>5498</v>
      </c>
      <c r="C282" t="s">
        <v>5499</v>
      </c>
    </row>
    <row r="283" spans="1:3" x14ac:dyDescent="0.25">
      <c r="A283">
        <v>1635</v>
      </c>
      <c r="B283" t="s">
        <v>5500</v>
      </c>
      <c r="C283" t="s">
        <v>5501</v>
      </c>
    </row>
    <row r="284" spans="1:3" x14ac:dyDescent="0.25">
      <c r="A284">
        <v>1440</v>
      </c>
      <c r="B284" t="s">
        <v>5502</v>
      </c>
      <c r="C284" t="s">
        <v>5503</v>
      </c>
    </row>
    <row r="285" spans="1:3" x14ac:dyDescent="0.25">
      <c r="A285">
        <v>735</v>
      </c>
      <c r="B285" t="s">
        <v>5504</v>
      </c>
      <c r="C285" t="s">
        <v>5505</v>
      </c>
    </row>
    <row r="286" spans="1:3" x14ac:dyDescent="0.25">
      <c r="A286">
        <v>1271</v>
      </c>
      <c r="B286" t="s">
        <v>5506</v>
      </c>
      <c r="C286" t="s">
        <v>5507</v>
      </c>
    </row>
    <row r="287" spans="1:3" x14ac:dyDescent="0.25">
      <c r="A287">
        <v>1062</v>
      </c>
      <c r="B287" t="s">
        <v>5508</v>
      </c>
      <c r="C287" t="s">
        <v>828</v>
      </c>
    </row>
    <row r="288" spans="1:3" x14ac:dyDescent="0.25">
      <c r="A288">
        <v>37</v>
      </c>
      <c r="B288" t="s">
        <v>5509</v>
      </c>
      <c r="C288" t="s">
        <v>5510</v>
      </c>
    </row>
    <row r="289" spans="1:3" x14ac:dyDescent="0.25">
      <c r="A289">
        <v>730</v>
      </c>
      <c r="B289" t="s">
        <v>5511</v>
      </c>
      <c r="C289" t="s">
        <v>5512</v>
      </c>
    </row>
    <row r="290" spans="1:3" x14ac:dyDescent="0.25">
      <c r="A290">
        <v>152</v>
      </c>
      <c r="B290" t="s">
        <v>5513</v>
      </c>
      <c r="C290" t="s">
        <v>215</v>
      </c>
    </row>
    <row r="291" spans="1:3" x14ac:dyDescent="0.25">
      <c r="A291">
        <v>1488</v>
      </c>
      <c r="B291" t="s">
        <v>5514</v>
      </c>
      <c r="C291" t="s">
        <v>5515</v>
      </c>
    </row>
    <row r="292" spans="1:3" x14ac:dyDescent="0.25">
      <c r="A292">
        <v>593</v>
      </c>
      <c r="B292" t="s">
        <v>5516</v>
      </c>
      <c r="C292" t="s">
        <v>5517</v>
      </c>
    </row>
    <row r="293" spans="1:3" x14ac:dyDescent="0.25">
      <c r="A293">
        <v>755</v>
      </c>
      <c r="B293" t="s">
        <v>5518</v>
      </c>
      <c r="C293" t="s">
        <v>5519</v>
      </c>
    </row>
    <row r="294" spans="1:3" x14ac:dyDescent="0.25">
      <c r="A294">
        <v>695</v>
      </c>
      <c r="B294" t="s">
        <v>5520</v>
      </c>
      <c r="C294" t="s">
        <v>5521</v>
      </c>
    </row>
    <row r="295" spans="1:3" x14ac:dyDescent="0.25">
      <c r="A295">
        <v>1016</v>
      </c>
      <c r="B295" t="s">
        <v>5522</v>
      </c>
      <c r="C295" t="s">
        <v>5523</v>
      </c>
    </row>
    <row r="296" spans="1:3" x14ac:dyDescent="0.25">
      <c r="A296">
        <v>1226</v>
      </c>
      <c r="B296" t="s">
        <v>5524</v>
      </c>
      <c r="C296" t="s">
        <v>5525</v>
      </c>
    </row>
    <row r="297" spans="1:3" x14ac:dyDescent="0.25">
      <c r="A297">
        <v>51</v>
      </c>
      <c r="B297" t="s">
        <v>5526</v>
      </c>
      <c r="C297" t="s">
        <v>5527</v>
      </c>
    </row>
    <row r="298" spans="1:3" x14ac:dyDescent="0.25">
      <c r="A298">
        <v>68</v>
      </c>
      <c r="B298" t="s">
        <v>5528</v>
      </c>
      <c r="C298" t="s">
        <v>5529</v>
      </c>
    </row>
    <row r="299" spans="1:3" x14ac:dyDescent="0.25">
      <c r="A299">
        <v>1243</v>
      </c>
      <c r="B299" t="s">
        <v>5530</v>
      </c>
      <c r="C299" t="s">
        <v>5531</v>
      </c>
    </row>
    <row r="300" spans="1:3" x14ac:dyDescent="0.25">
      <c r="A300">
        <v>673</v>
      </c>
      <c r="B300" t="s">
        <v>5532</v>
      </c>
      <c r="C300" t="s">
        <v>5533</v>
      </c>
    </row>
    <row r="301" spans="1:3" x14ac:dyDescent="0.25">
      <c r="A301">
        <v>587</v>
      </c>
      <c r="B301" t="s">
        <v>5534</v>
      </c>
      <c r="C301" t="s">
        <v>5535</v>
      </c>
    </row>
    <row r="302" spans="1:3" x14ac:dyDescent="0.25">
      <c r="A302">
        <v>262</v>
      </c>
      <c r="B302" t="s">
        <v>5536</v>
      </c>
      <c r="C302" t="s">
        <v>5537</v>
      </c>
    </row>
    <row r="303" spans="1:3" x14ac:dyDescent="0.25">
      <c r="A303">
        <v>1351</v>
      </c>
      <c r="B303" t="s">
        <v>5538</v>
      </c>
      <c r="C303" t="s">
        <v>5539</v>
      </c>
    </row>
    <row r="304" spans="1:3" x14ac:dyDescent="0.25">
      <c r="A304">
        <v>1680</v>
      </c>
      <c r="B304" t="s">
        <v>5540</v>
      </c>
      <c r="C304" t="s">
        <v>5541</v>
      </c>
    </row>
    <row r="305" spans="1:3" x14ac:dyDescent="0.25">
      <c r="A305">
        <v>725</v>
      </c>
      <c r="B305" t="s">
        <v>5542</v>
      </c>
      <c r="C305" t="s">
        <v>5543</v>
      </c>
    </row>
    <row r="306" spans="1:3" x14ac:dyDescent="0.25">
      <c r="A306">
        <v>211</v>
      </c>
      <c r="B306" t="s">
        <v>5544</v>
      </c>
      <c r="C306" t="s">
        <v>5545</v>
      </c>
    </row>
    <row r="307" spans="1:3" x14ac:dyDescent="0.25">
      <c r="A307">
        <v>901</v>
      </c>
      <c r="B307" t="s">
        <v>5546</v>
      </c>
      <c r="C307" t="s">
        <v>5547</v>
      </c>
    </row>
    <row r="308" spans="1:3" x14ac:dyDescent="0.25">
      <c r="A308">
        <v>948</v>
      </c>
      <c r="B308" t="s">
        <v>5548</v>
      </c>
      <c r="C308" t="s">
        <v>5549</v>
      </c>
    </row>
    <row r="309" spans="1:3" x14ac:dyDescent="0.25">
      <c r="A309">
        <v>881</v>
      </c>
      <c r="B309" t="s">
        <v>5550</v>
      </c>
      <c r="C309" t="s">
        <v>5551</v>
      </c>
    </row>
    <row r="310" spans="1:3" x14ac:dyDescent="0.25">
      <c r="A310">
        <v>952</v>
      </c>
      <c r="B310" t="s">
        <v>5552</v>
      </c>
      <c r="C310" t="s">
        <v>5553</v>
      </c>
    </row>
    <row r="311" spans="1:3" x14ac:dyDescent="0.25">
      <c r="A311">
        <v>406</v>
      </c>
      <c r="B311" t="s">
        <v>5554</v>
      </c>
      <c r="C311" t="s">
        <v>5555</v>
      </c>
    </row>
    <row r="312" spans="1:3" x14ac:dyDescent="0.25">
      <c r="A312">
        <v>849</v>
      </c>
      <c r="B312" t="s">
        <v>5556</v>
      </c>
      <c r="C312" t="s">
        <v>5557</v>
      </c>
    </row>
    <row r="313" spans="1:3" x14ac:dyDescent="0.25">
      <c r="A313">
        <v>485</v>
      </c>
      <c r="B313" t="s">
        <v>5558</v>
      </c>
      <c r="C313" t="s">
        <v>5559</v>
      </c>
    </row>
    <row r="314" spans="1:3" x14ac:dyDescent="0.25">
      <c r="A314">
        <v>816</v>
      </c>
      <c r="B314" t="s">
        <v>5560</v>
      </c>
      <c r="C314" t="s">
        <v>5561</v>
      </c>
    </row>
    <row r="315" spans="1:3" x14ac:dyDescent="0.25">
      <c r="A315">
        <v>549</v>
      </c>
      <c r="B315" t="s">
        <v>5562</v>
      </c>
      <c r="C315" t="s">
        <v>5563</v>
      </c>
    </row>
    <row r="316" spans="1:3" x14ac:dyDescent="0.25">
      <c r="A316">
        <v>232</v>
      </c>
      <c r="B316" t="s">
        <v>5564</v>
      </c>
      <c r="C316" t="s">
        <v>5565</v>
      </c>
    </row>
    <row r="317" spans="1:3" x14ac:dyDescent="0.25">
      <c r="A317">
        <v>686</v>
      </c>
      <c r="B317" t="s">
        <v>5566</v>
      </c>
      <c r="C317" t="s">
        <v>5567</v>
      </c>
    </row>
    <row r="318" spans="1:3" x14ac:dyDescent="0.25">
      <c r="A318">
        <v>26</v>
      </c>
      <c r="B318" t="s">
        <v>5568</v>
      </c>
      <c r="C318" t="s">
        <v>100</v>
      </c>
    </row>
    <row r="319" spans="1:3" x14ac:dyDescent="0.25">
      <c r="A319">
        <v>250</v>
      </c>
      <c r="B319" t="s">
        <v>5569</v>
      </c>
      <c r="C319" t="s">
        <v>5570</v>
      </c>
    </row>
    <row r="320" spans="1:3" x14ac:dyDescent="0.25">
      <c r="A320">
        <v>303</v>
      </c>
      <c r="B320" t="s">
        <v>5571</v>
      </c>
      <c r="C320" t="s">
        <v>5572</v>
      </c>
    </row>
    <row r="321" spans="1:3" x14ac:dyDescent="0.25">
      <c r="A321">
        <v>963</v>
      </c>
      <c r="B321" t="s">
        <v>5573</v>
      </c>
      <c r="C321" t="s">
        <v>556</v>
      </c>
    </row>
    <row r="322" spans="1:3" x14ac:dyDescent="0.25">
      <c r="A322">
        <v>1699</v>
      </c>
      <c r="B322" t="s">
        <v>5574</v>
      </c>
      <c r="C322" t="s">
        <v>5575</v>
      </c>
    </row>
    <row r="323" spans="1:3" x14ac:dyDescent="0.25">
      <c r="A323">
        <v>1586</v>
      </c>
      <c r="B323" t="s">
        <v>5576</v>
      </c>
      <c r="C323" t="s">
        <v>5577</v>
      </c>
    </row>
    <row r="324" spans="1:3" x14ac:dyDescent="0.25">
      <c r="A324">
        <v>973</v>
      </c>
      <c r="B324" t="s">
        <v>5578</v>
      </c>
      <c r="C324" t="s">
        <v>5579</v>
      </c>
    </row>
    <row r="325" spans="1:3" x14ac:dyDescent="0.25">
      <c r="A325">
        <v>1355</v>
      </c>
      <c r="B325" t="s">
        <v>5580</v>
      </c>
      <c r="C325" t="s">
        <v>5581</v>
      </c>
    </row>
    <row r="326" spans="1:3" x14ac:dyDescent="0.25">
      <c r="A326">
        <v>1305</v>
      </c>
      <c r="B326" t="s">
        <v>5582</v>
      </c>
      <c r="C326" t="s">
        <v>5583</v>
      </c>
    </row>
    <row r="327" spans="1:3" x14ac:dyDescent="0.25">
      <c r="A327">
        <v>1185</v>
      </c>
      <c r="B327" t="s">
        <v>5584</v>
      </c>
      <c r="C327" t="s">
        <v>2386</v>
      </c>
    </row>
    <row r="328" spans="1:3" x14ac:dyDescent="0.25">
      <c r="A328">
        <v>871</v>
      </c>
      <c r="B328" t="s">
        <v>5585</v>
      </c>
      <c r="C328" t="s">
        <v>5586</v>
      </c>
    </row>
    <row r="329" spans="1:3" x14ac:dyDescent="0.25">
      <c r="A329">
        <v>1075</v>
      </c>
      <c r="B329" t="s">
        <v>5587</v>
      </c>
      <c r="C329" t="s">
        <v>483</v>
      </c>
    </row>
    <row r="330" spans="1:3" x14ac:dyDescent="0.25">
      <c r="A330">
        <v>927</v>
      </c>
      <c r="B330" t="s">
        <v>5588</v>
      </c>
      <c r="C330" t="s">
        <v>5589</v>
      </c>
    </row>
    <row r="331" spans="1:3" x14ac:dyDescent="0.25">
      <c r="A331">
        <v>480</v>
      </c>
      <c r="B331" t="s">
        <v>5590</v>
      </c>
      <c r="C331" t="s">
        <v>5591</v>
      </c>
    </row>
    <row r="332" spans="1:3" x14ac:dyDescent="0.25">
      <c r="A332">
        <v>632</v>
      </c>
      <c r="B332" t="s">
        <v>5592</v>
      </c>
      <c r="C332" t="s">
        <v>5593</v>
      </c>
    </row>
    <row r="333" spans="1:3" x14ac:dyDescent="0.25">
      <c r="A333">
        <v>245</v>
      </c>
      <c r="B333" t="s">
        <v>5594</v>
      </c>
      <c r="C333" t="s">
        <v>5595</v>
      </c>
    </row>
    <row r="334" spans="1:3" x14ac:dyDescent="0.25">
      <c r="A334">
        <v>229</v>
      </c>
      <c r="B334" t="s">
        <v>5596</v>
      </c>
      <c r="C334" t="s">
        <v>5597</v>
      </c>
    </row>
    <row r="335" spans="1:3" x14ac:dyDescent="0.25">
      <c r="A335">
        <v>1452</v>
      </c>
      <c r="B335" t="s">
        <v>5598</v>
      </c>
      <c r="C335" t="s">
        <v>5599</v>
      </c>
    </row>
    <row r="336" spans="1:3" x14ac:dyDescent="0.25">
      <c r="A336">
        <v>213</v>
      </c>
      <c r="B336" t="s">
        <v>5600</v>
      </c>
      <c r="C336" t="s">
        <v>327</v>
      </c>
    </row>
    <row r="337" spans="1:3" x14ac:dyDescent="0.25">
      <c r="A337">
        <v>771</v>
      </c>
      <c r="B337" t="s">
        <v>5601</v>
      </c>
      <c r="C337" t="s">
        <v>5602</v>
      </c>
    </row>
    <row r="338" spans="1:3" x14ac:dyDescent="0.25">
      <c r="A338">
        <v>1139</v>
      </c>
      <c r="B338" t="s">
        <v>5603</v>
      </c>
      <c r="C338" t="s">
        <v>5604</v>
      </c>
    </row>
    <row r="339" spans="1:3" x14ac:dyDescent="0.25">
      <c r="A339">
        <v>1717</v>
      </c>
      <c r="B339" t="s">
        <v>5605</v>
      </c>
      <c r="C339" t="s">
        <v>5606</v>
      </c>
    </row>
    <row r="340" spans="1:3" x14ac:dyDescent="0.25">
      <c r="A340">
        <v>1116</v>
      </c>
      <c r="B340" t="s">
        <v>5607</v>
      </c>
      <c r="C340" t="s">
        <v>1219</v>
      </c>
    </row>
    <row r="341" spans="1:3" x14ac:dyDescent="0.25">
      <c r="A341">
        <v>1336</v>
      </c>
      <c r="B341" t="s">
        <v>5608</v>
      </c>
      <c r="C341" t="s">
        <v>5609</v>
      </c>
    </row>
    <row r="342" spans="1:3" x14ac:dyDescent="0.25">
      <c r="A342">
        <v>86</v>
      </c>
      <c r="B342" t="s">
        <v>5610</v>
      </c>
      <c r="C342" t="s">
        <v>5611</v>
      </c>
    </row>
    <row r="343" spans="1:3" x14ac:dyDescent="0.25">
      <c r="A343">
        <v>1170</v>
      </c>
      <c r="B343" t="s">
        <v>5612</v>
      </c>
      <c r="C343" t="s">
        <v>69</v>
      </c>
    </row>
    <row r="344" spans="1:3" x14ac:dyDescent="0.25">
      <c r="A344">
        <v>1299</v>
      </c>
      <c r="B344" t="s">
        <v>5613</v>
      </c>
      <c r="C344" t="s">
        <v>5614</v>
      </c>
    </row>
    <row r="345" spans="1:3" x14ac:dyDescent="0.25">
      <c r="A345">
        <v>819</v>
      </c>
      <c r="B345" t="s">
        <v>5615</v>
      </c>
      <c r="C345" t="s">
        <v>5616</v>
      </c>
    </row>
    <row r="346" spans="1:3" x14ac:dyDescent="0.25">
      <c r="A346">
        <v>1646</v>
      </c>
      <c r="B346" t="s">
        <v>5617</v>
      </c>
      <c r="C346" t="s">
        <v>5618</v>
      </c>
    </row>
    <row r="347" spans="1:3" x14ac:dyDescent="0.25">
      <c r="A347">
        <v>753</v>
      </c>
      <c r="B347" t="s">
        <v>5619</v>
      </c>
      <c r="C347" t="s">
        <v>5620</v>
      </c>
    </row>
    <row r="348" spans="1:3" x14ac:dyDescent="0.25">
      <c r="A348">
        <v>334</v>
      </c>
      <c r="B348" t="s">
        <v>5621</v>
      </c>
      <c r="C348" t="s">
        <v>5622</v>
      </c>
    </row>
    <row r="349" spans="1:3" x14ac:dyDescent="0.25">
      <c r="A349">
        <v>1280</v>
      </c>
      <c r="B349" t="s">
        <v>5623</v>
      </c>
      <c r="C349" t="s">
        <v>5624</v>
      </c>
    </row>
    <row r="350" spans="1:3" x14ac:dyDescent="0.25">
      <c r="A350">
        <v>595</v>
      </c>
      <c r="B350" t="s">
        <v>5625</v>
      </c>
      <c r="C350" t="s">
        <v>5626</v>
      </c>
    </row>
    <row r="351" spans="1:3" x14ac:dyDescent="0.25">
      <c r="A351">
        <v>1632</v>
      </c>
      <c r="B351" t="s">
        <v>5627</v>
      </c>
      <c r="C351" t="s">
        <v>5628</v>
      </c>
    </row>
    <row r="352" spans="1:3" x14ac:dyDescent="0.25">
      <c r="A352">
        <v>914</v>
      </c>
      <c r="B352" t="s">
        <v>5629</v>
      </c>
      <c r="C352" t="s">
        <v>5630</v>
      </c>
    </row>
    <row r="353" spans="1:3" x14ac:dyDescent="0.25">
      <c r="A353">
        <v>287</v>
      </c>
      <c r="B353" t="s">
        <v>5631</v>
      </c>
      <c r="C353" t="s">
        <v>5632</v>
      </c>
    </row>
    <row r="354" spans="1:3" x14ac:dyDescent="0.25">
      <c r="A354">
        <v>1143</v>
      </c>
      <c r="B354" t="s">
        <v>5633</v>
      </c>
      <c r="C354" t="s">
        <v>471</v>
      </c>
    </row>
    <row r="355" spans="1:3" x14ac:dyDescent="0.25">
      <c r="A355">
        <v>84</v>
      </c>
      <c r="B355" t="s">
        <v>5634</v>
      </c>
      <c r="C355" t="s">
        <v>5635</v>
      </c>
    </row>
    <row r="356" spans="1:3" x14ac:dyDescent="0.25">
      <c r="A356">
        <v>905</v>
      </c>
      <c r="B356" t="s">
        <v>5636</v>
      </c>
      <c r="C356" t="s">
        <v>5637</v>
      </c>
    </row>
    <row r="357" spans="1:3" x14ac:dyDescent="0.25">
      <c r="A357">
        <v>683</v>
      </c>
      <c r="B357" t="s">
        <v>5638</v>
      </c>
      <c r="C357" t="s">
        <v>5639</v>
      </c>
    </row>
    <row r="358" spans="1:3" x14ac:dyDescent="0.25">
      <c r="A358">
        <v>10</v>
      </c>
      <c r="B358" t="s">
        <v>5640</v>
      </c>
      <c r="C358" t="s">
        <v>5641</v>
      </c>
    </row>
    <row r="359" spans="1:3" x14ac:dyDescent="0.25">
      <c r="A359">
        <v>444</v>
      </c>
      <c r="B359" t="s">
        <v>5642</v>
      </c>
      <c r="C359" t="s">
        <v>5643</v>
      </c>
    </row>
    <row r="360" spans="1:3" x14ac:dyDescent="0.25">
      <c r="A360">
        <v>1191</v>
      </c>
      <c r="B360" t="s">
        <v>5644</v>
      </c>
      <c r="C360" t="s">
        <v>2610</v>
      </c>
    </row>
    <row r="361" spans="1:3" x14ac:dyDescent="0.25">
      <c r="A361">
        <v>1445</v>
      </c>
      <c r="B361" t="s">
        <v>5645</v>
      </c>
      <c r="C361" t="s">
        <v>5646</v>
      </c>
    </row>
    <row r="362" spans="1:3" x14ac:dyDescent="0.25">
      <c r="A362">
        <v>629</v>
      </c>
      <c r="B362" t="s">
        <v>5647</v>
      </c>
      <c r="C362" t="s">
        <v>5648</v>
      </c>
    </row>
    <row r="363" spans="1:3" x14ac:dyDescent="0.25">
      <c r="A363">
        <v>610</v>
      </c>
      <c r="B363" t="s">
        <v>5649</v>
      </c>
      <c r="C363" t="s">
        <v>5650</v>
      </c>
    </row>
    <row r="364" spans="1:3" x14ac:dyDescent="0.25">
      <c r="A364">
        <v>763</v>
      </c>
      <c r="B364" t="s">
        <v>5651</v>
      </c>
      <c r="C364" t="s">
        <v>5652</v>
      </c>
    </row>
    <row r="365" spans="1:3" x14ac:dyDescent="0.25">
      <c r="A365">
        <v>382</v>
      </c>
      <c r="B365" t="s">
        <v>5653</v>
      </c>
      <c r="C365" t="s">
        <v>5654</v>
      </c>
    </row>
    <row r="366" spans="1:3" x14ac:dyDescent="0.25">
      <c r="A366">
        <v>554</v>
      </c>
      <c r="B366" t="s">
        <v>5655</v>
      </c>
      <c r="C366" t="s">
        <v>5656</v>
      </c>
    </row>
    <row r="367" spans="1:3" x14ac:dyDescent="0.25">
      <c r="A367">
        <v>1047</v>
      </c>
      <c r="B367" t="s">
        <v>5657</v>
      </c>
      <c r="C367" t="s">
        <v>109</v>
      </c>
    </row>
    <row r="368" spans="1:3" x14ac:dyDescent="0.25">
      <c r="A368">
        <v>1192</v>
      </c>
      <c r="B368" t="s">
        <v>5658</v>
      </c>
      <c r="C368" t="s">
        <v>853</v>
      </c>
    </row>
    <row r="369" spans="1:3" x14ac:dyDescent="0.25">
      <c r="A369">
        <v>1269</v>
      </c>
      <c r="B369" t="s">
        <v>5659</v>
      </c>
      <c r="C369" t="s">
        <v>5660</v>
      </c>
    </row>
    <row r="370" spans="1:3" x14ac:dyDescent="0.25">
      <c r="A370">
        <v>680</v>
      </c>
      <c r="B370" t="s">
        <v>5661</v>
      </c>
      <c r="C370" t="s">
        <v>5662</v>
      </c>
    </row>
    <row r="371" spans="1:3" x14ac:dyDescent="0.25">
      <c r="A371">
        <v>477</v>
      </c>
      <c r="B371" t="s">
        <v>5663</v>
      </c>
      <c r="C371" t="s">
        <v>5664</v>
      </c>
    </row>
    <row r="372" spans="1:3" x14ac:dyDescent="0.25">
      <c r="A372">
        <v>216</v>
      </c>
      <c r="B372" t="s">
        <v>5665</v>
      </c>
      <c r="C372" t="s">
        <v>5666</v>
      </c>
    </row>
    <row r="373" spans="1:3" x14ac:dyDescent="0.25">
      <c r="A373">
        <v>325</v>
      </c>
      <c r="B373" t="s">
        <v>5667</v>
      </c>
      <c r="C373" t="s">
        <v>5668</v>
      </c>
    </row>
    <row r="374" spans="1:3" x14ac:dyDescent="0.25">
      <c r="A374">
        <v>394</v>
      </c>
      <c r="B374" t="s">
        <v>5669</v>
      </c>
      <c r="C374" t="s">
        <v>5670</v>
      </c>
    </row>
    <row r="375" spans="1:3" x14ac:dyDescent="0.25">
      <c r="A375">
        <v>469</v>
      </c>
      <c r="B375" t="s">
        <v>5671</v>
      </c>
      <c r="C375" t="s">
        <v>5672</v>
      </c>
    </row>
    <row r="376" spans="1:3" x14ac:dyDescent="0.25">
      <c r="A376">
        <v>1323</v>
      </c>
      <c r="B376" t="s">
        <v>5673</v>
      </c>
      <c r="C376" t="s">
        <v>5674</v>
      </c>
    </row>
    <row r="377" spans="1:3" x14ac:dyDescent="0.25">
      <c r="A377">
        <v>608</v>
      </c>
      <c r="B377" t="s">
        <v>5675</v>
      </c>
      <c r="C377" t="s">
        <v>573</v>
      </c>
    </row>
    <row r="378" spans="1:3" x14ac:dyDescent="0.25">
      <c r="A378">
        <v>575</v>
      </c>
      <c r="B378" t="s">
        <v>5676</v>
      </c>
      <c r="C378" t="s">
        <v>5677</v>
      </c>
    </row>
    <row r="379" spans="1:3" x14ac:dyDescent="0.25">
      <c r="A379">
        <v>584</v>
      </c>
      <c r="B379" t="s">
        <v>5678</v>
      </c>
      <c r="C379" t="s">
        <v>5679</v>
      </c>
    </row>
    <row r="380" spans="1:3" x14ac:dyDescent="0.25">
      <c r="A380">
        <v>378</v>
      </c>
      <c r="B380" t="s">
        <v>5680</v>
      </c>
      <c r="C380" t="s">
        <v>5681</v>
      </c>
    </row>
    <row r="381" spans="1:3" x14ac:dyDescent="0.25">
      <c r="A381">
        <v>111</v>
      </c>
      <c r="B381" t="s">
        <v>5682</v>
      </c>
      <c r="C381" t="s">
        <v>5683</v>
      </c>
    </row>
    <row r="382" spans="1:3" x14ac:dyDescent="0.25">
      <c r="A382">
        <v>481</v>
      </c>
      <c r="B382" t="s">
        <v>5684</v>
      </c>
      <c r="C382" t="s">
        <v>5685</v>
      </c>
    </row>
    <row r="383" spans="1:3" x14ac:dyDescent="0.25">
      <c r="A383">
        <v>1386</v>
      </c>
      <c r="B383" t="s">
        <v>5686</v>
      </c>
      <c r="C383" t="s">
        <v>5687</v>
      </c>
    </row>
    <row r="384" spans="1:3" x14ac:dyDescent="0.25">
      <c r="A384">
        <v>222</v>
      </c>
      <c r="B384" t="s">
        <v>5688</v>
      </c>
      <c r="C384" t="s">
        <v>5689</v>
      </c>
    </row>
    <row r="385" spans="1:3" x14ac:dyDescent="0.25">
      <c r="A385">
        <v>221</v>
      </c>
      <c r="B385" t="s">
        <v>5690</v>
      </c>
      <c r="C385" t="s">
        <v>5691</v>
      </c>
    </row>
    <row r="386" spans="1:3" x14ac:dyDescent="0.25">
      <c r="A386">
        <v>1691</v>
      </c>
      <c r="B386" t="s">
        <v>5692</v>
      </c>
      <c r="C386" t="s">
        <v>5693</v>
      </c>
    </row>
    <row r="387" spans="1:3" x14ac:dyDescent="0.25">
      <c r="A387">
        <v>1397</v>
      </c>
      <c r="B387" t="s">
        <v>5694</v>
      </c>
      <c r="C387" t="s">
        <v>5695</v>
      </c>
    </row>
    <row r="388" spans="1:3" x14ac:dyDescent="0.25">
      <c r="A388">
        <v>1341</v>
      </c>
      <c r="B388" t="s">
        <v>5696</v>
      </c>
      <c r="C388" t="s">
        <v>5697</v>
      </c>
    </row>
    <row r="389" spans="1:3" x14ac:dyDescent="0.25">
      <c r="A389">
        <v>1581</v>
      </c>
      <c r="B389" t="s">
        <v>5698</v>
      </c>
      <c r="C389" t="s">
        <v>5699</v>
      </c>
    </row>
    <row r="390" spans="1:3" x14ac:dyDescent="0.25">
      <c r="A390">
        <v>1273</v>
      </c>
      <c r="B390" t="s">
        <v>5700</v>
      </c>
      <c r="C390" t="s">
        <v>2414</v>
      </c>
    </row>
    <row r="391" spans="1:3" x14ac:dyDescent="0.25">
      <c r="A391">
        <v>106</v>
      </c>
      <c r="B391" t="s">
        <v>5701</v>
      </c>
      <c r="C391" t="s">
        <v>5702</v>
      </c>
    </row>
    <row r="392" spans="1:3" x14ac:dyDescent="0.25">
      <c r="A392">
        <v>802</v>
      </c>
      <c r="B392" t="s">
        <v>5703</v>
      </c>
      <c r="C392" t="s">
        <v>5704</v>
      </c>
    </row>
    <row r="393" spans="1:3" x14ac:dyDescent="0.25">
      <c r="A393">
        <v>705</v>
      </c>
      <c r="B393" t="s">
        <v>5705</v>
      </c>
      <c r="C393" t="s">
        <v>5706</v>
      </c>
    </row>
    <row r="394" spans="1:3" x14ac:dyDescent="0.25">
      <c r="A394">
        <v>887</v>
      </c>
      <c r="B394" t="s">
        <v>5707</v>
      </c>
      <c r="C394" t="s">
        <v>5708</v>
      </c>
    </row>
    <row r="395" spans="1:3" x14ac:dyDescent="0.25">
      <c r="A395">
        <v>1069</v>
      </c>
      <c r="B395" t="s">
        <v>5709</v>
      </c>
      <c r="C395" t="s">
        <v>5710</v>
      </c>
    </row>
    <row r="396" spans="1:3" x14ac:dyDescent="0.25">
      <c r="A396">
        <v>1634</v>
      </c>
      <c r="B396" t="s">
        <v>5711</v>
      </c>
      <c r="C396" t="s">
        <v>4188</v>
      </c>
    </row>
    <row r="397" spans="1:3" x14ac:dyDescent="0.25">
      <c r="A397">
        <v>1161</v>
      </c>
      <c r="B397" t="s">
        <v>5712</v>
      </c>
      <c r="C397" t="s">
        <v>63</v>
      </c>
    </row>
    <row r="398" spans="1:3" x14ac:dyDescent="0.25">
      <c r="A398">
        <v>178</v>
      </c>
      <c r="B398" t="s">
        <v>5713</v>
      </c>
      <c r="C398" t="s">
        <v>5714</v>
      </c>
    </row>
    <row r="399" spans="1:3" x14ac:dyDescent="0.25">
      <c r="A399">
        <v>560</v>
      </c>
      <c r="B399" t="s">
        <v>5715</v>
      </c>
      <c r="C399" t="s">
        <v>5716</v>
      </c>
    </row>
    <row r="400" spans="1:3" x14ac:dyDescent="0.25">
      <c r="A400">
        <v>646</v>
      </c>
      <c r="B400" t="s">
        <v>5717</v>
      </c>
      <c r="C400" t="s">
        <v>5718</v>
      </c>
    </row>
    <row r="401" spans="1:3" x14ac:dyDescent="0.25">
      <c r="A401">
        <v>810</v>
      </c>
      <c r="B401" t="s">
        <v>5719</v>
      </c>
      <c r="C401" t="s">
        <v>5720</v>
      </c>
    </row>
    <row r="402" spans="1:3" x14ac:dyDescent="0.25">
      <c r="A402">
        <v>159</v>
      </c>
      <c r="B402" t="s">
        <v>5721</v>
      </c>
      <c r="C402" t="s">
        <v>464</v>
      </c>
    </row>
    <row r="403" spans="1:3" x14ac:dyDescent="0.25">
      <c r="A403">
        <v>701</v>
      </c>
      <c r="B403" t="s">
        <v>5722</v>
      </c>
      <c r="C403" t="s">
        <v>5723</v>
      </c>
    </row>
    <row r="404" spans="1:3" x14ac:dyDescent="0.25">
      <c r="A404">
        <v>379</v>
      </c>
      <c r="B404" t="s">
        <v>5724</v>
      </c>
      <c r="C404" t="s">
        <v>5725</v>
      </c>
    </row>
    <row r="405" spans="1:3" x14ac:dyDescent="0.25">
      <c r="A405">
        <v>1180</v>
      </c>
      <c r="B405" t="s">
        <v>5726</v>
      </c>
      <c r="C405" t="s">
        <v>4195</v>
      </c>
    </row>
    <row r="406" spans="1:3" x14ac:dyDescent="0.25">
      <c r="A406">
        <v>1088</v>
      </c>
      <c r="B406" t="s">
        <v>5727</v>
      </c>
      <c r="C406" t="s">
        <v>5728</v>
      </c>
    </row>
    <row r="407" spans="1:3" x14ac:dyDescent="0.25">
      <c r="A407">
        <v>219</v>
      </c>
      <c r="B407" t="s">
        <v>5729</v>
      </c>
      <c r="C407" t="s">
        <v>5730</v>
      </c>
    </row>
    <row r="408" spans="1:3" x14ac:dyDescent="0.25">
      <c r="A408">
        <v>1553</v>
      </c>
      <c r="B408" t="s">
        <v>5731</v>
      </c>
      <c r="C408" t="s">
        <v>5732</v>
      </c>
    </row>
    <row r="409" spans="1:3" x14ac:dyDescent="0.25">
      <c r="A409">
        <v>392</v>
      </c>
      <c r="B409" t="s">
        <v>5733</v>
      </c>
      <c r="C409" t="s">
        <v>5734</v>
      </c>
    </row>
    <row r="410" spans="1:3" x14ac:dyDescent="0.25">
      <c r="A410">
        <v>94</v>
      </c>
      <c r="B410" t="s">
        <v>5735</v>
      </c>
      <c r="C410" t="s">
        <v>5736</v>
      </c>
    </row>
    <row r="411" spans="1:3" x14ac:dyDescent="0.25">
      <c r="A411">
        <v>1018</v>
      </c>
      <c r="B411" t="s">
        <v>5737</v>
      </c>
      <c r="C411" t="s">
        <v>5738</v>
      </c>
    </row>
    <row r="412" spans="1:3" x14ac:dyDescent="0.25">
      <c r="A412">
        <v>32</v>
      </c>
      <c r="B412" t="s">
        <v>5739</v>
      </c>
      <c r="C412" t="s">
        <v>5740</v>
      </c>
    </row>
    <row r="413" spans="1:3" x14ac:dyDescent="0.25">
      <c r="A413">
        <v>1080</v>
      </c>
      <c r="B413" t="s">
        <v>5741</v>
      </c>
      <c r="C413" t="s">
        <v>2592</v>
      </c>
    </row>
    <row r="414" spans="1:3" x14ac:dyDescent="0.25">
      <c r="A414">
        <v>513</v>
      </c>
      <c r="B414" t="s">
        <v>5742</v>
      </c>
      <c r="C414" t="s">
        <v>5743</v>
      </c>
    </row>
    <row r="415" spans="1:3" x14ac:dyDescent="0.25">
      <c r="A415">
        <v>1277</v>
      </c>
      <c r="B415" t="s">
        <v>5744</v>
      </c>
      <c r="C415" t="s">
        <v>5745</v>
      </c>
    </row>
    <row r="416" spans="1:3" x14ac:dyDescent="0.25">
      <c r="A416">
        <v>390</v>
      </c>
      <c r="B416" t="s">
        <v>5746</v>
      </c>
      <c r="C416" t="s">
        <v>5747</v>
      </c>
    </row>
    <row r="417" spans="1:3" x14ac:dyDescent="0.25">
      <c r="A417">
        <v>863</v>
      </c>
      <c r="B417" t="s">
        <v>5748</v>
      </c>
      <c r="C417" t="s">
        <v>5749</v>
      </c>
    </row>
    <row r="418" spans="1:3" x14ac:dyDescent="0.25">
      <c r="A418">
        <v>1246</v>
      </c>
      <c r="B418" t="s">
        <v>5750</v>
      </c>
      <c r="C418" t="s">
        <v>5751</v>
      </c>
    </row>
    <row r="419" spans="1:3" x14ac:dyDescent="0.25">
      <c r="A419">
        <v>320</v>
      </c>
      <c r="B419" t="s">
        <v>5752</v>
      </c>
      <c r="C419" t="s">
        <v>5753</v>
      </c>
    </row>
    <row r="420" spans="1:3" x14ac:dyDescent="0.25">
      <c r="A420">
        <v>316</v>
      </c>
      <c r="B420" t="s">
        <v>5754</v>
      </c>
      <c r="C420" t="s">
        <v>5755</v>
      </c>
    </row>
    <row r="421" spans="1:3" x14ac:dyDescent="0.25">
      <c r="A421">
        <v>1685</v>
      </c>
      <c r="B421" t="s">
        <v>5756</v>
      </c>
      <c r="C421" t="s">
        <v>5757</v>
      </c>
    </row>
    <row r="422" spans="1:3" x14ac:dyDescent="0.25">
      <c r="A422">
        <v>799</v>
      </c>
      <c r="B422" t="s">
        <v>5758</v>
      </c>
      <c r="C422" t="s">
        <v>5759</v>
      </c>
    </row>
    <row r="423" spans="1:3" x14ac:dyDescent="0.25">
      <c r="A423">
        <v>902</v>
      </c>
      <c r="B423" t="s">
        <v>5760</v>
      </c>
      <c r="C423" t="s">
        <v>5761</v>
      </c>
    </row>
    <row r="424" spans="1:3" x14ac:dyDescent="0.25">
      <c r="A424">
        <v>890</v>
      </c>
      <c r="B424" t="s">
        <v>5762</v>
      </c>
      <c r="C424" t="s">
        <v>5763</v>
      </c>
    </row>
    <row r="425" spans="1:3" x14ac:dyDescent="0.25">
      <c r="A425">
        <v>717</v>
      </c>
      <c r="B425" t="s">
        <v>5764</v>
      </c>
      <c r="C425" t="s">
        <v>5765</v>
      </c>
    </row>
    <row r="426" spans="1:3" x14ac:dyDescent="0.25">
      <c r="A426">
        <v>959</v>
      </c>
      <c r="B426" t="s">
        <v>5766</v>
      </c>
      <c r="C426" t="s">
        <v>5767</v>
      </c>
    </row>
    <row r="427" spans="1:3" x14ac:dyDescent="0.25">
      <c r="A427">
        <v>637</v>
      </c>
      <c r="B427" t="s">
        <v>5768</v>
      </c>
      <c r="C427" t="s">
        <v>5769</v>
      </c>
    </row>
    <row r="428" spans="1:3" x14ac:dyDescent="0.25">
      <c r="A428">
        <v>776</v>
      </c>
      <c r="B428" t="s">
        <v>5770</v>
      </c>
      <c r="C428" t="s">
        <v>5771</v>
      </c>
    </row>
    <row r="429" spans="1:3" x14ac:dyDescent="0.25">
      <c r="A429">
        <v>182</v>
      </c>
      <c r="B429" t="s">
        <v>5772</v>
      </c>
      <c r="C429" t="s">
        <v>5773</v>
      </c>
    </row>
    <row r="430" spans="1:3" x14ac:dyDescent="0.25">
      <c r="A430">
        <v>1048</v>
      </c>
      <c r="B430" t="s">
        <v>5774</v>
      </c>
      <c r="C430" t="s">
        <v>697</v>
      </c>
    </row>
    <row r="431" spans="1:3" x14ac:dyDescent="0.25">
      <c r="A431">
        <v>1576</v>
      </c>
      <c r="B431" t="s">
        <v>5775</v>
      </c>
      <c r="C431" t="s">
        <v>5776</v>
      </c>
    </row>
    <row r="432" spans="1:3" x14ac:dyDescent="0.25">
      <c r="A432">
        <v>397</v>
      </c>
      <c r="B432" t="s">
        <v>5777</v>
      </c>
      <c r="C432" t="s">
        <v>5778</v>
      </c>
    </row>
    <row r="433" spans="1:3" x14ac:dyDescent="0.25">
      <c r="A433">
        <v>932</v>
      </c>
      <c r="B433" t="s">
        <v>5779</v>
      </c>
      <c r="C433" t="s">
        <v>5780</v>
      </c>
    </row>
    <row r="434" spans="1:3" x14ac:dyDescent="0.25">
      <c r="A434">
        <v>670</v>
      </c>
      <c r="B434" t="s">
        <v>5781</v>
      </c>
      <c r="C434" t="s">
        <v>5782</v>
      </c>
    </row>
    <row r="435" spans="1:3" x14ac:dyDescent="0.25">
      <c r="A435">
        <v>187</v>
      </c>
      <c r="B435" t="s">
        <v>5783</v>
      </c>
      <c r="C435" t="s">
        <v>2375</v>
      </c>
    </row>
    <row r="436" spans="1:3" x14ac:dyDescent="0.25">
      <c r="A436">
        <v>874</v>
      </c>
      <c r="B436" t="s">
        <v>5784</v>
      </c>
      <c r="C436" t="s">
        <v>5785</v>
      </c>
    </row>
    <row r="437" spans="1:3" x14ac:dyDescent="0.25">
      <c r="A437">
        <v>124</v>
      </c>
      <c r="B437" t="s">
        <v>5786</v>
      </c>
      <c r="C437" t="s">
        <v>5787</v>
      </c>
    </row>
    <row r="438" spans="1:3" x14ac:dyDescent="0.25">
      <c r="A438">
        <v>611</v>
      </c>
      <c r="B438" t="s">
        <v>5788</v>
      </c>
      <c r="C438" t="s">
        <v>5789</v>
      </c>
    </row>
    <row r="439" spans="1:3" x14ac:dyDescent="0.25">
      <c r="A439">
        <v>1456</v>
      </c>
      <c r="B439" t="s">
        <v>5790</v>
      </c>
      <c r="C439" t="s">
        <v>5791</v>
      </c>
    </row>
    <row r="440" spans="1:3" x14ac:dyDescent="0.25">
      <c r="A440">
        <v>401</v>
      </c>
      <c r="B440" t="s">
        <v>5792</v>
      </c>
      <c r="C440" t="s">
        <v>5793</v>
      </c>
    </row>
    <row r="441" spans="1:3" x14ac:dyDescent="0.25">
      <c r="A441">
        <v>150</v>
      </c>
      <c r="B441" t="s">
        <v>5794</v>
      </c>
      <c r="C441" t="s">
        <v>5795</v>
      </c>
    </row>
    <row r="442" spans="1:3" x14ac:dyDescent="0.25">
      <c r="A442">
        <v>556</v>
      </c>
      <c r="B442" t="s">
        <v>5796</v>
      </c>
      <c r="C442" t="s">
        <v>5797</v>
      </c>
    </row>
    <row r="443" spans="1:3" x14ac:dyDescent="0.25">
      <c r="A443">
        <v>1698</v>
      </c>
      <c r="B443" t="s">
        <v>5798</v>
      </c>
      <c r="C443" t="s">
        <v>5799</v>
      </c>
    </row>
    <row r="444" spans="1:3" x14ac:dyDescent="0.25">
      <c r="A444">
        <v>974</v>
      </c>
      <c r="B444" t="s">
        <v>5800</v>
      </c>
      <c r="C444" t="s">
        <v>5801</v>
      </c>
    </row>
    <row r="445" spans="1:3" x14ac:dyDescent="0.25">
      <c r="A445">
        <v>715</v>
      </c>
      <c r="B445" t="s">
        <v>5802</v>
      </c>
      <c r="C445" t="s">
        <v>5803</v>
      </c>
    </row>
    <row r="446" spans="1:3" x14ac:dyDescent="0.25">
      <c r="A446">
        <v>844</v>
      </c>
      <c r="B446" t="s">
        <v>5804</v>
      </c>
      <c r="C446" t="s">
        <v>5805</v>
      </c>
    </row>
    <row r="447" spans="1:3" x14ac:dyDescent="0.25">
      <c r="A447">
        <v>1574</v>
      </c>
      <c r="B447" t="s">
        <v>5806</v>
      </c>
      <c r="C447" t="s">
        <v>5807</v>
      </c>
    </row>
    <row r="448" spans="1:3" x14ac:dyDescent="0.25">
      <c r="A448">
        <v>375</v>
      </c>
      <c r="B448" t="s">
        <v>5808</v>
      </c>
      <c r="C448" t="s">
        <v>5809</v>
      </c>
    </row>
    <row r="449" spans="1:3" x14ac:dyDescent="0.25">
      <c r="A449">
        <v>834</v>
      </c>
      <c r="B449" t="s">
        <v>5810</v>
      </c>
      <c r="C449" t="s">
        <v>242</v>
      </c>
    </row>
    <row r="450" spans="1:3" x14ac:dyDescent="0.25">
      <c r="A450">
        <v>860</v>
      </c>
      <c r="B450" t="s">
        <v>5811</v>
      </c>
      <c r="C450" t="s">
        <v>479</v>
      </c>
    </row>
    <row r="451" spans="1:3" x14ac:dyDescent="0.25">
      <c r="A451">
        <v>8</v>
      </c>
      <c r="B451" t="s">
        <v>5812</v>
      </c>
      <c r="C451" t="s">
        <v>5813</v>
      </c>
    </row>
    <row r="452" spans="1:3" x14ac:dyDescent="0.25">
      <c r="A452">
        <v>1199</v>
      </c>
      <c r="B452" t="s">
        <v>5814</v>
      </c>
      <c r="C452" t="s">
        <v>5815</v>
      </c>
    </row>
    <row r="453" spans="1:3" x14ac:dyDescent="0.25">
      <c r="A453">
        <v>1454</v>
      </c>
      <c r="B453" t="s">
        <v>5816</v>
      </c>
      <c r="C453" t="s">
        <v>5817</v>
      </c>
    </row>
    <row r="454" spans="1:3" x14ac:dyDescent="0.25">
      <c r="A454">
        <v>196</v>
      </c>
      <c r="B454" t="s">
        <v>5818</v>
      </c>
      <c r="C454" t="s">
        <v>5819</v>
      </c>
    </row>
    <row r="455" spans="1:3" x14ac:dyDescent="0.25">
      <c r="A455">
        <v>290</v>
      </c>
      <c r="B455" t="s">
        <v>5820</v>
      </c>
      <c r="C455" t="s">
        <v>5821</v>
      </c>
    </row>
    <row r="456" spans="1:3" x14ac:dyDescent="0.25">
      <c r="A456">
        <v>1258</v>
      </c>
      <c r="B456" t="s">
        <v>5822</v>
      </c>
      <c r="C456" t="s">
        <v>5823</v>
      </c>
    </row>
    <row r="457" spans="1:3" x14ac:dyDescent="0.25">
      <c r="A457">
        <v>911</v>
      </c>
      <c r="B457" t="s">
        <v>5824</v>
      </c>
      <c r="C457" t="s">
        <v>5825</v>
      </c>
    </row>
    <row r="458" spans="1:3" x14ac:dyDescent="0.25">
      <c r="A458">
        <v>1107</v>
      </c>
      <c r="B458" t="s">
        <v>5826</v>
      </c>
      <c r="C458" t="s">
        <v>154</v>
      </c>
    </row>
    <row r="459" spans="1:3" x14ac:dyDescent="0.25">
      <c r="A459">
        <v>96</v>
      </c>
      <c r="B459" t="s">
        <v>5827</v>
      </c>
      <c r="C459" t="s">
        <v>5828</v>
      </c>
    </row>
    <row r="460" spans="1:3" x14ac:dyDescent="0.25">
      <c r="A460">
        <v>739</v>
      </c>
      <c r="B460" t="s">
        <v>5829</v>
      </c>
      <c r="C460" t="s">
        <v>5830</v>
      </c>
    </row>
    <row r="461" spans="1:3" x14ac:dyDescent="0.25">
      <c r="A461">
        <v>880</v>
      </c>
      <c r="B461" t="s">
        <v>5831</v>
      </c>
      <c r="C461" t="s">
        <v>5832</v>
      </c>
    </row>
    <row r="462" spans="1:3" x14ac:dyDescent="0.25">
      <c r="A462">
        <v>1718</v>
      </c>
      <c r="B462" t="s">
        <v>5833</v>
      </c>
      <c r="C462" t="s">
        <v>5834</v>
      </c>
    </row>
    <row r="463" spans="1:3" x14ac:dyDescent="0.25">
      <c r="A463">
        <v>1719</v>
      </c>
      <c r="B463" t="s">
        <v>5835</v>
      </c>
      <c r="C463" t="s">
        <v>5836</v>
      </c>
    </row>
    <row r="464" spans="1:3" x14ac:dyDescent="0.25">
      <c r="A464">
        <v>1389</v>
      </c>
      <c r="B464" t="s">
        <v>5837</v>
      </c>
      <c r="C464" t="s">
        <v>5838</v>
      </c>
    </row>
    <row r="465" spans="1:3" x14ac:dyDescent="0.25">
      <c r="A465">
        <v>437</v>
      </c>
      <c r="B465" t="s">
        <v>5839</v>
      </c>
      <c r="C465" t="s">
        <v>5840</v>
      </c>
    </row>
    <row r="466" spans="1:3" x14ac:dyDescent="0.25">
      <c r="A466">
        <v>663</v>
      </c>
      <c r="B466" t="s">
        <v>5841</v>
      </c>
      <c r="C466" t="s">
        <v>5842</v>
      </c>
    </row>
    <row r="467" spans="1:3" x14ac:dyDescent="0.25">
      <c r="A467">
        <v>309</v>
      </c>
      <c r="B467" t="s">
        <v>5843</v>
      </c>
      <c r="C467" t="s">
        <v>5844</v>
      </c>
    </row>
    <row r="468" spans="1:3" x14ac:dyDescent="0.25">
      <c r="A468">
        <v>1630</v>
      </c>
      <c r="B468" t="s">
        <v>5845</v>
      </c>
      <c r="C468" t="s">
        <v>5846</v>
      </c>
    </row>
    <row r="469" spans="1:3" x14ac:dyDescent="0.25">
      <c r="A469">
        <v>908</v>
      </c>
      <c r="B469" t="s">
        <v>5847</v>
      </c>
      <c r="C469" t="s">
        <v>5848</v>
      </c>
    </row>
    <row r="470" spans="1:3" x14ac:dyDescent="0.25">
      <c r="A470">
        <v>1270</v>
      </c>
      <c r="B470" t="s">
        <v>5849</v>
      </c>
      <c r="C470" t="s">
        <v>5850</v>
      </c>
    </row>
    <row r="471" spans="1:3" x14ac:dyDescent="0.25">
      <c r="A471">
        <v>1722</v>
      </c>
      <c r="B471" t="s">
        <v>5851</v>
      </c>
      <c r="C471" t="s">
        <v>5852</v>
      </c>
    </row>
    <row r="472" spans="1:3" x14ac:dyDescent="0.25">
      <c r="A472">
        <v>78</v>
      </c>
      <c r="B472" t="s">
        <v>5853</v>
      </c>
      <c r="C472" t="s">
        <v>5854</v>
      </c>
    </row>
    <row r="473" spans="1:3" x14ac:dyDescent="0.25">
      <c r="A473">
        <v>1168</v>
      </c>
      <c r="B473" t="s">
        <v>5855</v>
      </c>
      <c r="C473" t="s">
        <v>5856</v>
      </c>
    </row>
    <row r="474" spans="1:3" x14ac:dyDescent="0.25">
      <c r="A474">
        <v>1423</v>
      </c>
      <c r="B474" t="s">
        <v>5857</v>
      </c>
      <c r="C474" t="s">
        <v>5858</v>
      </c>
    </row>
    <row r="475" spans="1:3" x14ac:dyDescent="0.25">
      <c r="A475">
        <v>423</v>
      </c>
      <c r="B475" t="s">
        <v>5859</v>
      </c>
      <c r="C475" t="s">
        <v>5860</v>
      </c>
    </row>
    <row r="476" spans="1:3" x14ac:dyDescent="0.25">
      <c r="A476">
        <v>1068</v>
      </c>
      <c r="B476" t="s">
        <v>5861</v>
      </c>
      <c r="C476" t="s">
        <v>1199</v>
      </c>
    </row>
    <row r="477" spans="1:3" x14ac:dyDescent="0.25">
      <c r="A477">
        <v>470</v>
      </c>
      <c r="B477" t="s">
        <v>5862</v>
      </c>
      <c r="C477" t="s">
        <v>5863</v>
      </c>
    </row>
    <row r="478" spans="1:3" x14ac:dyDescent="0.25">
      <c r="A478">
        <v>1705</v>
      </c>
      <c r="B478" t="s">
        <v>5864</v>
      </c>
      <c r="C478" t="s">
        <v>5865</v>
      </c>
    </row>
    <row r="479" spans="1:3" x14ac:dyDescent="0.25">
      <c r="A479">
        <v>521</v>
      </c>
      <c r="B479" t="s">
        <v>5866</v>
      </c>
      <c r="C479" t="s">
        <v>5867</v>
      </c>
    </row>
    <row r="480" spans="1:3" x14ac:dyDescent="0.25">
      <c r="A480">
        <v>977</v>
      </c>
      <c r="B480" t="s">
        <v>5868</v>
      </c>
      <c r="C480" t="s">
        <v>5869</v>
      </c>
    </row>
    <row r="481" spans="1:3" x14ac:dyDescent="0.25">
      <c r="A481">
        <v>1002</v>
      </c>
      <c r="B481" t="s">
        <v>5870</v>
      </c>
      <c r="C481" t="s">
        <v>5871</v>
      </c>
    </row>
    <row r="482" spans="1:3" x14ac:dyDescent="0.25">
      <c r="A482">
        <v>769</v>
      </c>
      <c r="B482" t="s">
        <v>5872</v>
      </c>
      <c r="C482" t="s">
        <v>5873</v>
      </c>
    </row>
    <row r="483" spans="1:3" x14ac:dyDescent="0.25">
      <c r="A483">
        <v>1264</v>
      </c>
      <c r="B483" t="s">
        <v>5874</v>
      </c>
      <c r="C483" t="s">
        <v>5875</v>
      </c>
    </row>
    <row r="484" spans="1:3" x14ac:dyDescent="0.25">
      <c r="A484">
        <v>592</v>
      </c>
      <c r="B484" t="s">
        <v>5876</v>
      </c>
      <c r="C484" t="s">
        <v>5877</v>
      </c>
    </row>
    <row r="485" spans="1:3" x14ac:dyDescent="0.25">
      <c r="A485">
        <v>532</v>
      </c>
      <c r="B485" t="s">
        <v>5878</v>
      </c>
      <c r="C485" t="s">
        <v>5879</v>
      </c>
    </row>
    <row r="486" spans="1:3" x14ac:dyDescent="0.25">
      <c r="A486">
        <v>1196</v>
      </c>
      <c r="B486" t="s">
        <v>5880</v>
      </c>
      <c r="C486" t="s">
        <v>5881</v>
      </c>
    </row>
    <row r="487" spans="1:3" x14ac:dyDescent="0.25">
      <c r="A487">
        <v>260</v>
      </c>
      <c r="B487" t="s">
        <v>5882</v>
      </c>
      <c r="C487" t="s">
        <v>5883</v>
      </c>
    </row>
    <row r="488" spans="1:3" x14ac:dyDescent="0.25">
      <c r="A488">
        <v>1224</v>
      </c>
      <c r="B488" t="s">
        <v>5884</v>
      </c>
      <c r="C488" t="s">
        <v>4271</v>
      </c>
    </row>
    <row r="489" spans="1:3" x14ac:dyDescent="0.25">
      <c r="A489">
        <v>700</v>
      </c>
      <c r="B489" t="s">
        <v>5885</v>
      </c>
      <c r="C489" t="s">
        <v>5886</v>
      </c>
    </row>
    <row r="490" spans="1:3" x14ac:dyDescent="0.25">
      <c r="A490">
        <v>277</v>
      </c>
      <c r="B490" t="s">
        <v>5887</v>
      </c>
      <c r="C490" t="s">
        <v>5888</v>
      </c>
    </row>
    <row r="491" spans="1:3" x14ac:dyDescent="0.25">
      <c r="A491">
        <v>63</v>
      </c>
      <c r="B491" t="s">
        <v>5889</v>
      </c>
      <c r="C491" t="s">
        <v>5890</v>
      </c>
    </row>
    <row r="492" spans="1:3" x14ac:dyDescent="0.25">
      <c r="A492">
        <v>727</v>
      </c>
      <c r="B492" t="s">
        <v>5891</v>
      </c>
      <c r="C492" t="s">
        <v>5892</v>
      </c>
    </row>
    <row r="493" spans="1:3" x14ac:dyDescent="0.25">
      <c r="A493">
        <v>1113</v>
      </c>
      <c r="B493" t="s">
        <v>5893</v>
      </c>
      <c r="C493" t="s">
        <v>5894</v>
      </c>
    </row>
    <row r="494" spans="1:3" x14ac:dyDescent="0.25">
      <c r="A494">
        <v>1159</v>
      </c>
      <c r="B494" t="s">
        <v>5895</v>
      </c>
      <c r="C494" t="s">
        <v>1382</v>
      </c>
    </row>
    <row r="495" spans="1:3" x14ac:dyDescent="0.25">
      <c r="A495">
        <v>117</v>
      </c>
      <c r="B495" t="s">
        <v>5896</v>
      </c>
      <c r="C495" t="s">
        <v>5897</v>
      </c>
    </row>
    <row r="496" spans="1:3" x14ac:dyDescent="0.25">
      <c r="A496">
        <v>1142</v>
      </c>
      <c r="B496" t="s">
        <v>5898</v>
      </c>
      <c r="C496" t="s">
        <v>1</v>
      </c>
    </row>
    <row r="497" spans="1:3" x14ac:dyDescent="0.25">
      <c r="A497">
        <v>456</v>
      </c>
      <c r="B497" t="s">
        <v>5899</v>
      </c>
      <c r="C497" t="s">
        <v>5900</v>
      </c>
    </row>
    <row r="498" spans="1:3" x14ac:dyDescent="0.25">
      <c r="A498">
        <v>1209</v>
      </c>
      <c r="B498" t="s">
        <v>5901</v>
      </c>
      <c r="C498" t="s">
        <v>5902</v>
      </c>
    </row>
    <row r="499" spans="1:3" x14ac:dyDescent="0.25">
      <c r="A499">
        <v>1135</v>
      </c>
      <c r="B499" t="s">
        <v>5903</v>
      </c>
      <c r="C499" t="s">
        <v>13</v>
      </c>
    </row>
    <row r="500" spans="1:3" x14ac:dyDescent="0.25">
      <c r="A500">
        <v>940</v>
      </c>
      <c r="B500" t="s">
        <v>5904</v>
      </c>
      <c r="C500" t="s">
        <v>5905</v>
      </c>
    </row>
    <row r="501" spans="1:3" x14ac:dyDescent="0.25">
      <c r="A501">
        <v>326</v>
      </c>
      <c r="B501" t="s">
        <v>5906</v>
      </c>
      <c r="C501" t="s">
        <v>990</v>
      </c>
    </row>
    <row r="502" spans="1:3" x14ac:dyDescent="0.25">
      <c r="A502">
        <v>1066</v>
      </c>
      <c r="B502" t="s">
        <v>5907</v>
      </c>
      <c r="C502" t="s">
        <v>5908</v>
      </c>
    </row>
    <row r="503" spans="1:3" x14ac:dyDescent="0.25">
      <c r="A503">
        <v>1238</v>
      </c>
      <c r="B503" t="s">
        <v>5909</v>
      </c>
      <c r="C503" t="s">
        <v>5910</v>
      </c>
    </row>
    <row r="504" spans="1:3" x14ac:dyDescent="0.25">
      <c r="A504">
        <v>1005</v>
      </c>
      <c r="B504" t="s">
        <v>5911</v>
      </c>
      <c r="C504" t="s">
        <v>3075</v>
      </c>
    </row>
    <row r="505" spans="1:3" x14ac:dyDescent="0.25">
      <c r="A505">
        <v>65</v>
      </c>
      <c r="B505" t="s">
        <v>5912</v>
      </c>
      <c r="C505" t="s">
        <v>5913</v>
      </c>
    </row>
    <row r="506" spans="1:3" x14ac:dyDescent="0.25">
      <c r="A506">
        <v>1267</v>
      </c>
      <c r="B506" t="s">
        <v>5914</v>
      </c>
      <c r="C506" t="s">
        <v>5915</v>
      </c>
    </row>
    <row r="507" spans="1:3" x14ac:dyDescent="0.25">
      <c r="A507">
        <v>259</v>
      </c>
      <c r="B507" t="s">
        <v>5916</v>
      </c>
      <c r="C507" t="s">
        <v>5917</v>
      </c>
    </row>
    <row r="508" spans="1:3" x14ac:dyDescent="0.25">
      <c r="A508">
        <v>506</v>
      </c>
      <c r="B508" t="s">
        <v>5918</v>
      </c>
      <c r="C508" t="s">
        <v>5919</v>
      </c>
    </row>
    <row r="509" spans="1:3" x14ac:dyDescent="0.25">
      <c r="A509">
        <v>1074</v>
      </c>
      <c r="B509" t="s">
        <v>5920</v>
      </c>
      <c r="C509" t="s">
        <v>88</v>
      </c>
    </row>
    <row r="510" spans="1:3" x14ac:dyDescent="0.25">
      <c r="A510">
        <v>1260</v>
      </c>
      <c r="B510" t="s">
        <v>5921</v>
      </c>
      <c r="C510" t="s">
        <v>5922</v>
      </c>
    </row>
    <row r="511" spans="1:3" x14ac:dyDescent="0.25">
      <c r="A511">
        <v>129</v>
      </c>
      <c r="B511" t="s">
        <v>5923</v>
      </c>
      <c r="C511" t="s">
        <v>5924</v>
      </c>
    </row>
    <row r="512" spans="1:3" x14ac:dyDescent="0.25">
      <c r="A512">
        <v>1435</v>
      </c>
      <c r="B512" t="s">
        <v>5925</v>
      </c>
      <c r="C512" t="s">
        <v>5926</v>
      </c>
    </row>
    <row r="513" spans="1:3" x14ac:dyDescent="0.25">
      <c r="A513">
        <v>458</v>
      </c>
      <c r="B513" t="s">
        <v>5927</v>
      </c>
      <c r="C513" t="s">
        <v>5928</v>
      </c>
    </row>
    <row r="514" spans="1:3" x14ac:dyDescent="0.25">
      <c r="A514">
        <v>1639</v>
      </c>
      <c r="B514" t="s">
        <v>5929</v>
      </c>
      <c r="C514" t="s">
        <v>5930</v>
      </c>
    </row>
    <row r="515" spans="1:3" x14ac:dyDescent="0.25">
      <c r="A515">
        <v>985</v>
      </c>
      <c r="B515" t="s">
        <v>5931</v>
      </c>
      <c r="C515" t="s">
        <v>5932</v>
      </c>
    </row>
    <row r="516" spans="1:3" x14ac:dyDescent="0.25">
      <c r="A516">
        <v>1373</v>
      </c>
      <c r="B516" t="s">
        <v>5933</v>
      </c>
      <c r="C516" t="s">
        <v>5934</v>
      </c>
    </row>
    <row r="517" spans="1:3" x14ac:dyDescent="0.25">
      <c r="A517">
        <v>1588</v>
      </c>
      <c r="B517" t="s">
        <v>5935</v>
      </c>
      <c r="C517" t="s">
        <v>5936</v>
      </c>
    </row>
    <row r="518" spans="1:3" x14ac:dyDescent="0.25">
      <c r="A518">
        <v>405</v>
      </c>
      <c r="B518" t="s">
        <v>5937</v>
      </c>
      <c r="C518" t="s">
        <v>5938</v>
      </c>
    </row>
    <row r="519" spans="1:3" x14ac:dyDescent="0.25">
      <c r="A519">
        <v>1402</v>
      </c>
      <c r="B519" t="s">
        <v>5939</v>
      </c>
      <c r="C519" t="s">
        <v>5940</v>
      </c>
    </row>
    <row r="520" spans="1:3" x14ac:dyDescent="0.25">
      <c r="A520">
        <v>598</v>
      </c>
      <c r="B520" t="s">
        <v>5941</v>
      </c>
      <c r="C520" t="s">
        <v>5942</v>
      </c>
    </row>
    <row r="521" spans="1:3" x14ac:dyDescent="0.25">
      <c r="A521">
        <v>417</v>
      </c>
      <c r="B521" t="s">
        <v>5943</v>
      </c>
      <c r="C521" t="s">
        <v>5944</v>
      </c>
    </row>
    <row r="522" spans="1:3" x14ac:dyDescent="0.25">
      <c r="A522">
        <v>395</v>
      </c>
      <c r="B522" t="s">
        <v>5945</v>
      </c>
      <c r="C522" t="s">
        <v>5946</v>
      </c>
    </row>
    <row r="523" spans="1:3" x14ac:dyDescent="0.25">
      <c r="A523">
        <v>174</v>
      </c>
      <c r="B523" t="s">
        <v>5947</v>
      </c>
      <c r="C523" t="s">
        <v>5948</v>
      </c>
    </row>
    <row r="524" spans="1:3" x14ac:dyDescent="0.25">
      <c r="A524">
        <v>364</v>
      </c>
      <c r="B524" t="s">
        <v>5949</v>
      </c>
      <c r="C524" t="s">
        <v>5950</v>
      </c>
    </row>
    <row r="525" spans="1:3" x14ac:dyDescent="0.25">
      <c r="A525">
        <v>1480</v>
      </c>
      <c r="B525" t="s">
        <v>5951</v>
      </c>
      <c r="C525" t="s">
        <v>5952</v>
      </c>
    </row>
    <row r="526" spans="1:3" x14ac:dyDescent="0.25">
      <c r="A526">
        <v>1724</v>
      </c>
      <c r="B526" t="s">
        <v>5953</v>
      </c>
      <c r="C526" t="s">
        <v>5954</v>
      </c>
    </row>
    <row r="527" spans="1:3" x14ac:dyDescent="0.25">
      <c r="A527">
        <v>1376</v>
      </c>
      <c r="B527" t="s">
        <v>5955</v>
      </c>
      <c r="C527" t="s">
        <v>5956</v>
      </c>
    </row>
    <row r="528" spans="1:3" x14ac:dyDescent="0.25">
      <c r="A528">
        <v>1723</v>
      </c>
      <c r="B528" t="s">
        <v>5957</v>
      </c>
      <c r="C528" t="s">
        <v>5958</v>
      </c>
    </row>
    <row r="529" spans="1:3" x14ac:dyDescent="0.25">
      <c r="A529">
        <v>956</v>
      </c>
      <c r="B529" t="s">
        <v>5959</v>
      </c>
      <c r="C529" t="s">
        <v>5960</v>
      </c>
    </row>
    <row r="530" spans="1:3" x14ac:dyDescent="0.25">
      <c r="A530">
        <v>944</v>
      </c>
      <c r="B530" t="s">
        <v>5961</v>
      </c>
      <c r="C530" t="s">
        <v>5962</v>
      </c>
    </row>
    <row r="531" spans="1:3" x14ac:dyDescent="0.25">
      <c r="A531">
        <v>4</v>
      </c>
      <c r="B531" t="s">
        <v>5963</v>
      </c>
      <c r="C531" t="s">
        <v>5964</v>
      </c>
    </row>
    <row r="532" spans="1:3" x14ac:dyDescent="0.25">
      <c r="A532">
        <v>293</v>
      </c>
      <c r="B532" t="s">
        <v>5965</v>
      </c>
      <c r="C532" t="s">
        <v>5966</v>
      </c>
    </row>
    <row r="533" spans="1:3" x14ac:dyDescent="0.25">
      <c r="A533">
        <v>1623</v>
      </c>
      <c r="B533" t="s">
        <v>5967</v>
      </c>
      <c r="C533" t="s">
        <v>5968</v>
      </c>
    </row>
    <row r="534" spans="1:3" x14ac:dyDescent="0.25">
      <c r="A534">
        <v>550</v>
      </c>
      <c r="B534" t="s">
        <v>5969</v>
      </c>
      <c r="C534" t="s">
        <v>5970</v>
      </c>
    </row>
    <row r="535" spans="1:3" x14ac:dyDescent="0.25">
      <c r="A535">
        <v>411</v>
      </c>
      <c r="B535" t="s">
        <v>5971</v>
      </c>
      <c r="C535" t="s">
        <v>5972</v>
      </c>
    </row>
    <row r="536" spans="1:3" x14ac:dyDescent="0.25">
      <c r="A536">
        <v>297</v>
      </c>
      <c r="B536" t="s">
        <v>5973</v>
      </c>
      <c r="C536" t="s">
        <v>5974</v>
      </c>
    </row>
    <row r="537" spans="1:3" x14ac:dyDescent="0.25">
      <c r="A537">
        <v>639</v>
      </c>
      <c r="B537" t="s">
        <v>5975</v>
      </c>
      <c r="C537" t="s">
        <v>5976</v>
      </c>
    </row>
    <row r="538" spans="1:3" x14ac:dyDescent="0.25">
      <c r="A538">
        <v>1377</v>
      </c>
      <c r="B538" t="s">
        <v>5977</v>
      </c>
      <c r="C538" t="s">
        <v>5978</v>
      </c>
    </row>
    <row r="539" spans="1:3" x14ac:dyDescent="0.25">
      <c r="A539">
        <v>1010</v>
      </c>
      <c r="B539" t="s">
        <v>5979</v>
      </c>
      <c r="C539" t="s">
        <v>701</v>
      </c>
    </row>
    <row r="540" spans="1:3" x14ac:dyDescent="0.25">
      <c r="A540">
        <v>486</v>
      </c>
      <c r="B540" t="s">
        <v>5980</v>
      </c>
      <c r="C540" t="s">
        <v>5981</v>
      </c>
    </row>
    <row r="541" spans="1:3" x14ac:dyDescent="0.25">
      <c r="A541">
        <v>845</v>
      </c>
      <c r="B541" t="s">
        <v>5982</v>
      </c>
      <c r="C541" t="s">
        <v>5983</v>
      </c>
    </row>
    <row r="542" spans="1:3" x14ac:dyDescent="0.25">
      <c r="A542">
        <v>1232</v>
      </c>
      <c r="B542" t="s">
        <v>5984</v>
      </c>
      <c r="C542" t="s">
        <v>5985</v>
      </c>
    </row>
    <row r="543" spans="1:3" x14ac:dyDescent="0.25">
      <c r="A543">
        <v>123</v>
      </c>
      <c r="B543" t="s">
        <v>5986</v>
      </c>
      <c r="C543" t="s">
        <v>5987</v>
      </c>
    </row>
    <row r="544" spans="1:3" x14ac:dyDescent="0.25">
      <c r="A544">
        <v>193</v>
      </c>
      <c r="B544" t="s">
        <v>5988</v>
      </c>
      <c r="C544" t="s">
        <v>5989</v>
      </c>
    </row>
    <row r="545" spans="1:3" x14ac:dyDescent="0.25">
      <c r="A545">
        <v>1658</v>
      </c>
      <c r="B545" t="s">
        <v>5990</v>
      </c>
      <c r="C545" t="s">
        <v>5991</v>
      </c>
    </row>
    <row r="546" spans="1:3" x14ac:dyDescent="0.25">
      <c r="A546">
        <v>621</v>
      </c>
      <c r="B546" t="s">
        <v>5992</v>
      </c>
      <c r="C546" t="s">
        <v>5993</v>
      </c>
    </row>
    <row r="547" spans="1:3" x14ac:dyDescent="0.25">
      <c r="A547">
        <v>114</v>
      </c>
      <c r="B547" t="s">
        <v>5994</v>
      </c>
      <c r="C547" t="s">
        <v>5995</v>
      </c>
    </row>
    <row r="548" spans="1:3" x14ac:dyDescent="0.25">
      <c r="A548">
        <v>1707</v>
      </c>
      <c r="B548" t="s">
        <v>5996</v>
      </c>
      <c r="C548" t="s">
        <v>5997</v>
      </c>
    </row>
    <row r="549" spans="1:3" x14ac:dyDescent="0.25">
      <c r="A549">
        <v>72</v>
      </c>
      <c r="B549" t="s">
        <v>5998</v>
      </c>
      <c r="C549" t="s">
        <v>5999</v>
      </c>
    </row>
    <row r="550" spans="1:3" x14ac:dyDescent="0.25">
      <c r="A550">
        <v>278</v>
      </c>
      <c r="B550" t="s">
        <v>6000</v>
      </c>
      <c r="C550" t="s">
        <v>6001</v>
      </c>
    </row>
    <row r="551" spans="1:3" x14ac:dyDescent="0.25">
      <c r="A551">
        <v>589</v>
      </c>
      <c r="B551" t="s">
        <v>6002</v>
      </c>
      <c r="C551" t="s">
        <v>6003</v>
      </c>
    </row>
    <row r="552" spans="1:3" x14ac:dyDescent="0.25">
      <c r="A552">
        <v>1303</v>
      </c>
      <c r="B552" t="s">
        <v>6004</v>
      </c>
      <c r="C552" t="s">
        <v>6005</v>
      </c>
    </row>
    <row r="553" spans="1:3" x14ac:dyDescent="0.25">
      <c r="A553">
        <v>1172</v>
      </c>
      <c r="B553" t="s">
        <v>6006</v>
      </c>
      <c r="C553" t="s">
        <v>6007</v>
      </c>
    </row>
    <row r="554" spans="1:3" x14ac:dyDescent="0.25">
      <c r="A554">
        <v>1476</v>
      </c>
      <c r="B554" t="s">
        <v>6008</v>
      </c>
      <c r="C554" t="s">
        <v>6009</v>
      </c>
    </row>
    <row r="555" spans="1:3" x14ac:dyDescent="0.25">
      <c r="A555">
        <v>613</v>
      </c>
      <c r="B555" t="s">
        <v>6010</v>
      </c>
      <c r="C555" t="s">
        <v>6011</v>
      </c>
    </row>
    <row r="556" spans="1:3" x14ac:dyDescent="0.25">
      <c r="A556">
        <v>868</v>
      </c>
      <c r="B556" t="s">
        <v>6012</v>
      </c>
      <c r="C556" t="s">
        <v>6013</v>
      </c>
    </row>
    <row r="557" spans="1:3" x14ac:dyDescent="0.25">
      <c r="A557">
        <v>748</v>
      </c>
      <c r="B557" t="s">
        <v>6014</v>
      </c>
      <c r="C557" t="s">
        <v>6015</v>
      </c>
    </row>
    <row r="558" spans="1:3" x14ac:dyDescent="0.25">
      <c r="A558">
        <v>1041</v>
      </c>
      <c r="B558" t="s">
        <v>6016</v>
      </c>
      <c r="C558" t="s">
        <v>6017</v>
      </c>
    </row>
    <row r="559" spans="1:3" x14ac:dyDescent="0.25">
      <c r="A559">
        <v>23</v>
      </c>
      <c r="B559" t="s">
        <v>6018</v>
      </c>
      <c r="C559" t="s">
        <v>6019</v>
      </c>
    </row>
    <row r="560" spans="1:3" x14ac:dyDescent="0.25">
      <c r="A560">
        <v>162</v>
      </c>
      <c r="B560" t="s">
        <v>6020</v>
      </c>
      <c r="C560" t="s">
        <v>86</v>
      </c>
    </row>
    <row r="561" spans="1:3" x14ac:dyDescent="0.25">
      <c r="A561">
        <v>1178</v>
      </c>
      <c r="B561" t="s">
        <v>6021</v>
      </c>
      <c r="C561" t="s">
        <v>2237</v>
      </c>
    </row>
    <row r="562" spans="1:3" x14ac:dyDescent="0.25">
      <c r="A562">
        <v>1492</v>
      </c>
      <c r="B562" t="s">
        <v>6022</v>
      </c>
      <c r="C562" t="s">
        <v>6023</v>
      </c>
    </row>
    <row r="563" spans="1:3" x14ac:dyDescent="0.25">
      <c r="A563">
        <v>383</v>
      </c>
      <c r="B563" t="s">
        <v>6024</v>
      </c>
      <c r="C563" t="s">
        <v>2895</v>
      </c>
    </row>
    <row r="564" spans="1:3" x14ac:dyDescent="0.25">
      <c r="A564">
        <v>61</v>
      </c>
      <c r="B564" t="s">
        <v>6025</v>
      </c>
      <c r="C564" t="s">
        <v>6026</v>
      </c>
    </row>
    <row r="565" spans="1:3" x14ac:dyDescent="0.25">
      <c r="A565">
        <v>70</v>
      </c>
      <c r="B565" t="s">
        <v>6027</v>
      </c>
      <c r="C565" t="s">
        <v>6028</v>
      </c>
    </row>
    <row r="566" spans="1:3" x14ac:dyDescent="0.25">
      <c r="A566">
        <v>904</v>
      </c>
      <c r="B566" t="s">
        <v>6029</v>
      </c>
      <c r="C566" t="s">
        <v>6030</v>
      </c>
    </row>
    <row r="567" spans="1:3" x14ac:dyDescent="0.25">
      <c r="A567">
        <v>244</v>
      </c>
      <c r="B567" t="s">
        <v>6031</v>
      </c>
      <c r="C567" t="s">
        <v>6032</v>
      </c>
    </row>
    <row r="568" spans="1:3" x14ac:dyDescent="0.25">
      <c r="A568">
        <v>691</v>
      </c>
      <c r="B568" t="s">
        <v>6033</v>
      </c>
      <c r="C568" t="s">
        <v>6034</v>
      </c>
    </row>
    <row r="569" spans="1:3" x14ac:dyDescent="0.25">
      <c r="A569">
        <v>1250</v>
      </c>
      <c r="B569" t="s">
        <v>6035</v>
      </c>
      <c r="C569" t="s">
        <v>6036</v>
      </c>
    </row>
    <row r="570" spans="1:3" x14ac:dyDescent="0.25">
      <c r="A570">
        <v>1349</v>
      </c>
      <c r="B570" t="s">
        <v>6037</v>
      </c>
      <c r="C570" t="s">
        <v>6038</v>
      </c>
    </row>
    <row r="571" spans="1:3" x14ac:dyDescent="0.25">
      <c r="A571">
        <v>282</v>
      </c>
      <c r="B571" t="s">
        <v>6039</v>
      </c>
      <c r="C571" t="s">
        <v>6040</v>
      </c>
    </row>
    <row r="572" spans="1:3" x14ac:dyDescent="0.25">
      <c r="A572">
        <v>1275</v>
      </c>
      <c r="B572" t="s">
        <v>6041</v>
      </c>
      <c r="C572" t="s">
        <v>4294</v>
      </c>
    </row>
    <row r="573" spans="1:3" x14ac:dyDescent="0.25">
      <c r="A573">
        <v>125</v>
      </c>
      <c r="B573" t="s">
        <v>6042</v>
      </c>
      <c r="C573" t="s">
        <v>6043</v>
      </c>
    </row>
    <row r="574" spans="1:3" x14ac:dyDescent="0.25">
      <c r="A574">
        <v>50</v>
      </c>
      <c r="B574" t="s">
        <v>6044</v>
      </c>
      <c r="C574" t="s">
        <v>6045</v>
      </c>
    </row>
    <row r="575" spans="1:3" x14ac:dyDescent="0.25">
      <c r="A575">
        <v>938</v>
      </c>
      <c r="B575" t="s">
        <v>6046</v>
      </c>
      <c r="C575" t="s">
        <v>6047</v>
      </c>
    </row>
    <row r="576" spans="1:3" x14ac:dyDescent="0.25">
      <c r="A576">
        <v>1179</v>
      </c>
      <c r="B576" t="s">
        <v>6048</v>
      </c>
      <c r="C576" t="s">
        <v>4200</v>
      </c>
    </row>
    <row r="577" spans="1:3" x14ac:dyDescent="0.25">
      <c r="A577">
        <v>846</v>
      </c>
      <c r="B577" t="s">
        <v>6049</v>
      </c>
      <c r="C577" t="s">
        <v>6050</v>
      </c>
    </row>
    <row r="578" spans="1:3" x14ac:dyDescent="0.25">
      <c r="A578">
        <v>1572</v>
      </c>
      <c r="B578" t="s">
        <v>6051</v>
      </c>
      <c r="C578" t="s">
        <v>6052</v>
      </c>
    </row>
    <row r="579" spans="1:3" x14ac:dyDescent="0.25">
      <c r="A579">
        <v>1309</v>
      </c>
      <c r="B579" t="s">
        <v>6053</v>
      </c>
      <c r="C579" t="s">
        <v>6054</v>
      </c>
    </row>
    <row r="580" spans="1:3" x14ac:dyDescent="0.25">
      <c r="A580">
        <v>54</v>
      </c>
      <c r="B580" t="s">
        <v>6055</v>
      </c>
      <c r="C580" t="s">
        <v>6056</v>
      </c>
    </row>
    <row r="581" spans="1:3" x14ac:dyDescent="0.25">
      <c r="A581">
        <v>108</v>
      </c>
      <c r="B581" t="s">
        <v>6057</v>
      </c>
      <c r="C581" t="s">
        <v>6058</v>
      </c>
    </row>
    <row r="582" spans="1:3" x14ac:dyDescent="0.25">
      <c r="A582">
        <v>824</v>
      </c>
      <c r="B582" t="s">
        <v>6059</v>
      </c>
      <c r="C582" t="s">
        <v>6060</v>
      </c>
    </row>
    <row r="583" spans="1:3" x14ac:dyDescent="0.25">
      <c r="A583">
        <v>828</v>
      </c>
      <c r="B583" t="s">
        <v>6061</v>
      </c>
      <c r="C583" t="s">
        <v>6062</v>
      </c>
    </row>
    <row r="584" spans="1:3" x14ac:dyDescent="0.25">
      <c r="A584">
        <v>830</v>
      </c>
      <c r="B584" t="s">
        <v>6063</v>
      </c>
      <c r="C584" t="s">
        <v>268</v>
      </c>
    </row>
    <row r="585" spans="1:3" x14ac:dyDescent="0.25">
      <c r="A585">
        <v>528</v>
      </c>
      <c r="B585" t="s">
        <v>6064</v>
      </c>
      <c r="C585" t="s">
        <v>6065</v>
      </c>
    </row>
    <row r="586" spans="1:3" x14ac:dyDescent="0.25">
      <c r="A586">
        <v>724</v>
      </c>
      <c r="B586" t="s">
        <v>6066</v>
      </c>
      <c r="C586" t="s">
        <v>6067</v>
      </c>
    </row>
    <row r="587" spans="1:3" x14ac:dyDescent="0.25">
      <c r="A587">
        <v>74</v>
      </c>
      <c r="B587" t="s">
        <v>6068</v>
      </c>
      <c r="C587" t="s">
        <v>6069</v>
      </c>
    </row>
    <row r="588" spans="1:3" x14ac:dyDescent="0.25">
      <c r="A588">
        <v>899</v>
      </c>
      <c r="B588" t="s">
        <v>6070</v>
      </c>
      <c r="C588" t="s">
        <v>6071</v>
      </c>
    </row>
    <row r="589" spans="1:3" x14ac:dyDescent="0.25">
      <c r="A589">
        <v>1589</v>
      </c>
      <c r="B589" t="s">
        <v>6072</v>
      </c>
      <c r="C589" t="s">
        <v>6073</v>
      </c>
    </row>
    <row r="590" spans="1:3" x14ac:dyDescent="0.25">
      <c r="A590">
        <v>979</v>
      </c>
      <c r="B590" t="s">
        <v>6074</v>
      </c>
      <c r="C590" t="s">
        <v>6075</v>
      </c>
    </row>
    <row r="591" spans="1:3" x14ac:dyDescent="0.25">
      <c r="A591">
        <v>576</v>
      </c>
      <c r="B591" t="s">
        <v>6076</v>
      </c>
      <c r="C591" t="s">
        <v>6077</v>
      </c>
    </row>
    <row r="592" spans="1:3" x14ac:dyDescent="0.25">
      <c r="A592">
        <v>601</v>
      </c>
      <c r="B592" t="s">
        <v>6078</v>
      </c>
      <c r="C592" t="s">
        <v>6079</v>
      </c>
    </row>
    <row r="593" spans="1:3" x14ac:dyDescent="0.25">
      <c r="A593">
        <v>984</v>
      </c>
      <c r="B593" t="s">
        <v>6080</v>
      </c>
      <c r="C593" t="s">
        <v>1768</v>
      </c>
    </row>
    <row r="594" spans="1:3" x14ac:dyDescent="0.25">
      <c r="A594">
        <v>1706</v>
      </c>
      <c r="B594" t="s">
        <v>6081</v>
      </c>
      <c r="C594" t="s">
        <v>6082</v>
      </c>
    </row>
    <row r="595" spans="1:3" x14ac:dyDescent="0.25">
      <c r="A595">
        <v>335</v>
      </c>
      <c r="B595" t="s">
        <v>6083</v>
      </c>
      <c r="C595" t="s">
        <v>992</v>
      </c>
    </row>
    <row r="596" spans="1:3" x14ac:dyDescent="0.25">
      <c r="A596">
        <v>48</v>
      </c>
      <c r="B596" t="s">
        <v>6084</v>
      </c>
      <c r="C596" t="s">
        <v>6085</v>
      </c>
    </row>
    <row r="597" spans="1:3" x14ac:dyDescent="0.25">
      <c r="A597">
        <v>1579</v>
      </c>
      <c r="B597" t="s">
        <v>6086</v>
      </c>
      <c r="C597" t="s">
        <v>6087</v>
      </c>
    </row>
    <row r="598" spans="1:3" x14ac:dyDescent="0.25">
      <c r="A598">
        <v>1563</v>
      </c>
      <c r="B598" t="s">
        <v>6088</v>
      </c>
      <c r="C598" t="s">
        <v>6089</v>
      </c>
    </row>
    <row r="599" spans="1:3" x14ac:dyDescent="0.25">
      <c r="A599">
        <v>578</v>
      </c>
      <c r="B599" t="s">
        <v>6090</v>
      </c>
      <c r="C599" t="s">
        <v>6091</v>
      </c>
    </row>
    <row r="600" spans="1:3" x14ac:dyDescent="0.25">
      <c r="A600">
        <v>102</v>
      </c>
      <c r="B600" t="s">
        <v>6092</v>
      </c>
      <c r="C600" t="s">
        <v>6093</v>
      </c>
    </row>
    <row r="601" spans="1:3" x14ac:dyDescent="0.25">
      <c r="A601">
        <v>942</v>
      </c>
      <c r="B601" t="s">
        <v>6094</v>
      </c>
      <c r="C601" t="s">
        <v>6095</v>
      </c>
    </row>
    <row r="602" spans="1:3" x14ac:dyDescent="0.25">
      <c r="A602">
        <v>487</v>
      </c>
      <c r="B602" t="s">
        <v>6096</v>
      </c>
      <c r="C602" t="s">
        <v>6097</v>
      </c>
    </row>
    <row r="603" spans="1:3" x14ac:dyDescent="0.25">
      <c r="A603">
        <v>360</v>
      </c>
      <c r="B603" t="s">
        <v>6098</v>
      </c>
      <c r="C603" t="s">
        <v>6099</v>
      </c>
    </row>
    <row r="604" spans="1:3" x14ac:dyDescent="0.25">
      <c r="A604">
        <v>877</v>
      </c>
      <c r="B604" t="s">
        <v>6100</v>
      </c>
      <c r="C604" t="s">
        <v>6101</v>
      </c>
    </row>
    <row r="605" spans="1:3" x14ac:dyDescent="0.25">
      <c r="A605">
        <v>841</v>
      </c>
      <c r="B605" t="s">
        <v>6102</v>
      </c>
      <c r="C605" t="s">
        <v>6103</v>
      </c>
    </row>
    <row r="606" spans="1:3" x14ac:dyDescent="0.25">
      <c r="A606">
        <v>280</v>
      </c>
      <c r="B606" t="s">
        <v>6104</v>
      </c>
      <c r="C606" t="s">
        <v>6105</v>
      </c>
    </row>
    <row r="607" spans="1:3" x14ac:dyDescent="0.25">
      <c r="A607">
        <v>1317</v>
      </c>
      <c r="B607" t="s">
        <v>6106</v>
      </c>
      <c r="C607" t="s">
        <v>6107</v>
      </c>
    </row>
    <row r="608" spans="1:3" x14ac:dyDescent="0.25">
      <c r="A608">
        <v>1470</v>
      </c>
      <c r="B608" t="s">
        <v>6108</v>
      </c>
      <c r="C608" t="s">
        <v>6109</v>
      </c>
    </row>
    <row r="609" spans="1:3" x14ac:dyDescent="0.25">
      <c r="A609">
        <v>6</v>
      </c>
      <c r="B609" t="s">
        <v>6110</v>
      </c>
      <c r="C609" t="s">
        <v>6111</v>
      </c>
    </row>
    <row r="610" spans="1:3" x14ac:dyDescent="0.25">
      <c r="A610">
        <v>1019</v>
      </c>
      <c r="B610" t="s">
        <v>6112</v>
      </c>
      <c r="C610" t="s">
        <v>6113</v>
      </c>
    </row>
    <row r="611" spans="1:3" x14ac:dyDescent="0.25">
      <c r="A611">
        <v>1570</v>
      </c>
      <c r="B611" t="s">
        <v>6114</v>
      </c>
      <c r="C611" t="s">
        <v>6115</v>
      </c>
    </row>
    <row r="612" spans="1:3" x14ac:dyDescent="0.25">
      <c r="A612">
        <v>1479</v>
      </c>
      <c r="B612" t="s">
        <v>6116</v>
      </c>
      <c r="C612" t="s">
        <v>6117</v>
      </c>
    </row>
    <row r="613" spans="1:3" x14ac:dyDescent="0.25">
      <c r="A613">
        <v>294</v>
      </c>
      <c r="B613" t="s">
        <v>6118</v>
      </c>
      <c r="C613" t="s">
        <v>6119</v>
      </c>
    </row>
    <row r="614" spans="1:3" x14ac:dyDescent="0.25">
      <c r="A614">
        <v>239</v>
      </c>
      <c r="B614" t="s">
        <v>6120</v>
      </c>
      <c r="C614" t="s">
        <v>6121</v>
      </c>
    </row>
    <row r="615" spans="1:3" x14ac:dyDescent="0.25">
      <c r="A615">
        <v>710</v>
      </c>
      <c r="B615" t="s">
        <v>6122</v>
      </c>
      <c r="C615" t="s">
        <v>6123</v>
      </c>
    </row>
    <row r="616" spans="1:3" x14ac:dyDescent="0.25">
      <c r="A616">
        <v>350</v>
      </c>
      <c r="B616" t="s">
        <v>6124</v>
      </c>
      <c r="C616" t="s">
        <v>6125</v>
      </c>
    </row>
    <row r="617" spans="1:3" x14ac:dyDescent="0.25">
      <c r="A617">
        <v>1640</v>
      </c>
      <c r="B617" t="s">
        <v>6126</v>
      </c>
      <c r="C617" t="s">
        <v>6127</v>
      </c>
    </row>
    <row r="618" spans="1:3" x14ac:dyDescent="0.25">
      <c r="A618">
        <v>1152</v>
      </c>
      <c r="B618" t="s">
        <v>6128</v>
      </c>
      <c r="C618" t="s">
        <v>1057</v>
      </c>
    </row>
    <row r="619" spans="1:3" x14ac:dyDescent="0.25">
      <c r="A619">
        <v>298</v>
      </c>
      <c r="B619" t="s">
        <v>6129</v>
      </c>
      <c r="C619" t="s">
        <v>6130</v>
      </c>
    </row>
    <row r="620" spans="1:3" x14ac:dyDescent="0.25">
      <c r="A620">
        <v>842</v>
      </c>
      <c r="B620" t="s">
        <v>6131</v>
      </c>
      <c r="C620" t="s">
        <v>6132</v>
      </c>
    </row>
    <row r="621" spans="1:3" x14ac:dyDescent="0.25">
      <c r="A621">
        <v>1083</v>
      </c>
      <c r="B621" t="s">
        <v>6133</v>
      </c>
      <c r="C621" t="s">
        <v>6134</v>
      </c>
    </row>
    <row r="622" spans="1:3" x14ac:dyDescent="0.25">
      <c r="A622">
        <v>1076</v>
      </c>
      <c r="B622" t="s">
        <v>6135</v>
      </c>
      <c r="C622" t="s">
        <v>554</v>
      </c>
    </row>
    <row r="623" spans="1:3" x14ac:dyDescent="0.25">
      <c r="A623">
        <v>982</v>
      </c>
      <c r="B623" t="s">
        <v>6136</v>
      </c>
      <c r="C623" t="s">
        <v>1617</v>
      </c>
    </row>
    <row r="624" spans="1:3" x14ac:dyDescent="0.25">
      <c r="A624">
        <v>1311</v>
      </c>
      <c r="B624" t="s">
        <v>6137</v>
      </c>
      <c r="C624" t="s">
        <v>6138</v>
      </c>
    </row>
    <row r="625" spans="1:3" x14ac:dyDescent="0.25">
      <c r="A625">
        <v>429</v>
      </c>
      <c r="B625" t="s">
        <v>6139</v>
      </c>
      <c r="C625" t="s">
        <v>6140</v>
      </c>
    </row>
    <row r="626" spans="1:3" x14ac:dyDescent="0.25">
      <c r="A626">
        <v>1636</v>
      </c>
      <c r="B626" t="s">
        <v>6141</v>
      </c>
      <c r="C626" t="s">
        <v>6142</v>
      </c>
    </row>
    <row r="627" spans="1:3" x14ac:dyDescent="0.25">
      <c r="A627">
        <v>1436</v>
      </c>
      <c r="B627" t="s">
        <v>6143</v>
      </c>
      <c r="C627" t="s">
        <v>6144</v>
      </c>
    </row>
    <row r="628" spans="1:3" x14ac:dyDescent="0.25">
      <c r="A628">
        <v>387</v>
      </c>
      <c r="B628" t="s">
        <v>6145</v>
      </c>
      <c r="C628" t="s">
        <v>6146</v>
      </c>
    </row>
    <row r="629" spans="1:3" x14ac:dyDescent="0.25">
      <c r="A629">
        <v>144</v>
      </c>
      <c r="B629" t="s">
        <v>6147</v>
      </c>
      <c r="C629" t="s">
        <v>2590</v>
      </c>
    </row>
    <row r="630" spans="1:3" x14ac:dyDescent="0.25">
      <c r="A630">
        <v>1345</v>
      </c>
      <c r="B630" t="s">
        <v>6148</v>
      </c>
      <c r="C630" t="s">
        <v>6149</v>
      </c>
    </row>
    <row r="631" spans="1:3" x14ac:dyDescent="0.25">
      <c r="A631">
        <v>58</v>
      </c>
      <c r="B631" t="s">
        <v>6150</v>
      </c>
      <c r="C631" t="s">
        <v>6151</v>
      </c>
    </row>
    <row r="632" spans="1:3" x14ac:dyDescent="0.25">
      <c r="A632">
        <v>630</v>
      </c>
      <c r="B632" t="s">
        <v>6152</v>
      </c>
      <c r="C632" t="s">
        <v>6153</v>
      </c>
    </row>
    <row r="633" spans="1:3" x14ac:dyDescent="0.25">
      <c r="A633">
        <v>491</v>
      </c>
      <c r="B633" t="s">
        <v>6154</v>
      </c>
      <c r="C633" t="s">
        <v>6155</v>
      </c>
    </row>
    <row r="634" spans="1:3" x14ac:dyDescent="0.25">
      <c r="A634">
        <v>98</v>
      </c>
      <c r="B634" t="s">
        <v>6156</v>
      </c>
      <c r="C634" t="s">
        <v>6157</v>
      </c>
    </row>
    <row r="635" spans="1:3" x14ac:dyDescent="0.25">
      <c r="A635">
        <v>336</v>
      </c>
      <c r="B635" t="s">
        <v>6158</v>
      </c>
      <c r="C635" t="s">
        <v>994</v>
      </c>
    </row>
    <row r="636" spans="1:3" x14ac:dyDescent="0.25">
      <c r="A636">
        <v>3</v>
      </c>
      <c r="B636" t="s">
        <v>6159</v>
      </c>
      <c r="C636" t="s">
        <v>6160</v>
      </c>
    </row>
    <row r="637" spans="1:3" x14ac:dyDescent="0.25">
      <c r="A637">
        <v>1119</v>
      </c>
      <c r="B637" t="s">
        <v>6161</v>
      </c>
      <c r="C637" t="s">
        <v>199</v>
      </c>
    </row>
    <row r="638" spans="1:3" x14ac:dyDescent="0.25">
      <c r="A638">
        <v>744</v>
      </c>
      <c r="B638" t="s">
        <v>6162</v>
      </c>
      <c r="C638" t="s">
        <v>383</v>
      </c>
    </row>
    <row r="639" spans="1:3" x14ac:dyDescent="0.25">
      <c r="A639">
        <v>67</v>
      </c>
      <c r="B639" t="s">
        <v>6163</v>
      </c>
      <c r="C639" t="s">
        <v>6164</v>
      </c>
    </row>
    <row r="640" spans="1:3" x14ac:dyDescent="0.25">
      <c r="A640">
        <v>7</v>
      </c>
      <c r="B640" t="s">
        <v>6165</v>
      </c>
      <c r="C640" t="s">
        <v>19</v>
      </c>
    </row>
    <row r="641" spans="1:3" x14ac:dyDescent="0.25">
      <c r="A641">
        <v>361</v>
      </c>
      <c r="B641" t="s">
        <v>6166</v>
      </c>
      <c r="C641" t="s">
        <v>6167</v>
      </c>
    </row>
    <row r="642" spans="1:3" x14ac:dyDescent="0.25">
      <c r="A642">
        <v>953</v>
      </c>
      <c r="B642" t="s">
        <v>6168</v>
      </c>
      <c r="C642" t="s">
        <v>6169</v>
      </c>
    </row>
    <row r="643" spans="1:3" x14ac:dyDescent="0.25">
      <c r="A643">
        <v>1659</v>
      </c>
      <c r="B643" t="s">
        <v>6170</v>
      </c>
      <c r="C643" t="s">
        <v>6171</v>
      </c>
    </row>
    <row r="644" spans="1:3" x14ac:dyDescent="0.25">
      <c r="A644">
        <v>495</v>
      </c>
      <c r="B644" t="s">
        <v>6172</v>
      </c>
      <c r="C644" t="s">
        <v>6173</v>
      </c>
    </row>
    <row r="645" spans="1:3" x14ac:dyDescent="0.25">
      <c r="A645">
        <v>1359</v>
      </c>
      <c r="B645" t="s">
        <v>6174</v>
      </c>
      <c r="C645" t="s">
        <v>6175</v>
      </c>
    </row>
    <row r="646" spans="1:3" x14ac:dyDescent="0.25">
      <c r="A646">
        <v>583</v>
      </c>
      <c r="B646" t="s">
        <v>6176</v>
      </c>
      <c r="C646" t="s">
        <v>6177</v>
      </c>
    </row>
    <row r="647" spans="1:3" x14ac:dyDescent="0.25">
      <c r="A647">
        <v>1664</v>
      </c>
      <c r="B647" t="s">
        <v>6178</v>
      </c>
      <c r="C647" t="s">
        <v>6179</v>
      </c>
    </row>
    <row r="648" spans="1:3" x14ac:dyDescent="0.25">
      <c r="A648">
        <v>1665</v>
      </c>
      <c r="B648" t="s">
        <v>6180</v>
      </c>
      <c r="C648" t="s">
        <v>6181</v>
      </c>
    </row>
    <row r="649" spans="1:3" x14ac:dyDescent="0.25">
      <c r="A649">
        <v>664</v>
      </c>
      <c r="B649" t="s">
        <v>6182</v>
      </c>
      <c r="C649" t="s">
        <v>6183</v>
      </c>
    </row>
    <row r="650" spans="1:3" x14ac:dyDescent="0.25">
      <c r="A650">
        <v>1255</v>
      </c>
      <c r="B650" t="s">
        <v>6184</v>
      </c>
      <c r="C650" t="s">
        <v>6185</v>
      </c>
    </row>
    <row r="651" spans="1:3" x14ac:dyDescent="0.25">
      <c r="A651">
        <v>1249</v>
      </c>
      <c r="B651" t="s">
        <v>6186</v>
      </c>
      <c r="C651" t="s">
        <v>6187</v>
      </c>
    </row>
    <row r="652" spans="1:3" x14ac:dyDescent="0.25">
      <c r="A652">
        <v>1409</v>
      </c>
      <c r="B652" t="s">
        <v>6188</v>
      </c>
      <c r="C652" t="s">
        <v>6189</v>
      </c>
    </row>
    <row r="653" spans="1:3" x14ac:dyDescent="0.25">
      <c r="A653">
        <v>1342</v>
      </c>
      <c r="B653" t="s">
        <v>6190</v>
      </c>
      <c r="C653" t="s">
        <v>6191</v>
      </c>
    </row>
    <row r="654" spans="1:3" x14ac:dyDescent="0.25">
      <c r="A654">
        <v>133</v>
      </c>
      <c r="B654" t="s">
        <v>6192</v>
      </c>
      <c r="C654" t="s">
        <v>148</v>
      </c>
    </row>
    <row r="655" spans="1:3" x14ac:dyDescent="0.25">
      <c r="A655">
        <v>960</v>
      </c>
      <c r="B655" t="s">
        <v>6193</v>
      </c>
      <c r="C655" t="s">
        <v>6194</v>
      </c>
    </row>
    <row r="656" spans="1:3" x14ac:dyDescent="0.25">
      <c r="A656">
        <v>1101</v>
      </c>
      <c r="B656" t="s">
        <v>6195</v>
      </c>
      <c r="C656" t="s">
        <v>6196</v>
      </c>
    </row>
    <row r="657" spans="1:3" x14ac:dyDescent="0.25">
      <c r="A657">
        <v>249</v>
      </c>
      <c r="B657" t="s">
        <v>6197</v>
      </c>
      <c r="C657" t="s">
        <v>6198</v>
      </c>
    </row>
    <row r="658" spans="1:3" x14ac:dyDescent="0.25">
      <c r="A658">
        <v>1556</v>
      </c>
      <c r="B658" t="s">
        <v>6199</v>
      </c>
      <c r="C658" t="s">
        <v>6200</v>
      </c>
    </row>
    <row r="659" spans="1:3" x14ac:dyDescent="0.25">
      <c r="A659">
        <v>726</v>
      </c>
      <c r="B659" t="s">
        <v>6201</v>
      </c>
      <c r="C659" t="s">
        <v>6202</v>
      </c>
    </row>
    <row r="660" spans="1:3" x14ac:dyDescent="0.25">
      <c r="A660">
        <v>273</v>
      </c>
      <c r="B660" t="s">
        <v>6203</v>
      </c>
      <c r="C660" t="s">
        <v>6204</v>
      </c>
    </row>
    <row r="661" spans="1:3" x14ac:dyDescent="0.25">
      <c r="A661">
        <v>685</v>
      </c>
      <c r="B661" t="s">
        <v>6205</v>
      </c>
      <c r="C661" t="s">
        <v>6206</v>
      </c>
    </row>
    <row r="662" spans="1:3" x14ac:dyDescent="0.25">
      <c r="A662">
        <v>675</v>
      </c>
      <c r="B662" t="s">
        <v>6207</v>
      </c>
      <c r="C662" t="s">
        <v>6208</v>
      </c>
    </row>
    <row r="663" spans="1:3" x14ac:dyDescent="0.25">
      <c r="A663">
        <v>1284</v>
      </c>
      <c r="B663" t="s">
        <v>6209</v>
      </c>
      <c r="C663" t="s">
        <v>4281</v>
      </c>
    </row>
    <row r="664" spans="1:3" x14ac:dyDescent="0.25">
      <c r="A664">
        <v>498</v>
      </c>
      <c r="B664" t="s">
        <v>6210</v>
      </c>
      <c r="C664" t="s">
        <v>6211</v>
      </c>
    </row>
    <row r="665" spans="1:3" x14ac:dyDescent="0.25">
      <c r="A665">
        <v>566</v>
      </c>
      <c r="B665" t="s">
        <v>6212</v>
      </c>
      <c r="C665" t="s">
        <v>6213</v>
      </c>
    </row>
    <row r="666" spans="1:3" x14ac:dyDescent="0.25">
      <c r="A666">
        <v>66</v>
      </c>
      <c r="B666" t="s">
        <v>6214</v>
      </c>
      <c r="C666" t="s">
        <v>6215</v>
      </c>
    </row>
    <row r="667" spans="1:3" x14ac:dyDescent="0.25">
      <c r="A667">
        <v>780</v>
      </c>
      <c r="B667" t="s">
        <v>6216</v>
      </c>
      <c r="C667" t="s">
        <v>6217</v>
      </c>
    </row>
    <row r="668" spans="1:3" x14ac:dyDescent="0.25">
      <c r="A668">
        <v>1236</v>
      </c>
      <c r="B668" t="s">
        <v>6218</v>
      </c>
      <c r="C668" t="s">
        <v>2773</v>
      </c>
    </row>
    <row r="669" spans="1:3" x14ac:dyDescent="0.25">
      <c r="A669">
        <v>837</v>
      </c>
      <c r="B669" t="s">
        <v>6219</v>
      </c>
      <c r="C669" t="s">
        <v>6220</v>
      </c>
    </row>
    <row r="670" spans="1:3" x14ac:dyDescent="0.25">
      <c r="A670">
        <v>1365</v>
      </c>
      <c r="B670" t="s">
        <v>6221</v>
      </c>
      <c r="C670" t="s">
        <v>6222</v>
      </c>
    </row>
    <row r="671" spans="1:3" x14ac:dyDescent="0.25">
      <c r="A671">
        <v>402</v>
      </c>
      <c r="B671" t="s">
        <v>6223</v>
      </c>
      <c r="C671" t="s">
        <v>6224</v>
      </c>
    </row>
    <row r="672" spans="1:3" x14ac:dyDescent="0.25">
      <c r="A672">
        <v>1401</v>
      </c>
      <c r="B672" t="s">
        <v>6225</v>
      </c>
      <c r="C672" t="s">
        <v>6226</v>
      </c>
    </row>
    <row r="673" spans="1:3" x14ac:dyDescent="0.25">
      <c r="A673">
        <v>163</v>
      </c>
      <c r="B673" t="s">
        <v>6227</v>
      </c>
      <c r="C673" t="s">
        <v>4121</v>
      </c>
    </row>
    <row r="674" spans="1:3" x14ac:dyDescent="0.25">
      <c r="A674">
        <v>446</v>
      </c>
      <c r="B674" t="s">
        <v>6228</v>
      </c>
      <c r="C674" t="s">
        <v>6229</v>
      </c>
    </row>
    <row r="675" spans="1:3" x14ac:dyDescent="0.25">
      <c r="A675">
        <v>121</v>
      </c>
      <c r="B675" t="s">
        <v>6230</v>
      </c>
      <c r="C675" t="s">
        <v>6231</v>
      </c>
    </row>
    <row r="676" spans="1:3" x14ac:dyDescent="0.25">
      <c r="A676">
        <v>742</v>
      </c>
      <c r="B676" t="s">
        <v>6232</v>
      </c>
      <c r="C676" t="s">
        <v>6233</v>
      </c>
    </row>
    <row r="677" spans="1:3" x14ac:dyDescent="0.25">
      <c r="A677">
        <v>1237</v>
      </c>
      <c r="B677" t="s">
        <v>6234</v>
      </c>
      <c r="C677" t="s">
        <v>6235</v>
      </c>
    </row>
    <row r="678" spans="1:3" x14ac:dyDescent="0.25">
      <c r="A678">
        <v>1015</v>
      </c>
      <c r="B678" t="s">
        <v>6236</v>
      </c>
      <c r="C678" t="s">
        <v>6237</v>
      </c>
    </row>
    <row r="679" spans="1:3" x14ac:dyDescent="0.25">
      <c r="A679">
        <v>1396</v>
      </c>
      <c r="B679" t="s">
        <v>6238</v>
      </c>
      <c r="C679" t="s">
        <v>6239</v>
      </c>
    </row>
    <row r="680" spans="1:3" x14ac:dyDescent="0.25">
      <c r="A680">
        <v>366</v>
      </c>
      <c r="B680" t="s">
        <v>6240</v>
      </c>
      <c r="C680" t="s">
        <v>6241</v>
      </c>
    </row>
    <row r="681" spans="1:3" x14ac:dyDescent="0.25">
      <c r="A681">
        <v>11</v>
      </c>
      <c r="B681" t="s">
        <v>6242</v>
      </c>
      <c r="C681" t="s">
        <v>6243</v>
      </c>
    </row>
    <row r="682" spans="1:3" x14ac:dyDescent="0.25">
      <c r="A682">
        <v>1316</v>
      </c>
      <c r="B682" t="s">
        <v>6244</v>
      </c>
      <c r="C682" t="s">
        <v>6245</v>
      </c>
    </row>
    <row r="683" spans="1:3" x14ac:dyDescent="0.25">
      <c r="A683">
        <v>1335</v>
      </c>
      <c r="B683" t="s">
        <v>6246</v>
      </c>
      <c r="C683" t="s">
        <v>4152</v>
      </c>
    </row>
    <row r="684" spans="1:3" x14ac:dyDescent="0.25">
      <c r="A684">
        <v>473</v>
      </c>
      <c r="B684" t="s">
        <v>6247</v>
      </c>
      <c r="C684" t="s">
        <v>6248</v>
      </c>
    </row>
    <row r="685" spans="1:3" x14ac:dyDescent="0.25">
      <c r="A685">
        <v>618</v>
      </c>
      <c r="B685" t="s">
        <v>6249</v>
      </c>
      <c r="C685" t="s">
        <v>6250</v>
      </c>
    </row>
    <row r="686" spans="1:3" x14ac:dyDescent="0.25">
      <c r="A686">
        <v>687</v>
      </c>
      <c r="B686" t="s">
        <v>6251</v>
      </c>
      <c r="C686" t="s">
        <v>6252</v>
      </c>
    </row>
    <row r="687" spans="1:3" x14ac:dyDescent="0.25">
      <c r="A687">
        <v>407</v>
      </c>
      <c r="B687" t="s">
        <v>6253</v>
      </c>
      <c r="C687" t="s">
        <v>6254</v>
      </c>
    </row>
    <row r="688" spans="1:3" x14ac:dyDescent="0.25">
      <c r="A688">
        <v>1704</v>
      </c>
      <c r="B688" t="s">
        <v>6255</v>
      </c>
      <c r="C688" t="s">
        <v>6256</v>
      </c>
    </row>
    <row r="689" spans="1:3" x14ac:dyDescent="0.25">
      <c r="A689">
        <v>808</v>
      </c>
      <c r="B689" t="s">
        <v>6257</v>
      </c>
      <c r="C689" t="s">
        <v>6258</v>
      </c>
    </row>
    <row r="690" spans="1:3" x14ac:dyDescent="0.25">
      <c r="A690">
        <v>482</v>
      </c>
      <c r="B690" t="s">
        <v>6259</v>
      </c>
      <c r="C690" t="s">
        <v>6260</v>
      </c>
    </row>
    <row r="691" spans="1:3" x14ac:dyDescent="0.25">
      <c r="A691">
        <v>57</v>
      </c>
      <c r="B691" t="s">
        <v>6261</v>
      </c>
      <c r="C691" t="s">
        <v>6262</v>
      </c>
    </row>
    <row r="692" spans="1:3" x14ac:dyDescent="0.25">
      <c r="A692">
        <v>1210</v>
      </c>
      <c r="B692" t="s">
        <v>6263</v>
      </c>
      <c r="C692" t="s">
        <v>6264</v>
      </c>
    </row>
    <row r="693" spans="1:3" x14ac:dyDescent="0.25">
      <c r="A693">
        <v>272</v>
      </c>
      <c r="B693" t="s">
        <v>6265</v>
      </c>
      <c r="C693" t="s">
        <v>6266</v>
      </c>
    </row>
    <row r="694" spans="1:3" x14ac:dyDescent="0.25">
      <c r="A694">
        <v>634</v>
      </c>
      <c r="B694" t="s">
        <v>6267</v>
      </c>
      <c r="C694" t="s">
        <v>6268</v>
      </c>
    </row>
    <row r="695" spans="1:3" x14ac:dyDescent="0.25">
      <c r="A695">
        <v>870</v>
      </c>
      <c r="B695" t="s">
        <v>6269</v>
      </c>
      <c r="C695" t="s">
        <v>6270</v>
      </c>
    </row>
    <row r="696" spans="1:3" x14ac:dyDescent="0.25">
      <c r="A696">
        <v>511</v>
      </c>
      <c r="B696" t="s">
        <v>6271</v>
      </c>
      <c r="C696" t="s">
        <v>6272</v>
      </c>
    </row>
    <row r="697" spans="1:3" x14ac:dyDescent="0.25">
      <c r="A697">
        <v>414</v>
      </c>
      <c r="B697" t="s">
        <v>6273</v>
      </c>
      <c r="C697" t="s">
        <v>6274</v>
      </c>
    </row>
    <row r="698" spans="1:3" x14ac:dyDescent="0.25">
      <c r="A698">
        <v>1499</v>
      </c>
      <c r="B698" t="s">
        <v>6275</v>
      </c>
      <c r="C698" t="s">
        <v>6276</v>
      </c>
    </row>
    <row r="699" spans="1:3" x14ac:dyDescent="0.25">
      <c r="A699">
        <v>105</v>
      </c>
      <c r="B699" t="s">
        <v>6277</v>
      </c>
      <c r="C699" t="s">
        <v>6278</v>
      </c>
    </row>
    <row r="700" spans="1:3" x14ac:dyDescent="0.25">
      <c r="A700">
        <v>594</v>
      </c>
      <c r="B700" t="s">
        <v>6279</v>
      </c>
      <c r="C700" t="s">
        <v>6280</v>
      </c>
    </row>
    <row r="701" spans="1:3" x14ac:dyDescent="0.25">
      <c r="A701">
        <v>270</v>
      </c>
      <c r="B701" t="s">
        <v>6281</v>
      </c>
      <c r="C701" t="s">
        <v>6282</v>
      </c>
    </row>
    <row r="702" spans="1:3" x14ac:dyDescent="0.25">
      <c r="A702">
        <v>1360</v>
      </c>
      <c r="B702" t="s">
        <v>6283</v>
      </c>
      <c r="C702" t="s">
        <v>6284</v>
      </c>
    </row>
    <row r="703" spans="1:3" x14ac:dyDescent="0.25">
      <c r="A703">
        <v>235</v>
      </c>
      <c r="B703" t="s">
        <v>6285</v>
      </c>
      <c r="C703" t="s">
        <v>6286</v>
      </c>
    </row>
    <row r="704" spans="1:3" x14ac:dyDescent="0.25">
      <c r="A704">
        <v>907</v>
      </c>
      <c r="B704" t="s">
        <v>6287</v>
      </c>
      <c r="C704" t="s">
        <v>6288</v>
      </c>
    </row>
    <row r="705" spans="1:3" x14ac:dyDescent="0.25">
      <c r="A705">
        <v>107</v>
      </c>
      <c r="B705" t="s">
        <v>6289</v>
      </c>
      <c r="C705" t="s">
        <v>6290</v>
      </c>
    </row>
    <row r="706" spans="1:3" x14ac:dyDescent="0.25">
      <c r="A706">
        <v>924</v>
      </c>
      <c r="B706" t="s">
        <v>6291</v>
      </c>
      <c r="C706" t="s">
        <v>6292</v>
      </c>
    </row>
    <row r="707" spans="1:3" x14ac:dyDescent="0.25">
      <c r="A707">
        <v>1164</v>
      </c>
      <c r="B707" t="s">
        <v>6293</v>
      </c>
      <c r="C707" t="s">
        <v>53</v>
      </c>
    </row>
    <row r="708" spans="1:3" x14ac:dyDescent="0.25">
      <c r="A708">
        <v>962</v>
      </c>
      <c r="B708" t="s">
        <v>6294</v>
      </c>
      <c r="C708" t="s">
        <v>6295</v>
      </c>
    </row>
    <row r="709" spans="1:3" x14ac:dyDescent="0.25">
      <c r="A709">
        <v>248</v>
      </c>
      <c r="B709" t="s">
        <v>6296</v>
      </c>
      <c r="C709" t="s">
        <v>6297</v>
      </c>
    </row>
    <row r="710" spans="1:3" x14ac:dyDescent="0.25">
      <c r="A710">
        <v>380</v>
      </c>
      <c r="B710" t="s">
        <v>6298</v>
      </c>
      <c r="C710" t="s">
        <v>6299</v>
      </c>
    </row>
    <row r="711" spans="1:3" x14ac:dyDescent="0.25">
      <c r="A711">
        <v>1653</v>
      </c>
      <c r="B711" t="s">
        <v>6300</v>
      </c>
      <c r="C711" t="s">
        <v>6301</v>
      </c>
    </row>
    <row r="712" spans="1:3" x14ac:dyDescent="0.25">
      <c r="A712">
        <v>582</v>
      </c>
      <c r="B712" t="s">
        <v>6302</v>
      </c>
      <c r="C712" t="s">
        <v>6303</v>
      </c>
    </row>
    <row r="713" spans="1:3" x14ac:dyDescent="0.25">
      <c r="A713">
        <v>1375</v>
      </c>
      <c r="B713" t="s">
        <v>6304</v>
      </c>
      <c r="C713" t="s">
        <v>6305</v>
      </c>
    </row>
    <row r="714" spans="1:3" x14ac:dyDescent="0.25">
      <c r="A714">
        <v>87</v>
      </c>
      <c r="B714" t="s">
        <v>6306</v>
      </c>
      <c r="C714" t="s">
        <v>6307</v>
      </c>
    </row>
    <row r="715" spans="1:3" x14ac:dyDescent="0.25">
      <c r="A715">
        <v>1147</v>
      </c>
      <c r="B715" t="s">
        <v>6308</v>
      </c>
      <c r="C715" t="s">
        <v>389</v>
      </c>
    </row>
    <row r="716" spans="1:3" x14ac:dyDescent="0.25">
      <c r="A716">
        <v>564</v>
      </c>
      <c r="B716" t="s">
        <v>6309</v>
      </c>
      <c r="C716" t="s">
        <v>2175</v>
      </c>
    </row>
    <row r="717" spans="1:3" x14ac:dyDescent="0.25">
      <c r="A717">
        <v>214</v>
      </c>
      <c r="B717" t="s">
        <v>6310</v>
      </c>
      <c r="C717" t="s">
        <v>6311</v>
      </c>
    </row>
    <row r="718" spans="1:3" x14ac:dyDescent="0.25">
      <c r="A718">
        <v>713</v>
      </c>
      <c r="B718" t="s">
        <v>6312</v>
      </c>
      <c r="C718" t="s">
        <v>6313</v>
      </c>
    </row>
    <row r="719" spans="1:3" x14ac:dyDescent="0.25">
      <c r="A719">
        <v>1149</v>
      </c>
      <c r="B719" t="s">
        <v>6314</v>
      </c>
      <c r="C719" t="s">
        <v>2333</v>
      </c>
    </row>
    <row r="720" spans="1:3" x14ac:dyDescent="0.25">
      <c r="A720">
        <v>484</v>
      </c>
      <c r="B720" t="s">
        <v>6315</v>
      </c>
      <c r="C720" t="s">
        <v>6316</v>
      </c>
    </row>
    <row r="721" spans="1:3" x14ac:dyDescent="0.25">
      <c r="A721">
        <v>862</v>
      </c>
      <c r="B721" t="s">
        <v>6317</v>
      </c>
      <c r="C721" t="s">
        <v>6318</v>
      </c>
    </row>
    <row r="722" spans="1:3" x14ac:dyDescent="0.25">
      <c r="A722">
        <v>1694</v>
      </c>
      <c r="B722" t="s">
        <v>6319</v>
      </c>
      <c r="C722" t="s">
        <v>6320</v>
      </c>
    </row>
    <row r="723" spans="1:3" x14ac:dyDescent="0.25">
      <c r="A723">
        <v>752</v>
      </c>
      <c r="B723" t="s">
        <v>6321</v>
      </c>
      <c r="C723" t="s">
        <v>6322</v>
      </c>
    </row>
    <row r="724" spans="1:3" x14ac:dyDescent="0.25">
      <c r="A724">
        <v>1647</v>
      </c>
      <c r="B724" t="s">
        <v>6323</v>
      </c>
      <c r="C724" t="s">
        <v>6324</v>
      </c>
    </row>
    <row r="725" spans="1:3" x14ac:dyDescent="0.25">
      <c r="A725">
        <v>654</v>
      </c>
      <c r="B725" t="s">
        <v>6325</v>
      </c>
      <c r="C725" t="s">
        <v>6326</v>
      </c>
    </row>
    <row r="726" spans="1:3" x14ac:dyDescent="0.25">
      <c r="A726">
        <v>1300</v>
      </c>
      <c r="B726" t="s">
        <v>6327</v>
      </c>
      <c r="C726" t="s">
        <v>6328</v>
      </c>
    </row>
    <row r="727" spans="1:3" x14ac:dyDescent="0.25">
      <c r="A727">
        <v>1511</v>
      </c>
      <c r="B727" t="s">
        <v>6327</v>
      </c>
      <c r="C727" t="s">
        <v>6328</v>
      </c>
    </row>
    <row r="728" spans="1:3" x14ac:dyDescent="0.25">
      <c r="A728">
        <v>814</v>
      </c>
      <c r="B728" t="s">
        <v>6329</v>
      </c>
      <c r="C728" t="s">
        <v>6330</v>
      </c>
    </row>
    <row r="729" spans="1:3" x14ac:dyDescent="0.25">
      <c r="A729">
        <v>399</v>
      </c>
      <c r="B729" t="s">
        <v>6331</v>
      </c>
      <c r="C729" t="s">
        <v>6332</v>
      </c>
    </row>
    <row r="730" spans="1:3" x14ac:dyDescent="0.25">
      <c r="A730">
        <v>1329</v>
      </c>
      <c r="B730" t="s">
        <v>6333</v>
      </c>
      <c r="C730" t="s">
        <v>6334</v>
      </c>
    </row>
    <row r="731" spans="1:3" x14ac:dyDescent="0.25">
      <c r="A731">
        <v>609</v>
      </c>
      <c r="B731" t="s">
        <v>6335</v>
      </c>
      <c r="C731" t="s">
        <v>6336</v>
      </c>
    </row>
    <row r="732" spans="1:3" x14ac:dyDescent="0.25">
      <c r="A732">
        <v>522</v>
      </c>
      <c r="B732" t="s">
        <v>6337</v>
      </c>
      <c r="C732" t="s">
        <v>6338</v>
      </c>
    </row>
    <row r="733" spans="1:3" x14ac:dyDescent="0.25">
      <c r="A733">
        <v>747</v>
      </c>
      <c r="B733" t="s">
        <v>6339</v>
      </c>
      <c r="C733" t="s">
        <v>6340</v>
      </c>
    </row>
    <row r="734" spans="1:3" x14ac:dyDescent="0.25">
      <c r="A734">
        <v>505</v>
      </c>
      <c r="B734" t="s">
        <v>6341</v>
      </c>
      <c r="C734" t="s">
        <v>6342</v>
      </c>
    </row>
    <row r="735" spans="1:3" x14ac:dyDescent="0.25">
      <c r="A735">
        <v>1040</v>
      </c>
      <c r="B735" t="s">
        <v>6343</v>
      </c>
      <c r="C735" t="s">
        <v>4479</v>
      </c>
    </row>
    <row r="736" spans="1:3" x14ac:dyDescent="0.25">
      <c r="A736">
        <v>471</v>
      </c>
      <c r="B736" t="s">
        <v>6344</v>
      </c>
      <c r="C736" t="s">
        <v>6345</v>
      </c>
    </row>
    <row r="737" spans="1:3" x14ac:dyDescent="0.25">
      <c r="A737">
        <v>1372</v>
      </c>
      <c r="B737" t="s">
        <v>6346</v>
      </c>
      <c r="C737" t="s">
        <v>6347</v>
      </c>
    </row>
    <row r="738" spans="1:3" x14ac:dyDescent="0.25">
      <c r="A738">
        <v>257</v>
      </c>
      <c r="B738" t="s">
        <v>6348</v>
      </c>
      <c r="C738" t="s">
        <v>6349</v>
      </c>
    </row>
    <row r="739" spans="1:3" x14ac:dyDescent="0.25">
      <c r="A739">
        <v>218</v>
      </c>
      <c r="B739" t="s">
        <v>6350</v>
      </c>
      <c r="C739" t="s">
        <v>6351</v>
      </c>
    </row>
    <row r="740" spans="1:3" x14ac:dyDescent="0.25">
      <c r="A740">
        <v>1414</v>
      </c>
      <c r="B740" t="s">
        <v>6352</v>
      </c>
      <c r="C740" t="s">
        <v>6353</v>
      </c>
    </row>
    <row r="741" spans="1:3" x14ac:dyDescent="0.25">
      <c r="A741">
        <v>1711</v>
      </c>
      <c r="B741" t="s">
        <v>6354</v>
      </c>
      <c r="C741" t="s">
        <v>6355</v>
      </c>
    </row>
    <row r="742" spans="1:3" x14ac:dyDescent="0.25">
      <c r="A742">
        <v>1446</v>
      </c>
      <c r="B742" t="s">
        <v>6356</v>
      </c>
      <c r="C742" t="s">
        <v>6357</v>
      </c>
    </row>
    <row r="743" spans="1:3" x14ac:dyDescent="0.25">
      <c r="A743">
        <v>1438</v>
      </c>
      <c r="B743" t="s">
        <v>6358</v>
      </c>
      <c r="C743" t="s">
        <v>6359</v>
      </c>
    </row>
    <row r="744" spans="1:3" x14ac:dyDescent="0.25">
      <c r="A744">
        <v>1193</v>
      </c>
      <c r="B744" t="s">
        <v>6360</v>
      </c>
      <c r="C744" t="s">
        <v>255</v>
      </c>
    </row>
    <row r="745" spans="1:3" x14ac:dyDescent="0.25">
      <c r="A745">
        <v>790</v>
      </c>
      <c r="B745" t="s">
        <v>6361</v>
      </c>
      <c r="C745" t="s">
        <v>2586</v>
      </c>
    </row>
    <row r="746" spans="1:3" x14ac:dyDescent="0.25">
      <c r="A746">
        <v>1222</v>
      </c>
      <c r="B746" t="s">
        <v>6362</v>
      </c>
      <c r="C746" t="s">
        <v>2380</v>
      </c>
    </row>
    <row r="747" spans="1:3" x14ac:dyDescent="0.25">
      <c r="A747">
        <v>604</v>
      </c>
      <c r="B747" t="s">
        <v>6363</v>
      </c>
      <c r="C747" t="s">
        <v>6364</v>
      </c>
    </row>
    <row r="748" spans="1:3" x14ac:dyDescent="0.25">
      <c r="A748">
        <v>185</v>
      </c>
      <c r="B748" t="s">
        <v>6365</v>
      </c>
      <c r="C748" t="s">
        <v>6366</v>
      </c>
    </row>
    <row r="749" spans="1:3" x14ac:dyDescent="0.25">
      <c r="A749">
        <v>266</v>
      </c>
      <c r="B749" t="s">
        <v>6367</v>
      </c>
      <c r="C749" t="s">
        <v>6368</v>
      </c>
    </row>
    <row r="750" spans="1:3" x14ac:dyDescent="0.25">
      <c r="A750">
        <v>251</v>
      </c>
      <c r="B750" t="s">
        <v>6369</v>
      </c>
      <c r="C750" t="s">
        <v>6370</v>
      </c>
    </row>
    <row r="751" spans="1:3" x14ac:dyDescent="0.25">
      <c r="A751">
        <v>142</v>
      </c>
      <c r="B751" t="s">
        <v>6371</v>
      </c>
      <c r="C751" t="s">
        <v>6372</v>
      </c>
    </row>
    <row r="752" spans="1:3" x14ac:dyDescent="0.25">
      <c r="A752">
        <v>306</v>
      </c>
      <c r="B752" t="s">
        <v>6373</v>
      </c>
      <c r="C752" t="s">
        <v>6374</v>
      </c>
    </row>
    <row r="753" spans="1:3" x14ac:dyDescent="0.25">
      <c r="A753">
        <v>694</v>
      </c>
      <c r="B753" t="s">
        <v>6375</v>
      </c>
      <c r="C753" t="s">
        <v>6376</v>
      </c>
    </row>
    <row r="754" spans="1:3" x14ac:dyDescent="0.25">
      <c r="A754">
        <v>472</v>
      </c>
      <c r="B754" t="s">
        <v>6377</v>
      </c>
      <c r="C754" t="s">
        <v>6378</v>
      </c>
    </row>
    <row r="755" spans="1:3" x14ac:dyDescent="0.25">
      <c r="A755">
        <v>443</v>
      </c>
      <c r="B755" t="s">
        <v>6379</v>
      </c>
      <c r="C755" t="s">
        <v>6380</v>
      </c>
    </row>
    <row r="756" spans="1:3" x14ac:dyDescent="0.25">
      <c r="A756">
        <v>580</v>
      </c>
      <c r="B756" t="s">
        <v>6381</v>
      </c>
      <c r="C756" t="s">
        <v>6382</v>
      </c>
    </row>
    <row r="757" spans="1:3" x14ac:dyDescent="0.25">
      <c r="A757">
        <v>1502</v>
      </c>
      <c r="B757" t="s">
        <v>6383</v>
      </c>
      <c r="C757" t="s">
        <v>6384</v>
      </c>
    </row>
    <row r="758" spans="1:3" x14ac:dyDescent="0.25">
      <c r="A758">
        <v>797</v>
      </c>
      <c r="B758" t="s">
        <v>6385</v>
      </c>
      <c r="C758" t="s">
        <v>6386</v>
      </c>
    </row>
    <row r="759" spans="1:3" x14ac:dyDescent="0.25">
      <c r="A759">
        <v>122</v>
      </c>
      <c r="B759" t="s">
        <v>6387</v>
      </c>
      <c r="C759" t="s">
        <v>2588</v>
      </c>
    </row>
    <row r="760" spans="1:3" x14ac:dyDescent="0.25">
      <c r="A760">
        <v>76</v>
      </c>
      <c r="B760" t="s">
        <v>6388</v>
      </c>
      <c r="C760" t="s">
        <v>6389</v>
      </c>
    </row>
    <row r="761" spans="1:3" x14ac:dyDescent="0.25">
      <c r="A761">
        <v>1362</v>
      </c>
      <c r="B761" t="s">
        <v>6390</v>
      </c>
      <c r="C761" t="s">
        <v>6391</v>
      </c>
    </row>
    <row r="762" spans="1:3" x14ac:dyDescent="0.25">
      <c r="A762">
        <v>861</v>
      </c>
      <c r="B762" t="s">
        <v>6392</v>
      </c>
      <c r="C762" t="s">
        <v>6393</v>
      </c>
    </row>
    <row r="763" spans="1:3" x14ac:dyDescent="0.25">
      <c r="A763">
        <v>746</v>
      </c>
      <c r="B763" t="s">
        <v>6394</v>
      </c>
      <c r="C763" t="s">
        <v>6395</v>
      </c>
    </row>
    <row r="764" spans="1:3" x14ac:dyDescent="0.25">
      <c r="A764">
        <v>24</v>
      </c>
      <c r="B764" t="s">
        <v>6396</v>
      </c>
      <c r="C764" t="s">
        <v>6397</v>
      </c>
    </row>
    <row r="765" spans="1:3" x14ac:dyDescent="0.25">
      <c r="A765">
        <v>1128</v>
      </c>
      <c r="B765" t="s">
        <v>6398</v>
      </c>
      <c r="C765" t="s">
        <v>126</v>
      </c>
    </row>
    <row r="766" spans="1:3" x14ac:dyDescent="0.25">
      <c r="A766">
        <v>1141</v>
      </c>
      <c r="B766" t="s">
        <v>6399</v>
      </c>
      <c r="C766" t="s">
        <v>858</v>
      </c>
    </row>
    <row r="767" spans="1:3" x14ac:dyDescent="0.25">
      <c r="A767">
        <v>241</v>
      </c>
      <c r="B767" t="s">
        <v>6400</v>
      </c>
      <c r="C767" t="s">
        <v>291</v>
      </c>
    </row>
    <row r="768" spans="1:3" x14ac:dyDescent="0.25">
      <c r="A768">
        <v>448</v>
      </c>
      <c r="B768" t="s">
        <v>6401</v>
      </c>
      <c r="C768" t="s">
        <v>6402</v>
      </c>
    </row>
    <row r="769" spans="1:3" x14ac:dyDescent="0.25">
      <c r="A769">
        <v>1184</v>
      </c>
      <c r="B769" t="s">
        <v>6403</v>
      </c>
      <c r="C769" t="s">
        <v>394</v>
      </c>
    </row>
    <row r="770" spans="1:3" x14ac:dyDescent="0.25">
      <c r="A770">
        <v>137</v>
      </c>
      <c r="B770" t="s">
        <v>6404</v>
      </c>
      <c r="C770" t="s">
        <v>6405</v>
      </c>
    </row>
    <row r="771" spans="1:3" x14ac:dyDescent="0.25">
      <c r="A771">
        <v>926</v>
      </c>
      <c r="B771" t="s">
        <v>6406</v>
      </c>
      <c r="C771" t="s">
        <v>6407</v>
      </c>
    </row>
    <row r="772" spans="1:3" x14ac:dyDescent="0.25">
      <c r="A772">
        <v>173</v>
      </c>
      <c r="B772" t="s">
        <v>6408</v>
      </c>
      <c r="C772" t="s">
        <v>6409</v>
      </c>
    </row>
    <row r="773" spans="1:3" x14ac:dyDescent="0.25">
      <c r="A773">
        <v>1418</v>
      </c>
      <c r="B773" t="s">
        <v>6410</v>
      </c>
      <c r="C773" t="s">
        <v>6411</v>
      </c>
    </row>
    <row r="774" spans="1:3" x14ac:dyDescent="0.25">
      <c r="A774">
        <v>561</v>
      </c>
      <c r="B774" t="s">
        <v>6412</v>
      </c>
      <c r="C774" t="s">
        <v>6413</v>
      </c>
    </row>
    <row r="775" spans="1:3" x14ac:dyDescent="0.25">
      <c r="A775">
        <v>720</v>
      </c>
      <c r="B775" t="s">
        <v>6414</v>
      </c>
      <c r="C775" t="s">
        <v>6415</v>
      </c>
    </row>
    <row r="776" spans="1:3" x14ac:dyDescent="0.25">
      <c r="A776">
        <v>421</v>
      </c>
      <c r="B776" t="s">
        <v>6416</v>
      </c>
      <c r="C776" t="s">
        <v>6417</v>
      </c>
    </row>
    <row r="777" spans="1:3" x14ac:dyDescent="0.25">
      <c r="A777">
        <v>151</v>
      </c>
      <c r="B777" t="s">
        <v>6418</v>
      </c>
      <c r="C777" t="s">
        <v>6419</v>
      </c>
    </row>
    <row r="778" spans="1:3" x14ac:dyDescent="0.25">
      <c r="A778">
        <v>1223</v>
      </c>
      <c r="B778" t="s">
        <v>6420</v>
      </c>
      <c r="C778" t="s">
        <v>6421</v>
      </c>
    </row>
    <row r="779" spans="1:3" x14ac:dyDescent="0.25">
      <c r="A779">
        <v>875</v>
      </c>
      <c r="B779" t="s">
        <v>6422</v>
      </c>
      <c r="C779" t="s">
        <v>6423</v>
      </c>
    </row>
    <row r="780" spans="1:3" x14ac:dyDescent="0.25">
      <c r="A780">
        <v>662</v>
      </c>
      <c r="B780" t="s">
        <v>6424</v>
      </c>
      <c r="C780" t="s">
        <v>6425</v>
      </c>
    </row>
    <row r="781" spans="1:3" x14ac:dyDescent="0.25">
      <c r="A781">
        <v>751</v>
      </c>
      <c r="B781" t="s">
        <v>6426</v>
      </c>
      <c r="C781" t="s">
        <v>6427</v>
      </c>
    </row>
    <row r="782" spans="1:3" x14ac:dyDescent="0.25">
      <c r="A782">
        <v>562</v>
      </c>
      <c r="B782" t="s">
        <v>6428</v>
      </c>
      <c r="C782" t="s">
        <v>6429</v>
      </c>
    </row>
    <row r="783" spans="1:3" x14ac:dyDescent="0.25">
      <c r="A783">
        <v>1340</v>
      </c>
      <c r="B783" t="s">
        <v>6430</v>
      </c>
      <c r="C783" t="s">
        <v>6431</v>
      </c>
    </row>
    <row r="784" spans="1:3" x14ac:dyDescent="0.25">
      <c r="A784">
        <v>597</v>
      </c>
      <c r="B784" t="s">
        <v>6432</v>
      </c>
      <c r="C784" t="s">
        <v>6433</v>
      </c>
    </row>
    <row r="785" spans="1:3" x14ac:dyDescent="0.25">
      <c r="A785">
        <v>822</v>
      </c>
      <c r="B785" t="s">
        <v>6434</v>
      </c>
      <c r="C785" t="s">
        <v>6435</v>
      </c>
    </row>
    <row r="786" spans="1:3" x14ac:dyDescent="0.25">
      <c r="A786">
        <v>1204</v>
      </c>
      <c r="B786" t="s">
        <v>6436</v>
      </c>
      <c r="C786" t="s">
        <v>6437</v>
      </c>
    </row>
    <row r="787" spans="1:3" x14ac:dyDescent="0.25">
      <c r="A787">
        <v>1304</v>
      </c>
      <c r="B787" t="s">
        <v>6438</v>
      </c>
      <c r="C787" t="s">
        <v>6439</v>
      </c>
    </row>
    <row r="788" spans="1:3" x14ac:dyDescent="0.25">
      <c r="A788">
        <v>1202</v>
      </c>
      <c r="B788" t="s">
        <v>6440</v>
      </c>
      <c r="C788" t="s">
        <v>6441</v>
      </c>
    </row>
    <row r="789" spans="1:3" x14ac:dyDescent="0.25">
      <c r="A789">
        <v>1261</v>
      </c>
      <c r="B789" t="s">
        <v>6442</v>
      </c>
      <c r="C789" t="s">
        <v>6443</v>
      </c>
    </row>
    <row r="790" spans="1:3" x14ac:dyDescent="0.25">
      <c r="A790">
        <v>704</v>
      </c>
      <c r="B790" t="s">
        <v>6444</v>
      </c>
      <c r="C790" t="s">
        <v>6445</v>
      </c>
    </row>
    <row r="791" spans="1:3" x14ac:dyDescent="0.25">
      <c r="A791">
        <v>547</v>
      </c>
      <c r="B791" t="s">
        <v>6446</v>
      </c>
      <c r="C791" t="s">
        <v>6447</v>
      </c>
    </row>
    <row r="792" spans="1:3" x14ac:dyDescent="0.25">
      <c r="A792">
        <v>349</v>
      </c>
      <c r="B792" t="s">
        <v>6448</v>
      </c>
      <c r="C792" t="s">
        <v>6449</v>
      </c>
    </row>
    <row r="793" spans="1:3" x14ac:dyDescent="0.25">
      <c r="A793">
        <v>1422</v>
      </c>
      <c r="B793" t="s">
        <v>6450</v>
      </c>
      <c r="C793" t="s">
        <v>6451</v>
      </c>
    </row>
    <row r="794" spans="1:3" x14ac:dyDescent="0.25">
      <c r="A794">
        <v>265</v>
      </c>
      <c r="B794" t="s">
        <v>6452</v>
      </c>
      <c r="C794" t="s">
        <v>6453</v>
      </c>
    </row>
    <row r="795" spans="1:3" x14ac:dyDescent="0.25">
      <c r="A795">
        <v>89</v>
      </c>
      <c r="B795" t="s">
        <v>6454</v>
      </c>
      <c r="C795" t="s">
        <v>158</v>
      </c>
    </row>
    <row r="796" spans="1:3" x14ac:dyDescent="0.25">
      <c r="A796">
        <v>917</v>
      </c>
      <c r="B796" t="s">
        <v>6455</v>
      </c>
      <c r="C796" t="s">
        <v>6456</v>
      </c>
    </row>
    <row r="797" spans="1:3" x14ac:dyDescent="0.25">
      <c r="A797">
        <v>1248</v>
      </c>
      <c r="B797" t="s">
        <v>6457</v>
      </c>
      <c r="C797" t="s">
        <v>6458</v>
      </c>
    </row>
    <row r="798" spans="1:3" x14ac:dyDescent="0.25">
      <c r="A798">
        <v>1198</v>
      </c>
      <c r="B798" t="s">
        <v>6459</v>
      </c>
      <c r="C798" t="s">
        <v>6460</v>
      </c>
    </row>
    <row r="799" spans="1:3" x14ac:dyDescent="0.25">
      <c r="A799">
        <v>275</v>
      </c>
      <c r="B799" t="s">
        <v>6461</v>
      </c>
      <c r="C799" t="s">
        <v>6462</v>
      </c>
    </row>
    <row r="800" spans="1:3" x14ac:dyDescent="0.25">
      <c r="A800">
        <v>854</v>
      </c>
      <c r="B800" t="s">
        <v>6463</v>
      </c>
      <c r="C800" t="s">
        <v>6464</v>
      </c>
    </row>
    <row r="801" spans="1:3" x14ac:dyDescent="0.25">
      <c r="A801">
        <v>1489</v>
      </c>
      <c r="B801" t="s">
        <v>6465</v>
      </c>
      <c r="C801" t="s">
        <v>6466</v>
      </c>
    </row>
    <row r="802" spans="1:3" x14ac:dyDescent="0.25">
      <c r="A802">
        <v>1208</v>
      </c>
      <c r="B802" t="s">
        <v>6467</v>
      </c>
      <c r="C802" t="s">
        <v>6468</v>
      </c>
    </row>
    <row r="803" spans="1:3" x14ac:dyDescent="0.25">
      <c r="A803">
        <v>1079</v>
      </c>
      <c r="B803" t="s">
        <v>6469</v>
      </c>
      <c r="C803" t="s">
        <v>105</v>
      </c>
    </row>
    <row r="804" spans="1:3" x14ac:dyDescent="0.25">
      <c r="A804">
        <v>709</v>
      </c>
      <c r="B804" t="s">
        <v>6470</v>
      </c>
      <c r="C804" t="s">
        <v>6471</v>
      </c>
    </row>
    <row r="805" spans="1:3" x14ac:dyDescent="0.25">
      <c r="A805">
        <v>1633</v>
      </c>
      <c r="B805" t="s">
        <v>6472</v>
      </c>
      <c r="C805" t="s">
        <v>6473</v>
      </c>
    </row>
    <row r="806" spans="1:3" x14ac:dyDescent="0.25">
      <c r="A806">
        <v>207</v>
      </c>
      <c r="B806" t="s">
        <v>6474</v>
      </c>
      <c r="C806" t="s">
        <v>6475</v>
      </c>
    </row>
    <row r="807" spans="1:3" x14ac:dyDescent="0.25">
      <c r="A807">
        <v>1503</v>
      </c>
      <c r="B807" t="s">
        <v>6476</v>
      </c>
      <c r="C807" t="s">
        <v>6477</v>
      </c>
    </row>
    <row r="808" spans="1:3" x14ac:dyDescent="0.25">
      <c r="A808">
        <v>1221</v>
      </c>
      <c r="B808" t="s">
        <v>6478</v>
      </c>
      <c r="C808" t="s">
        <v>2353</v>
      </c>
    </row>
    <row r="809" spans="1:3" x14ac:dyDescent="0.25">
      <c r="A809">
        <v>1437</v>
      </c>
      <c r="B809" t="s">
        <v>6479</v>
      </c>
      <c r="C809" t="s">
        <v>6480</v>
      </c>
    </row>
    <row r="810" spans="1:3" x14ac:dyDescent="0.25">
      <c r="A810">
        <v>1656</v>
      </c>
      <c r="B810" t="s">
        <v>6481</v>
      </c>
      <c r="C810" t="s">
        <v>6482</v>
      </c>
    </row>
    <row r="811" spans="1:3" x14ac:dyDescent="0.25">
      <c r="A811">
        <v>191</v>
      </c>
      <c r="B811" t="s">
        <v>6483</v>
      </c>
      <c r="C811" t="s">
        <v>1228</v>
      </c>
    </row>
    <row r="812" spans="1:3" x14ac:dyDescent="0.25">
      <c r="A812">
        <v>1506</v>
      </c>
      <c r="B812" t="s">
        <v>6484</v>
      </c>
      <c r="C812" t="s">
        <v>6485</v>
      </c>
    </row>
    <row r="813" spans="1:3" x14ac:dyDescent="0.25">
      <c r="A813">
        <v>91</v>
      </c>
      <c r="B813" t="s">
        <v>6486</v>
      </c>
      <c r="C813" t="s">
        <v>903</v>
      </c>
    </row>
    <row r="814" spans="1:3" x14ac:dyDescent="0.25">
      <c r="A814">
        <v>652</v>
      </c>
      <c r="B814" t="s">
        <v>6487</v>
      </c>
      <c r="C814" t="s">
        <v>6488</v>
      </c>
    </row>
    <row r="815" spans="1:3" x14ac:dyDescent="0.25">
      <c r="A815">
        <v>1666</v>
      </c>
      <c r="B815" t="s">
        <v>6489</v>
      </c>
      <c r="C815" t="s">
        <v>6490</v>
      </c>
    </row>
    <row r="816" spans="1:3" x14ac:dyDescent="0.25">
      <c r="A816">
        <v>1462</v>
      </c>
      <c r="B816" t="s">
        <v>6491</v>
      </c>
      <c r="C816" t="s">
        <v>6492</v>
      </c>
    </row>
    <row r="817" spans="1:3" x14ac:dyDescent="0.25">
      <c r="A817">
        <v>517</v>
      </c>
      <c r="B817" t="s">
        <v>6493</v>
      </c>
      <c r="C817" t="s">
        <v>6494</v>
      </c>
    </row>
    <row r="818" spans="1:3" x14ac:dyDescent="0.25">
      <c r="A818">
        <v>427</v>
      </c>
      <c r="B818" t="s">
        <v>6495</v>
      </c>
      <c r="C818" t="s">
        <v>6496</v>
      </c>
    </row>
    <row r="819" spans="1:3" x14ac:dyDescent="0.25">
      <c r="A819">
        <v>545</v>
      </c>
      <c r="B819" t="s">
        <v>6497</v>
      </c>
      <c r="C819" t="s">
        <v>6498</v>
      </c>
    </row>
    <row r="820" spans="1:3" x14ac:dyDescent="0.25">
      <c r="A820">
        <v>798</v>
      </c>
      <c r="B820" t="s">
        <v>6499</v>
      </c>
      <c r="C820" t="s">
        <v>186</v>
      </c>
    </row>
    <row r="821" spans="1:3" x14ac:dyDescent="0.25">
      <c r="A821">
        <v>1350</v>
      </c>
      <c r="B821" t="s">
        <v>6500</v>
      </c>
      <c r="C821" t="s">
        <v>6501</v>
      </c>
    </row>
    <row r="822" spans="1:3" x14ac:dyDescent="0.25">
      <c r="A822">
        <v>638</v>
      </c>
      <c r="B822" t="s">
        <v>6502</v>
      </c>
      <c r="C822" t="s">
        <v>6503</v>
      </c>
    </row>
    <row r="823" spans="1:3" x14ac:dyDescent="0.25">
      <c r="A823">
        <v>529</v>
      </c>
      <c r="B823" t="s">
        <v>6504</v>
      </c>
      <c r="C823" t="s">
        <v>6505</v>
      </c>
    </row>
    <row r="824" spans="1:3" x14ac:dyDescent="0.25">
      <c r="A824">
        <v>1652</v>
      </c>
      <c r="B824" t="s">
        <v>6506</v>
      </c>
      <c r="C824" t="s">
        <v>6507</v>
      </c>
    </row>
    <row r="825" spans="1:3" x14ac:dyDescent="0.25">
      <c r="A825">
        <v>981</v>
      </c>
      <c r="B825" t="s">
        <v>6508</v>
      </c>
      <c r="C825" t="s">
        <v>6509</v>
      </c>
    </row>
    <row r="826" spans="1:3" x14ac:dyDescent="0.25">
      <c r="A826">
        <v>474</v>
      </c>
      <c r="B826" t="s">
        <v>6510</v>
      </c>
      <c r="C826" t="s">
        <v>6511</v>
      </c>
    </row>
    <row r="827" spans="1:3" x14ac:dyDescent="0.25">
      <c r="A827">
        <v>1667</v>
      </c>
      <c r="B827" t="s">
        <v>6512</v>
      </c>
      <c r="C827" t="s">
        <v>6513</v>
      </c>
    </row>
    <row r="828" spans="1:3" x14ac:dyDescent="0.25">
      <c r="A828">
        <v>885</v>
      </c>
      <c r="B828" t="s">
        <v>6514</v>
      </c>
      <c r="C828" t="s">
        <v>6515</v>
      </c>
    </row>
    <row r="829" spans="1:3" x14ac:dyDescent="0.25">
      <c r="A829">
        <v>1493</v>
      </c>
      <c r="B829" t="s">
        <v>6516</v>
      </c>
      <c r="C829" t="s">
        <v>6517</v>
      </c>
    </row>
    <row r="830" spans="1:3" x14ac:dyDescent="0.25">
      <c r="A830">
        <v>1163</v>
      </c>
      <c r="B830" t="s">
        <v>6518</v>
      </c>
      <c r="C830" t="s">
        <v>1127</v>
      </c>
    </row>
    <row r="831" spans="1:3" x14ac:dyDescent="0.25">
      <c r="A831">
        <v>614</v>
      </c>
      <c r="B831" t="s">
        <v>6519</v>
      </c>
      <c r="C831" t="s">
        <v>6520</v>
      </c>
    </row>
    <row r="832" spans="1:3" x14ac:dyDescent="0.25">
      <c r="A832">
        <v>941</v>
      </c>
      <c r="B832" t="s">
        <v>6521</v>
      </c>
      <c r="C832" t="s">
        <v>6522</v>
      </c>
    </row>
    <row r="833" spans="1:3" x14ac:dyDescent="0.25">
      <c r="A833">
        <v>1127</v>
      </c>
      <c r="B833" t="s">
        <v>6523</v>
      </c>
      <c r="C833" t="s">
        <v>348</v>
      </c>
    </row>
    <row r="834" spans="1:3" x14ac:dyDescent="0.25">
      <c r="A834">
        <v>829</v>
      </c>
      <c r="B834" t="s">
        <v>6524</v>
      </c>
      <c r="C834" t="s">
        <v>6525</v>
      </c>
    </row>
    <row r="835" spans="1:3" x14ac:dyDescent="0.25">
      <c r="A835">
        <v>970</v>
      </c>
      <c r="B835" t="s">
        <v>6526</v>
      </c>
      <c r="C835" t="s">
        <v>6527</v>
      </c>
    </row>
    <row r="836" spans="1:3" x14ac:dyDescent="0.25">
      <c r="A836">
        <v>1012</v>
      </c>
      <c r="B836" t="s">
        <v>6528</v>
      </c>
      <c r="C836" t="s">
        <v>2931</v>
      </c>
    </row>
    <row r="837" spans="1:3" x14ac:dyDescent="0.25">
      <c r="A837">
        <v>641</v>
      </c>
      <c r="B837" t="s">
        <v>6529</v>
      </c>
      <c r="C837" t="s">
        <v>6530</v>
      </c>
    </row>
    <row r="838" spans="1:3" x14ac:dyDescent="0.25">
      <c r="A838">
        <v>1137</v>
      </c>
      <c r="B838" t="s">
        <v>6531</v>
      </c>
      <c r="C838" t="s">
        <v>458</v>
      </c>
    </row>
    <row r="839" spans="1:3" x14ac:dyDescent="0.25">
      <c r="A839">
        <v>418</v>
      </c>
      <c r="B839" t="s">
        <v>6532</v>
      </c>
      <c r="C839" t="s">
        <v>6533</v>
      </c>
    </row>
    <row r="840" spans="1:3" x14ac:dyDescent="0.25">
      <c r="A840">
        <v>764</v>
      </c>
      <c r="B840" t="s">
        <v>6534</v>
      </c>
      <c r="C840" t="s">
        <v>6535</v>
      </c>
    </row>
    <row r="841" spans="1:3" x14ac:dyDescent="0.25">
      <c r="A841">
        <v>36</v>
      </c>
      <c r="B841" t="s">
        <v>6536</v>
      </c>
      <c r="C841" t="s">
        <v>6537</v>
      </c>
    </row>
    <row r="842" spans="1:3" x14ac:dyDescent="0.25">
      <c r="A842">
        <v>1624</v>
      </c>
      <c r="B842" t="s">
        <v>6538</v>
      </c>
      <c r="C842" t="s">
        <v>6539</v>
      </c>
    </row>
    <row r="843" spans="1:3" x14ac:dyDescent="0.25">
      <c r="A843">
        <v>338</v>
      </c>
      <c r="B843" t="s">
        <v>6540</v>
      </c>
      <c r="C843" t="s">
        <v>997</v>
      </c>
    </row>
    <row r="844" spans="1:3" x14ac:dyDescent="0.25">
      <c r="A844">
        <v>330</v>
      </c>
      <c r="B844" t="s">
        <v>6541</v>
      </c>
      <c r="C844" t="s">
        <v>6542</v>
      </c>
    </row>
    <row r="845" spans="1:3" x14ac:dyDescent="0.25">
      <c r="A845">
        <v>1154</v>
      </c>
      <c r="B845" t="s">
        <v>6543</v>
      </c>
      <c r="C845" t="s">
        <v>3928</v>
      </c>
    </row>
    <row r="846" spans="1:3" x14ac:dyDescent="0.25">
      <c r="A846">
        <v>153</v>
      </c>
      <c r="B846" t="s">
        <v>6544</v>
      </c>
      <c r="C846" t="s">
        <v>4235</v>
      </c>
    </row>
    <row r="847" spans="1:3" x14ac:dyDescent="0.25">
      <c r="A847">
        <v>462</v>
      </c>
      <c r="B847" t="s">
        <v>6545</v>
      </c>
      <c r="C847" t="s">
        <v>6546</v>
      </c>
    </row>
    <row r="848" spans="1:3" x14ac:dyDescent="0.25">
      <c r="A848">
        <v>1338</v>
      </c>
      <c r="B848" t="s">
        <v>6547</v>
      </c>
      <c r="C848" t="s">
        <v>6548</v>
      </c>
    </row>
    <row r="849" spans="1:3" x14ac:dyDescent="0.25">
      <c r="A849">
        <v>1713</v>
      </c>
      <c r="B849" t="s">
        <v>6549</v>
      </c>
      <c r="C849" t="s">
        <v>6550</v>
      </c>
    </row>
    <row r="850" spans="1:3" x14ac:dyDescent="0.25">
      <c r="A850">
        <v>690</v>
      </c>
      <c r="B850" t="s">
        <v>6551</v>
      </c>
      <c r="C850" t="s">
        <v>6552</v>
      </c>
    </row>
    <row r="851" spans="1:3" x14ac:dyDescent="0.25">
      <c r="A851">
        <v>544</v>
      </c>
      <c r="B851" t="s">
        <v>6553</v>
      </c>
      <c r="C851" t="s">
        <v>6554</v>
      </c>
    </row>
    <row r="852" spans="1:3" x14ac:dyDescent="0.25">
      <c r="A852">
        <v>1045</v>
      </c>
      <c r="B852" t="s">
        <v>6555</v>
      </c>
      <c r="C852" t="s">
        <v>212</v>
      </c>
    </row>
    <row r="853" spans="1:3" x14ac:dyDescent="0.25">
      <c r="A853">
        <v>1645</v>
      </c>
      <c r="B853" t="s">
        <v>6556</v>
      </c>
      <c r="C853" t="s">
        <v>6557</v>
      </c>
    </row>
    <row r="854" spans="1:3" x14ac:dyDescent="0.25">
      <c r="A854">
        <v>669</v>
      </c>
      <c r="B854" t="s">
        <v>6558</v>
      </c>
      <c r="C854" t="s">
        <v>6559</v>
      </c>
    </row>
    <row r="855" spans="1:3" x14ac:dyDescent="0.25">
      <c r="A855">
        <v>234</v>
      </c>
      <c r="B855" t="s">
        <v>6560</v>
      </c>
      <c r="C855" t="s">
        <v>6561</v>
      </c>
    </row>
    <row r="856" spans="1:3" x14ac:dyDescent="0.25">
      <c r="A856">
        <v>1431</v>
      </c>
      <c r="B856" t="s">
        <v>6562</v>
      </c>
      <c r="C856" t="s">
        <v>6563</v>
      </c>
    </row>
    <row r="857" spans="1:3" x14ac:dyDescent="0.25">
      <c r="A857">
        <v>354</v>
      </c>
      <c r="B857" t="s">
        <v>6564</v>
      </c>
      <c r="C857" t="s">
        <v>6565</v>
      </c>
    </row>
    <row r="858" spans="1:3" x14ac:dyDescent="0.25">
      <c r="A858">
        <v>243</v>
      </c>
      <c r="B858" t="s">
        <v>6566</v>
      </c>
      <c r="C858" t="s">
        <v>6567</v>
      </c>
    </row>
    <row r="859" spans="1:3" x14ac:dyDescent="0.25">
      <c r="A859">
        <v>1063</v>
      </c>
      <c r="B859" t="s">
        <v>6568</v>
      </c>
      <c r="C859" t="s">
        <v>3983</v>
      </c>
    </row>
    <row r="860" spans="1:3" x14ac:dyDescent="0.25">
      <c r="A860">
        <v>267</v>
      </c>
      <c r="B860" t="s">
        <v>6569</v>
      </c>
      <c r="C860" t="s">
        <v>6570</v>
      </c>
    </row>
    <row r="861" spans="1:3" x14ac:dyDescent="0.25">
      <c r="A861">
        <v>1115</v>
      </c>
      <c r="B861" t="s">
        <v>6571</v>
      </c>
      <c r="C861" t="s">
        <v>1013</v>
      </c>
    </row>
    <row r="862" spans="1:3" x14ac:dyDescent="0.25">
      <c r="A862">
        <v>619</v>
      </c>
      <c r="B862" t="s">
        <v>6572</v>
      </c>
      <c r="C862" t="s">
        <v>6573</v>
      </c>
    </row>
    <row r="863" spans="1:3" x14ac:dyDescent="0.25">
      <c r="A863">
        <v>1266</v>
      </c>
      <c r="B863" t="s">
        <v>6574</v>
      </c>
      <c r="C863" t="s">
        <v>6575</v>
      </c>
    </row>
    <row r="864" spans="1:3" x14ac:dyDescent="0.25">
      <c r="A864">
        <v>1124</v>
      </c>
      <c r="B864" t="s">
        <v>6576</v>
      </c>
      <c r="C864" t="s">
        <v>6577</v>
      </c>
    </row>
    <row r="865" spans="1:3" x14ac:dyDescent="0.25">
      <c r="A865">
        <v>892</v>
      </c>
      <c r="B865" t="s">
        <v>6578</v>
      </c>
      <c r="C865" t="s">
        <v>6579</v>
      </c>
    </row>
    <row r="866" spans="1:3" x14ac:dyDescent="0.25">
      <c r="A866">
        <v>457</v>
      </c>
      <c r="B866" t="s">
        <v>6580</v>
      </c>
      <c r="C866" t="s">
        <v>6581</v>
      </c>
    </row>
    <row r="867" spans="1:3" x14ac:dyDescent="0.25">
      <c r="A867">
        <v>9</v>
      </c>
      <c r="B867" t="s">
        <v>6582</v>
      </c>
      <c r="C867" t="s">
        <v>6583</v>
      </c>
    </row>
    <row r="868" spans="1:3" x14ac:dyDescent="0.25">
      <c r="A868">
        <v>1242</v>
      </c>
      <c r="B868" t="s">
        <v>6584</v>
      </c>
      <c r="C868" t="s">
        <v>6585</v>
      </c>
    </row>
    <row r="869" spans="1:3" x14ac:dyDescent="0.25">
      <c r="A869">
        <v>832</v>
      </c>
      <c r="B869" t="s">
        <v>6586</v>
      </c>
      <c r="C869" t="s">
        <v>6587</v>
      </c>
    </row>
    <row r="870" spans="1:3" x14ac:dyDescent="0.25">
      <c r="A870">
        <v>1516</v>
      </c>
      <c r="B870" t="s">
        <v>6588</v>
      </c>
      <c r="C870" t="s">
        <v>6589</v>
      </c>
    </row>
    <row r="871" spans="1:3" x14ac:dyDescent="0.25">
      <c r="A871">
        <v>1219</v>
      </c>
      <c r="B871" t="s">
        <v>6590</v>
      </c>
      <c r="C871" t="s">
        <v>2201</v>
      </c>
    </row>
    <row r="872" spans="1:3" x14ac:dyDescent="0.25">
      <c r="A872">
        <v>468</v>
      </c>
      <c r="B872" t="s">
        <v>6591</v>
      </c>
      <c r="C872" t="s">
        <v>6592</v>
      </c>
    </row>
    <row r="873" spans="1:3" x14ac:dyDescent="0.25">
      <c r="A873">
        <v>1466</v>
      </c>
      <c r="B873" t="s">
        <v>6593</v>
      </c>
      <c r="C873" t="s">
        <v>6594</v>
      </c>
    </row>
    <row r="874" spans="1:3" x14ac:dyDescent="0.25">
      <c r="A874">
        <v>624</v>
      </c>
      <c r="B874" t="s">
        <v>6595</v>
      </c>
      <c r="C874" t="s">
        <v>6596</v>
      </c>
    </row>
    <row r="875" spans="1:3" x14ac:dyDescent="0.25">
      <c r="A875">
        <v>1043</v>
      </c>
      <c r="B875" t="s">
        <v>6597</v>
      </c>
      <c r="C875" t="s">
        <v>6598</v>
      </c>
    </row>
    <row r="876" spans="1:3" x14ac:dyDescent="0.25">
      <c r="A876">
        <v>524</v>
      </c>
      <c r="B876" t="s">
        <v>6599</v>
      </c>
      <c r="C876" t="s">
        <v>6600</v>
      </c>
    </row>
    <row r="877" spans="1:3" x14ac:dyDescent="0.25">
      <c r="A877">
        <v>305</v>
      </c>
      <c r="B877" t="s">
        <v>6601</v>
      </c>
      <c r="C877" t="s">
        <v>6602</v>
      </c>
    </row>
    <row r="878" spans="1:3" x14ac:dyDescent="0.25">
      <c r="A878">
        <v>692</v>
      </c>
      <c r="B878" t="s">
        <v>6603</v>
      </c>
      <c r="C878" t="s">
        <v>6604</v>
      </c>
    </row>
    <row r="879" spans="1:3" x14ac:dyDescent="0.25">
      <c r="A879">
        <v>274</v>
      </c>
      <c r="B879" t="s">
        <v>6605</v>
      </c>
      <c r="C879" t="s">
        <v>6606</v>
      </c>
    </row>
    <row r="880" spans="1:3" x14ac:dyDescent="0.25">
      <c r="A880">
        <v>553</v>
      </c>
      <c r="B880" t="s">
        <v>6607</v>
      </c>
      <c r="C880" t="s">
        <v>6608</v>
      </c>
    </row>
    <row r="881" spans="1:3" x14ac:dyDescent="0.25">
      <c r="A881">
        <v>1279</v>
      </c>
      <c r="B881" t="s">
        <v>6609</v>
      </c>
      <c r="C881" t="s">
        <v>6610</v>
      </c>
    </row>
    <row r="882" spans="1:3" x14ac:dyDescent="0.25">
      <c r="A882">
        <v>750</v>
      </c>
      <c r="B882" t="s">
        <v>6611</v>
      </c>
      <c r="C882" t="s">
        <v>6612</v>
      </c>
    </row>
    <row r="883" spans="1:3" x14ac:dyDescent="0.25">
      <c r="A883">
        <v>551</v>
      </c>
      <c r="B883" t="s">
        <v>6613</v>
      </c>
      <c r="C883" t="s">
        <v>6614</v>
      </c>
    </row>
    <row r="884" spans="1:3" x14ac:dyDescent="0.25">
      <c r="A884">
        <v>702</v>
      </c>
      <c r="B884" t="s">
        <v>6615</v>
      </c>
      <c r="C884" t="s">
        <v>6616</v>
      </c>
    </row>
    <row r="885" spans="1:3" x14ac:dyDescent="0.25">
      <c r="A885">
        <v>403</v>
      </c>
      <c r="B885" t="s">
        <v>6617</v>
      </c>
      <c r="C885" t="s">
        <v>6618</v>
      </c>
    </row>
    <row r="886" spans="1:3" x14ac:dyDescent="0.25">
      <c r="A886">
        <v>995</v>
      </c>
      <c r="B886" t="s">
        <v>6619</v>
      </c>
      <c r="C886" t="s">
        <v>6620</v>
      </c>
    </row>
    <row r="887" spans="1:3" x14ac:dyDescent="0.25">
      <c r="A887">
        <v>975</v>
      </c>
      <c r="B887" t="s">
        <v>6621</v>
      </c>
      <c r="C887" t="s">
        <v>717</v>
      </c>
    </row>
    <row r="888" spans="1:3" x14ac:dyDescent="0.25">
      <c r="A888">
        <v>1421</v>
      </c>
      <c r="B888" t="s">
        <v>6622</v>
      </c>
      <c r="C888" t="s">
        <v>6623</v>
      </c>
    </row>
    <row r="889" spans="1:3" x14ac:dyDescent="0.25">
      <c r="A889">
        <v>158</v>
      </c>
      <c r="B889" t="s">
        <v>6624</v>
      </c>
      <c r="C889" t="s">
        <v>1435</v>
      </c>
    </row>
    <row r="890" spans="1:3" x14ac:dyDescent="0.25">
      <c r="A890">
        <v>492</v>
      </c>
      <c r="B890" t="s">
        <v>6625</v>
      </c>
      <c r="C890" t="s">
        <v>6626</v>
      </c>
    </row>
    <row r="891" spans="1:3" x14ac:dyDescent="0.25">
      <c r="A891">
        <v>542</v>
      </c>
      <c r="B891" t="s">
        <v>6627</v>
      </c>
      <c r="C891" t="s">
        <v>6628</v>
      </c>
    </row>
    <row r="892" spans="1:3" x14ac:dyDescent="0.25">
      <c r="A892">
        <v>1003</v>
      </c>
      <c r="B892" t="s">
        <v>6629</v>
      </c>
      <c r="C892" t="s">
        <v>1017</v>
      </c>
    </row>
    <row r="893" spans="1:3" x14ac:dyDescent="0.25">
      <c r="A893">
        <v>1490</v>
      </c>
      <c r="B893" t="s">
        <v>6630</v>
      </c>
      <c r="C893" t="s">
        <v>6631</v>
      </c>
    </row>
    <row r="894" spans="1:3" x14ac:dyDescent="0.25">
      <c r="A894">
        <v>732</v>
      </c>
      <c r="B894" t="s">
        <v>6632</v>
      </c>
      <c r="C894" t="s">
        <v>6633</v>
      </c>
    </row>
    <row r="895" spans="1:3" x14ac:dyDescent="0.25">
      <c r="A895">
        <v>1383</v>
      </c>
      <c r="B895" t="s">
        <v>6634</v>
      </c>
      <c r="C895" t="s">
        <v>6635</v>
      </c>
    </row>
    <row r="896" spans="1:3" x14ac:dyDescent="0.25">
      <c r="A896">
        <v>645</v>
      </c>
      <c r="B896" t="s">
        <v>6636</v>
      </c>
      <c r="C896" t="s">
        <v>6637</v>
      </c>
    </row>
    <row r="897" spans="1:3" x14ac:dyDescent="0.25">
      <c r="A897">
        <v>466</v>
      </c>
      <c r="B897" t="s">
        <v>6638</v>
      </c>
      <c r="C897" t="s">
        <v>6639</v>
      </c>
    </row>
    <row r="898" spans="1:3" x14ac:dyDescent="0.25">
      <c r="A898">
        <v>647</v>
      </c>
      <c r="B898" t="s">
        <v>6640</v>
      </c>
      <c r="C898" t="s">
        <v>6641</v>
      </c>
    </row>
    <row r="899" spans="1:3" x14ac:dyDescent="0.25">
      <c r="A899">
        <v>635</v>
      </c>
      <c r="B899" t="s">
        <v>6642</v>
      </c>
      <c r="C899" t="s">
        <v>6643</v>
      </c>
    </row>
    <row r="900" spans="1:3" x14ac:dyDescent="0.25">
      <c r="A900">
        <v>1405</v>
      </c>
      <c r="B900" t="s">
        <v>6644</v>
      </c>
      <c r="C900" t="s">
        <v>6645</v>
      </c>
    </row>
    <row r="901" spans="1:3" x14ac:dyDescent="0.25">
      <c r="A901">
        <v>1014</v>
      </c>
      <c r="B901" t="s">
        <v>6646</v>
      </c>
      <c r="C901" t="s">
        <v>17</v>
      </c>
    </row>
    <row r="902" spans="1:3" x14ac:dyDescent="0.25">
      <c r="A902">
        <v>1059</v>
      </c>
      <c r="B902" t="s">
        <v>6647</v>
      </c>
      <c r="C902" t="s">
        <v>6648</v>
      </c>
    </row>
    <row r="903" spans="1:3" x14ac:dyDescent="0.25">
      <c r="A903">
        <v>1715</v>
      </c>
      <c r="B903" t="s">
        <v>6649</v>
      </c>
      <c r="C903" t="s">
        <v>6650</v>
      </c>
    </row>
    <row r="904" spans="1:3" x14ac:dyDescent="0.25">
      <c r="A904">
        <v>483</v>
      </c>
      <c r="B904" t="s">
        <v>6651</v>
      </c>
      <c r="C904" t="s">
        <v>34</v>
      </c>
    </row>
    <row r="905" spans="1:3" x14ac:dyDescent="0.25">
      <c r="A905">
        <v>1565</v>
      </c>
      <c r="B905" t="s">
        <v>6652</v>
      </c>
      <c r="C905" t="s">
        <v>6653</v>
      </c>
    </row>
    <row r="906" spans="1:3" x14ac:dyDescent="0.25">
      <c r="A906">
        <v>1424</v>
      </c>
      <c r="B906" t="s">
        <v>6654</v>
      </c>
      <c r="C906" t="s">
        <v>6655</v>
      </c>
    </row>
    <row r="907" spans="1:3" x14ac:dyDescent="0.25">
      <c r="A907">
        <v>1337</v>
      </c>
      <c r="B907" t="s">
        <v>6656</v>
      </c>
      <c r="C907" t="s">
        <v>6657</v>
      </c>
    </row>
    <row r="908" spans="1:3" x14ac:dyDescent="0.25">
      <c r="A908">
        <v>1103</v>
      </c>
      <c r="B908" t="s">
        <v>6658</v>
      </c>
      <c r="C908" t="s">
        <v>6659</v>
      </c>
    </row>
    <row r="909" spans="1:3" x14ac:dyDescent="0.25">
      <c r="A909">
        <v>912</v>
      </c>
      <c r="B909" t="s">
        <v>6660</v>
      </c>
      <c r="C909" t="s">
        <v>6661</v>
      </c>
    </row>
    <row r="910" spans="1:3" x14ac:dyDescent="0.25">
      <c r="A910">
        <v>784</v>
      </c>
      <c r="B910" t="s">
        <v>6662</v>
      </c>
      <c r="C910" t="s">
        <v>6663</v>
      </c>
    </row>
    <row r="911" spans="1:3" x14ac:dyDescent="0.25">
      <c r="A911">
        <v>745</v>
      </c>
      <c r="B911" t="s">
        <v>6664</v>
      </c>
      <c r="C911" t="s">
        <v>6665</v>
      </c>
    </row>
    <row r="912" spans="1:3" x14ac:dyDescent="0.25">
      <c r="A912">
        <v>217</v>
      </c>
      <c r="B912" t="s">
        <v>6666</v>
      </c>
      <c r="C912" t="s">
        <v>6667</v>
      </c>
    </row>
    <row r="913" spans="1:3" x14ac:dyDescent="0.25">
      <c r="A913">
        <v>1637</v>
      </c>
      <c r="B913" t="s">
        <v>6668</v>
      </c>
      <c r="C913" t="s">
        <v>6669</v>
      </c>
    </row>
    <row r="914" spans="1:3" x14ac:dyDescent="0.25">
      <c r="A914">
        <v>1346</v>
      </c>
      <c r="B914" t="s">
        <v>6670</v>
      </c>
      <c r="C914" t="s">
        <v>6671</v>
      </c>
    </row>
    <row r="915" spans="1:3" x14ac:dyDescent="0.25">
      <c r="A915">
        <v>1114</v>
      </c>
      <c r="B915" t="s">
        <v>6672</v>
      </c>
      <c r="C915" t="s">
        <v>6673</v>
      </c>
    </row>
    <row r="916" spans="1:3" x14ac:dyDescent="0.25">
      <c r="A916">
        <v>488</v>
      </c>
      <c r="B916" t="s">
        <v>6674</v>
      </c>
      <c r="C916" t="s">
        <v>6675</v>
      </c>
    </row>
    <row r="917" spans="1:3" x14ac:dyDescent="0.25">
      <c r="A917">
        <v>408</v>
      </c>
      <c r="B917" t="s">
        <v>6676</v>
      </c>
      <c r="C917" t="s">
        <v>6677</v>
      </c>
    </row>
    <row r="918" spans="1:3" x14ac:dyDescent="0.25">
      <c r="A918">
        <v>415</v>
      </c>
      <c r="B918" t="s">
        <v>6678</v>
      </c>
      <c r="C918" t="s">
        <v>6679</v>
      </c>
    </row>
    <row r="919" spans="1:3" x14ac:dyDescent="0.25">
      <c r="A919">
        <v>649</v>
      </c>
      <c r="B919" t="s">
        <v>6680</v>
      </c>
      <c r="C919" t="s">
        <v>6681</v>
      </c>
    </row>
    <row r="920" spans="1:3" x14ac:dyDescent="0.25">
      <c r="A920">
        <v>127</v>
      </c>
      <c r="B920" t="s">
        <v>6682</v>
      </c>
      <c r="C920" t="s">
        <v>6683</v>
      </c>
    </row>
    <row r="921" spans="1:3" x14ac:dyDescent="0.25">
      <c r="A921">
        <v>733</v>
      </c>
      <c r="B921" t="s">
        <v>6684</v>
      </c>
      <c r="C921" t="s">
        <v>6685</v>
      </c>
    </row>
    <row r="922" spans="1:3" x14ac:dyDescent="0.25">
      <c r="A922">
        <v>252</v>
      </c>
      <c r="B922" t="s">
        <v>6686</v>
      </c>
      <c r="C922" t="s">
        <v>6687</v>
      </c>
    </row>
    <row r="923" spans="1:3" x14ac:dyDescent="0.25">
      <c r="A923">
        <v>39</v>
      </c>
      <c r="B923" t="s">
        <v>6688</v>
      </c>
      <c r="C923" t="s">
        <v>6689</v>
      </c>
    </row>
    <row r="924" spans="1:3" x14ac:dyDescent="0.25">
      <c r="A924">
        <v>1700</v>
      </c>
      <c r="B924" t="s">
        <v>6690</v>
      </c>
      <c r="C924" t="s">
        <v>6691</v>
      </c>
    </row>
    <row r="925" spans="1:3" x14ac:dyDescent="0.25">
      <c r="A925">
        <v>785</v>
      </c>
      <c r="B925" t="s">
        <v>6692</v>
      </c>
      <c r="C925" t="s">
        <v>1084</v>
      </c>
    </row>
    <row r="926" spans="1:3" x14ac:dyDescent="0.25">
      <c r="A926">
        <v>615</v>
      </c>
      <c r="B926" t="s">
        <v>6693</v>
      </c>
      <c r="C926" t="s">
        <v>6694</v>
      </c>
    </row>
    <row r="927" spans="1:3" x14ac:dyDescent="0.25">
      <c r="A927">
        <v>289</v>
      </c>
      <c r="B927" t="s">
        <v>6695</v>
      </c>
      <c r="C927" t="s">
        <v>6696</v>
      </c>
    </row>
    <row r="928" spans="1:3" x14ac:dyDescent="0.25">
      <c r="A928">
        <v>308</v>
      </c>
      <c r="B928" t="s">
        <v>6697</v>
      </c>
      <c r="C928" t="s">
        <v>6698</v>
      </c>
    </row>
    <row r="929" spans="1:3" x14ac:dyDescent="0.25">
      <c r="A929">
        <v>281</v>
      </c>
      <c r="B929" t="s">
        <v>6699</v>
      </c>
      <c r="C929" t="s">
        <v>3073</v>
      </c>
    </row>
    <row r="930" spans="1:3" x14ac:dyDescent="0.25">
      <c r="A930">
        <v>1583</v>
      </c>
      <c r="B930" t="s">
        <v>6700</v>
      </c>
      <c r="C930" t="s">
        <v>6701</v>
      </c>
    </row>
    <row r="931" spans="1:3" x14ac:dyDescent="0.25">
      <c r="A931">
        <v>1121</v>
      </c>
      <c r="B931" t="s">
        <v>6702</v>
      </c>
      <c r="C931" t="s">
        <v>956</v>
      </c>
    </row>
    <row r="932" spans="1:3" x14ac:dyDescent="0.25">
      <c r="A932">
        <v>1496</v>
      </c>
      <c r="B932" t="s">
        <v>6703</v>
      </c>
      <c r="C932" t="s">
        <v>6704</v>
      </c>
    </row>
    <row r="933" spans="1:3" x14ac:dyDescent="0.25">
      <c r="A933">
        <v>428</v>
      </c>
      <c r="B933" t="s">
        <v>6705</v>
      </c>
      <c r="C933" t="s">
        <v>6706</v>
      </c>
    </row>
    <row r="934" spans="1:3" x14ac:dyDescent="0.25">
      <c r="A934">
        <v>1481</v>
      </c>
      <c r="B934" t="s">
        <v>6707</v>
      </c>
      <c r="C934" t="s">
        <v>6708</v>
      </c>
    </row>
    <row r="935" spans="1:3" x14ac:dyDescent="0.25">
      <c r="A935">
        <v>1227</v>
      </c>
      <c r="B935" t="s">
        <v>6709</v>
      </c>
      <c r="C935" t="s">
        <v>6710</v>
      </c>
    </row>
    <row r="936" spans="1:3" x14ac:dyDescent="0.25">
      <c r="A936">
        <v>75</v>
      </c>
      <c r="B936" t="s">
        <v>6711</v>
      </c>
      <c r="C936" t="s">
        <v>6712</v>
      </c>
    </row>
    <row r="937" spans="1:3" x14ac:dyDescent="0.25">
      <c r="A937">
        <v>1096</v>
      </c>
      <c r="B937" t="s">
        <v>6713</v>
      </c>
      <c r="C937" t="s">
        <v>3163</v>
      </c>
    </row>
    <row r="938" spans="1:3" x14ac:dyDescent="0.25">
      <c r="A938">
        <v>365</v>
      </c>
      <c r="B938" t="s">
        <v>6714</v>
      </c>
      <c r="C938" t="s">
        <v>6715</v>
      </c>
    </row>
    <row r="939" spans="1:3" x14ac:dyDescent="0.25">
      <c r="A939">
        <v>628</v>
      </c>
      <c r="B939" t="s">
        <v>6716</v>
      </c>
      <c r="C939" t="s">
        <v>6717</v>
      </c>
    </row>
    <row r="940" spans="1:3" x14ac:dyDescent="0.25">
      <c r="A940">
        <v>261</v>
      </c>
      <c r="B940" t="s">
        <v>6718</v>
      </c>
      <c r="C940" t="s">
        <v>6719</v>
      </c>
    </row>
    <row r="941" spans="1:3" x14ac:dyDescent="0.25">
      <c r="A941">
        <v>242</v>
      </c>
      <c r="B941" t="s">
        <v>6720</v>
      </c>
      <c r="C941" t="s">
        <v>6721</v>
      </c>
    </row>
    <row r="942" spans="1:3" x14ac:dyDescent="0.25">
      <c r="A942">
        <v>1460</v>
      </c>
      <c r="B942" t="s">
        <v>6722</v>
      </c>
      <c r="C942" t="s">
        <v>6723</v>
      </c>
    </row>
    <row r="943" spans="1:3" x14ac:dyDescent="0.25">
      <c r="A943">
        <v>449</v>
      </c>
      <c r="B943" t="s">
        <v>6724</v>
      </c>
      <c r="C943" t="s">
        <v>6725</v>
      </c>
    </row>
    <row r="944" spans="1:3" x14ac:dyDescent="0.25">
      <c r="A944">
        <v>1020</v>
      </c>
      <c r="B944" t="s">
        <v>6726</v>
      </c>
      <c r="C944" t="s">
        <v>6727</v>
      </c>
    </row>
    <row r="945" spans="1:3" x14ac:dyDescent="0.25">
      <c r="A945">
        <v>723</v>
      </c>
      <c r="B945" t="s">
        <v>6728</v>
      </c>
      <c r="C945" t="s">
        <v>6729</v>
      </c>
    </row>
    <row r="946" spans="1:3" x14ac:dyDescent="0.25">
      <c r="A946">
        <v>422</v>
      </c>
      <c r="B946" t="s">
        <v>6730</v>
      </c>
      <c r="C946" t="s">
        <v>6731</v>
      </c>
    </row>
    <row r="947" spans="1:3" x14ac:dyDescent="0.25">
      <c r="A947">
        <v>1702</v>
      </c>
      <c r="B947" t="s">
        <v>6732</v>
      </c>
      <c r="C947" t="s">
        <v>6733</v>
      </c>
    </row>
    <row r="948" spans="1:3" x14ac:dyDescent="0.25">
      <c r="A948">
        <v>1482</v>
      </c>
      <c r="B948" t="s">
        <v>6734</v>
      </c>
      <c r="C948" t="s">
        <v>6735</v>
      </c>
    </row>
    <row r="949" spans="1:3" x14ac:dyDescent="0.25">
      <c r="A949">
        <v>980</v>
      </c>
      <c r="B949" t="s">
        <v>6736</v>
      </c>
      <c r="C949" t="s">
        <v>6737</v>
      </c>
    </row>
    <row r="950" spans="1:3" x14ac:dyDescent="0.25">
      <c r="A950">
        <v>1175</v>
      </c>
      <c r="B950" t="s">
        <v>6738</v>
      </c>
      <c r="C950" t="s">
        <v>560</v>
      </c>
    </row>
    <row r="951" spans="1:3" x14ac:dyDescent="0.25">
      <c r="A951">
        <v>346</v>
      </c>
      <c r="B951" t="s">
        <v>6739</v>
      </c>
      <c r="C951" t="s">
        <v>6740</v>
      </c>
    </row>
    <row r="952" spans="1:3" x14ac:dyDescent="0.25">
      <c r="A952">
        <v>1366</v>
      </c>
      <c r="B952" t="s">
        <v>6741</v>
      </c>
      <c r="C952" t="s">
        <v>6742</v>
      </c>
    </row>
    <row r="953" spans="1:3" x14ac:dyDescent="0.25">
      <c r="A953">
        <v>264</v>
      </c>
      <c r="B953" t="s">
        <v>6743</v>
      </c>
      <c r="C953" t="s">
        <v>6744</v>
      </c>
    </row>
    <row r="954" spans="1:3" x14ac:dyDescent="0.25">
      <c r="A954">
        <v>1485</v>
      </c>
      <c r="B954" t="s">
        <v>6745</v>
      </c>
      <c r="C954" t="s">
        <v>6746</v>
      </c>
    </row>
    <row r="955" spans="1:3" x14ac:dyDescent="0.25">
      <c r="A955">
        <v>131</v>
      </c>
      <c r="B955" t="s">
        <v>6747</v>
      </c>
      <c r="C955" t="s">
        <v>6748</v>
      </c>
    </row>
    <row r="956" spans="1:3" x14ac:dyDescent="0.25">
      <c r="A956">
        <v>759</v>
      </c>
      <c r="B956" t="s">
        <v>6749</v>
      </c>
      <c r="C956" t="s">
        <v>461</v>
      </c>
    </row>
    <row r="957" spans="1:3" x14ac:dyDescent="0.25">
      <c r="A957">
        <v>569</v>
      </c>
      <c r="B957" t="s">
        <v>6750</v>
      </c>
      <c r="C957" t="s">
        <v>6751</v>
      </c>
    </row>
    <row r="958" spans="1:3" x14ac:dyDescent="0.25">
      <c r="A958">
        <v>552</v>
      </c>
      <c r="B958" t="s">
        <v>6752</v>
      </c>
      <c r="C958" t="s">
        <v>6753</v>
      </c>
    </row>
    <row r="959" spans="1:3" x14ac:dyDescent="0.25">
      <c r="A959">
        <v>1410</v>
      </c>
      <c r="B959" t="s">
        <v>6754</v>
      </c>
      <c r="C959" t="s">
        <v>6755</v>
      </c>
    </row>
    <row r="960" spans="1:3" x14ac:dyDescent="0.25">
      <c r="A960">
        <v>1285</v>
      </c>
      <c r="B960" t="s">
        <v>6756</v>
      </c>
      <c r="C960" t="s">
        <v>2409</v>
      </c>
    </row>
    <row r="961" spans="1:3" x14ac:dyDescent="0.25">
      <c r="A961">
        <v>190</v>
      </c>
      <c r="B961" t="s">
        <v>6757</v>
      </c>
      <c r="C961" t="s">
        <v>6758</v>
      </c>
    </row>
    <row r="962" spans="1:3" x14ac:dyDescent="0.25">
      <c r="A962">
        <v>447</v>
      </c>
      <c r="B962" t="s">
        <v>6759</v>
      </c>
      <c r="C962" t="s">
        <v>6760</v>
      </c>
    </row>
    <row r="963" spans="1:3" x14ac:dyDescent="0.25">
      <c r="A963">
        <v>633</v>
      </c>
      <c r="B963" t="s">
        <v>6761</v>
      </c>
      <c r="C963" t="s">
        <v>6762</v>
      </c>
    </row>
    <row r="964" spans="1:3" x14ac:dyDescent="0.25">
      <c r="A964">
        <v>41</v>
      </c>
      <c r="B964" t="s">
        <v>6763</v>
      </c>
      <c r="C964" t="s">
        <v>6764</v>
      </c>
    </row>
    <row r="965" spans="1:3" x14ac:dyDescent="0.25">
      <c r="A965">
        <v>585</v>
      </c>
      <c r="B965" t="s">
        <v>6765</v>
      </c>
      <c r="C965" t="s">
        <v>6766</v>
      </c>
    </row>
    <row r="966" spans="1:3" x14ac:dyDescent="0.25">
      <c r="A966">
        <v>1</v>
      </c>
      <c r="B966" t="s">
        <v>6767</v>
      </c>
      <c r="C966" t="s">
        <v>6768</v>
      </c>
    </row>
    <row r="967" spans="1:3" x14ac:dyDescent="0.25">
      <c r="A967">
        <v>1110</v>
      </c>
      <c r="B967" t="s">
        <v>6769</v>
      </c>
      <c r="C967" t="s">
        <v>419</v>
      </c>
    </row>
    <row r="968" spans="1:3" x14ac:dyDescent="0.25">
      <c r="A968">
        <v>1231</v>
      </c>
      <c r="B968" t="s">
        <v>6770</v>
      </c>
      <c r="C968" t="s">
        <v>6771</v>
      </c>
    </row>
    <row r="969" spans="1:3" x14ac:dyDescent="0.25">
      <c r="A969">
        <v>681</v>
      </c>
      <c r="B969" t="s">
        <v>6772</v>
      </c>
      <c r="C969" t="s">
        <v>6773</v>
      </c>
    </row>
    <row r="970" spans="1:3" x14ac:dyDescent="0.25">
      <c r="A970">
        <v>1483</v>
      </c>
      <c r="B970" t="s">
        <v>6774</v>
      </c>
      <c r="C970" t="s">
        <v>6775</v>
      </c>
    </row>
    <row r="971" spans="1:3" x14ac:dyDescent="0.25">
      <c r="A971">
        <v>1577</v>
      </c>
      <c r="B971" t="s">
        <v>6776</v>
      </c>
      <c r="C971" t="s">
        <v>6777</v>
      </c>
    </row>
    <row r="972" spans="1:3" x14ac:dyDescent="0.25">
      <c r="A972">
        <v>811</v>
      </c>
      <c r="B972" t="s">
        <v>6778</v>
      </c>
      <c r="C972" t="s">
        <v>6779</v>
      </c>
    </row>
    <row r="973" spans="1:3" x14ac:dyDescent="0.25">
      <c r="A973">
        <v>271</v>
      </c>
      <c r="B973" t="s">
        <v>6780</v>
      </c>
      <c r="C973" t="s">
        <v>6781</v>
      </c>
    </row>
    <row r="974" spans="1:3" x14ac:dyDescent="0.25">
      <c r="A974">
        <v>341</v>
      </c>
      <c r="B974" t="s">
        <v>6782</v>
      </c>
      <c r="C974" t="s">
        <v>6783</v>
      </c>
    </row>
    <row r="975" spans="1:3" x14ac:dyDescent="0.25">
      <c r="A975">
        <v>1357</v>
      </c>
      <c r="B975" t="s">
        <v>6784</v>
      </c>
      <c r="C975" t="s">
        <v>6785</v>
      </c>
    </row>
    <row r="976" spans="1:3" x14ac:dyDescent="0.25">
      <c r="A976">
        <v>1344</v>
      </c>
      <c r="B976" t="s">
        <v>6786</v>
      </c>
      <c r="C976" t="s">
        <v>6787</v>
      </c>
    </row>
    <row r="977" spans="1:3" x14ac:dyDescent="0.25">
      <c r="A977">
        <v>177</v>
      </c>
      <c r="B977" t="s">
        <v>6788</v>
      </c>
      <c r="C977" t="s">
        <v>6789</v>
      </c>
    </row>
    <row r="978" spans="1:3" x14ac:dyDescent="0.25">
      <c r="A978">
        <v>440</v>
      </c>
      <c r="B978" t="s">
        <v>6790</v>
      </c>
      <c r="C978" t="s">
        <v>6791</v>
      </c>
    </row>
    <row r="979" spans="1:3" x14ac:dyDescent="0.25">
      <c r="A979">
        <v>1339</v>
      </c>
      <c r="B979" t="s">
        <v>6792</v>
      </c>
      <c r="C979" t="s">
        <v>6793</v>
      </c>
    </row>
    <row r="980" spans="1:3" x14ac:dyDescent="0.25">
      <c r="A980">
        <v>1331</v>
      </c>
      <c r="B980" t="s">
        <v>6794</v>
      </c>
      <c r="C980" t="s">
        <v>4144</v>
      </c>
    </row>
    <row r="981" spans="1:3" x14ac:dyDescent="0.25">
      <c r="A981">
        <v>22</v>
      </c>
      <c r="B981" t="s">
        <v>6795</v>
      </c>
      <c r="C981" t="s">
        <v>6796</v>
      </c>
    </row>
    <row r="982" spans="1:3" x14ac:dyDescent="0.25">
      <c r="A982">
        <v>707</v>
      </c>
      <c r="B982" t="s">
        <v>6797</v>
      </c>
      <c r="C982" t="s">
        <v>130</v>
      </c>
    </row>
    <row r="983" spans="1:3" x14ac:dyDescent="0.25">
      <c r="A983">
        <v>773</v>
      </c>
      <c r="B983" t="s">
        <v>6798</v>
      </c>
      <c r="C983" t="s">
        <v>6799</v>
      </c>
    </row>
    <row r="984" spans="1:3" x14ac:dyDescent="0.25">
      <c r="A984">
        <v>1587</v>
      </c>
      <c r="B984" t="s">
        <v>6800</v>
      </c>
      <c r="C984" t="s">
        <v>6801</v>
      </c>
    </row>
    <row r="985" spans="1:3" x14ac:dyDescent="0.25">
      <c r="A985">
        <v>884</v>
      </c>
      <c r="B985" t="s">
        <v>6802</v>
      </c>
      <c r="C985" t="s">
        <v>6803</v>
      </c>
    </row>
    <row r="986" spans="1:3" x14ac:dyDescent="0.25">
      <c r="A986">
        <v>1253</v>
      </c>
      <c r="B986" t="s">
        <v>6804</v>
      </c>
      <c r="C986" t="s">
        <v>259</v>
      </c>
    </row>
    <row r="987" spans="1:3" x14ac:dyDescent="0.25">
      <c r="A987">
        <v>126</v>
      </c>
      <c r="B987" t="s">
        <v>6805</v>
      </c>
      <c r="C987" t="s">
        <v>6806</v>
      </c>
    </row>
    <row r="988" spans="1:3" x14ac:dyDescent="0.25">
      <c r="A988">
        <v>1378</v>
      </c>
      <c r="B988" t="s">
        <v>6807</v>
      </c>
      <c r="C988" t="s">
        <v>6808</v>
      </c>
    </row>
    <row r="989" spans="1:3" x14ac:dyDescent="0.25">
      <c r="A989">
        <v>843</v>
      </c>
      <c r="B989" t="s">
        <v>6809</v>
      </c>
      <c r="C989" t="s">
        <v>6810</v>
      </c>
    </row>
    <row r="990" spans="1:3" x14ac:dyDescent="0.25">
      <c r="A990">
        <v>1381</v>
      </c>
      <c r="B990" t="s">
        <v>6811</v>
      </c>
      <c r="C990" t="s">
        <v>6812</v>
      </c>
    </row>
    <row r="991" spans="1:3" x14ac:dyDescent="0.25">
      <c r="A991">
        <v>1363</v>
      </c>
      <c r="B991" t="s">
        <v>6813</v>
      </c>
      <c r="C991" t="s">
        <v>6814</v>
      </c>
    </row>
    <row r="992" spans="1:3" x14ac:dyDescent="0.25">
      <c r="A992">
        <v>101</v>
      </c>
      <c r="B992" t="s">
        <v>6815</v>
      </c>
      <c r="C992" t="s">
        <v>6816</v>
      </c>
    </row>
    <row r="993" spans="1:3" x14ac:dyDescent="0.25">
      <c r="A993">
        <v>714</v>
      </c>
      <c r="B993" t="s">
        <v>6817</v>
      </c>
      <c r="C993" t="s">
        <v>6818</v>
      </c>
    </row>
    <row r="994" spans="1:3" x14ac:dyDescent="0.25">
      <c r="A994">
        <v>1491</v>
      </c>
      <c r="B994" t="s">
        <v>6819</v>
      </c>
      <c r="C994" t="s">
        <v>6820</v>
      </c>
    </row>
    <row r="995" spans="1:3" x14ac:dyDescent="0.25">
      <c r="A995">
        <v>172</v>
      </c>
      <c r="B995" t="s">
        <v>6821</v>
      </c>
      <c r="C995" t="s">
        <v>6822</v>
      </c>
    </row>
    <row r="996" spans="1:3" x14ac:dyDescent="0.25">
      <c r="A996">
        <v>968</v>
      </c>
      <c r="B996" t="s">
        <v>6823</v>
      </c>
      <c r="C996" t="s">
        <v>6824</v>
      </c>
    </row>
    <row r="997" spans="1:3" x14ac:dyDescent="0.25">
      <c r="A997">
        <v>1353</v>
      </c>
      <c r="B997" t="s">
        <v>6825</v>
      </c>
      <c r="C997" t="s">
        <v>6826</v>
      </c>
    </row>
    <row r="998" spans="1:3" x14ac:dyDescent="0.25">
      <c r="A998">
        <v>1122</v>
      </c>
      <c r="B998" t="s">
        <v>6827</v>
      </c>
      <c r="C998" t="s">
        <v>436</v>
      </c>
    </row>
    <row r="999" spans="1:3" x14ac:dyDescent="0.25">
      <c r="A999">
        <v>1631</v>
      </c>
      <c r="B999" t="s">
        <v>6828</v>
      </c>
      <c r="C999" t="s">
        <v>6829</v>
      </c>
    </row>
    <row r="1000" spans="1:3" x14ac:dyDescent="0.25">
      <c r="A1000">
        <v>1426</v>
      </c>
      <c r="B1000" t="s">
        <v>6830</v>
      </c>
      <c r="C1000" t="s">
        <v>6831</v>
      </c>
    </row>
    <row r="1001" spans="1:3" x14ac:dyDescent="0.25">
      <c r="A1001">
        <v>223</v>
      </c>
      <c r="B1001" t="s">
        <v>6832</v>
      </c>
      <c r="C1001" t="s">
        <v>6833</v>
      </c>
    </row>
    <row r="1002" spans="1:3" x14ac:dyDescent="0.25">
      <c r="A1002">
        <v>931</v>
      </c>
      <c r="B1002" t="s">
        <v>6834</v>
      </c>
      <c r="C1002" t="s">
        <v>6835</v>
      </c>
    </row>
    <row r="1003" spans="1:3" x14ac:dyDescent="0.25">
      <c r="A1003">
        <v>1443</v>
      </c>
      <c r="B1003" t="s">
        <v>6836</v>
      </c>
      <c r="C1003" t="s">
        <v>6837</v>
      </c>
    </row>
    <row r="1004" spans="1:3" x14ac:dyDescent="0.25">
      <c r="A1004">
        <v>650</v>
      </c>
      <c r="B1004" t="s">
        <v>6838</v>
      </c>
      <c r="C1004" t="s">
        <v>6839</v>
      </c>
    </row>
    <row r="1005" spans="1:3" x14ac:dyDescent="0.25">
      <c r="A1005">
        <v>718</v>
      </c>
      <c r="B1005" t="s">
        <v>6840</v>
      </c>
      <c r="C1005" t="s">
        <v>6841</v>
      </c>
    </row>
    <row r="1006" spans="1:3" x14ac:dyDescent="0.25">
      <c r="A1006">
        <v>1662</v>
      </c>
      <c r="B1006" t="s">
        <v>6842</v>
      </c>
      <c r="C1006" t="s">
        <v>6843</v>
      </c>
    </row>
    <row r="1007" spans="1:3" x14ac:dyDescent="0.25">
      <c r="A1007">
        <v>1225</v>
      </c>
      <c r="B1007" t="s">
        <v>6844</v>
      </c>
      <c r="C1007" t="s">
        <v>6845</v>
      </c>
    </row>
    <row r="1008" spans="1:3" x14ac:dyDescent="0.25">
      <c r="A1008">
        <v>1241</v>
      </c>
      <c r="B1008" t="s">
        <v>6846</v>
      </c>
      <c r="C1008" t="s">
        <v>6847</v>
      </c>
    </row>
    <row r="1009" spans="1:3" x14ac:dyDescent="0.25">
      <c r="A1009">
        <v>716</v>
      </c>
      <c r="B1009" t="s">
        <v>6848</v>
      </c>
      <c r="C1009" t="s">
        <v>6849</v>
      </c>
    </row>
    <row r="1010" spans="1:3" x14ac:dyDescent="0.25">
      <c r="A1010">
        <v>697</v>
      </c>
      <c r="B1010" t="s">
        <v>6850</v>
      </c>
      <c r="C1010" t="s">
        <v>6851</v>
      </c>
    </row>
    <row r="1011" spans="1:3" x14ac:dyDescent="0.25">
      <c r="A1011">
        <v>1560</v>
      </c>
      <c r="B1011" t="s">
        <v>6852</v>
      </c>
      <c r="C1011" t="s">
        <v>6853</v>
      </c>
    </row>
    <row r="1012" spans="1:3" x14ac:dyDescent="0.25">
      <c r="A1012">
        <v>416</v>
      </c>
      <c r="B1012" t="s">
        <v>6854</v>
      </c>
      <c r="C1012" t="s">
        <v>6855</v>
      </c>
    </row>
    <row r="1013" spans="1:3" x14ac:dyDescent="0.25">
      <c r="A1013">
        <v>728</v>
      </c>
      <c r="B1013" t="s">
        <v>6856</v>
      </c>
      <c r="C1013" t="s">
        <v>6857</v>
      </c>
    </row>
    <row r="1014" spans="1:3" x14ac:dyDescent="0.25">
      <c r="A1014">
        <v>678</v>
      </c>
      <c r="B1014" t="s">
        <v>6858</v>
      </c>
      <c r="C1014" t="s">
        <v>6859</v>
      </c>
    </row>
    <row r="1015" spans="1:3" x14ac:dyDescent="0.25">
      <c r="A1015">
        <v>873</v>
      </c>
      <c r="B1015" t="s">
        <v>6860</v>
      </c>
      <c r="C1015" t="s">
        <v>6861</v>
      </c>
    </row>
    <row r="1016" spans="1:3" x14ac:dyDescent="0.25">
      <c r="A1016">
        <v>1325</v>
      </c>
      <c r="B1016" t="s">
        <v>6862</v>
      </c>
      <c r="C1016" t="s">
        <v>6863</v>
      </c>
    </row>
    <row r="1017" spans="1:3" x14ac:dyDescent="0.25">
      <c r="A1017">
        <v>787</v>
      </c>
      <c r="B1017" t="s">
        <v>6864</v>
      </c>
      <c r="C1017" t="s">
        <v>3166</v>
      </c>
    </row>
    <row r="1018" spans="1:3" x14ac:dyDescent="0.25">
      <c r="A1018">
        <v>666</v>
      </c>
      <c r="B1018" t="s">
        <v>6865</v>
      </c>
      <c r="C1018" t="s">
        <v>6866</v>
      </c>
    </row>
    <row r="1019" spans="1:3" x14ac:dyDescent="0.25">
      <c r="A1019">
        <v>460</v>
      </c>
      <c r="B1019" t="s">
        <v>6867</v>
      </c>
      <c r="C1019" t="s">
        <v>6868</v>
      </c>
    </row>
    <row r="1020" spans="1:3" x14ac:dyDescent="0.25">
      <c r="A1020">
        <v>165</v>
      </c>
      <c r="B1020" t="s">
        <v>6869</v>
      </c>
      <c r="C1020" t="s">
        <v>6870</v>
      </c>
    </row>
    <row r="1021" spans="1:3" x14ac:dyDescent="0.25">
      <c r="A1021">
        <v>882</v>
      </c>
      <c r="B1021" t="s">
        <v>6871</v>
      </c>
      <c r="C1021" t="s">
        <v>6872</v>
      </c>
    </row>
    <row r="1022" spans="1:3" x14ac:dyDescent="0.25">
      <c r="A1022">
        <v>919</v>
      </c>
      <c r="B1022" t="s">
        <v>6873</v>
      </c>
      <c r="C1022" t="s">
        <v>6874</v>
      </c>
    </row>
    <row r="1023" spans="1:3" x14ac:dyDescent="0.25">
      <c r="A1023">
        <v>651</v>
      </c>
      <c r="B1023" t="s">
        <v>6875</v>
      </c>
      <c r="C1023" t="s">
        <v>6876</v>
      </c>
    </row>
    <row r="1024" spans="1:3" x14ac:dyDescent="0.25">
      <c r="A1024">
        <v>1559</v>
      </c>
      <c r="B1024" t="s">
        <v>6877</v>
      </c>
      <c r="C1024" t="s">
        <v>6878</v>
      </c>
    </row>
    <row r="1025" spans="1:3" x14ac:dyDescent="0.25">
      <c r="A1025">
        <v>450</v>
      </c>
      <c r="B1025" t="s">
        <v>6879</v>
      </c>
      <c r="C1025" t="s">
        <v>6880</v>
      </c>
    </row>
    <row r="1026" spans="1:3" x14ac:dyDescent="0.25">
      <c r="A1026">
        <v>1453</v>
      </c>
      <c r="B1026" t="s">
        <v>6881</v>
      </c>
      <c r="C1026" t="s">
        <v>6882</v>
      </c>
    </row>
    <row r="1027" spans="1:3" x14ac:dyDescent="0.25">
      <c r="A1027">
        <v>374</v>
      </c>
      <c r="B1027" t="s">
        <v>6883</v>
      </c>
      <c r="C1027" t="s">
        <v>6884</v>
      </c>
    </row>
    <row r="1028" spans="1:3" x14ac:dyDescent="0.25">
      <c r="A1028">
        <v>1315</v>
      </c>
      <c r="B1028" t="s">
        <v>6885</v>
      </c>
      <c r="C1028" t="s">
        <v>6886</v>
      </c>
    </row>
    <row r="1029" spans="1:3" x14ac:dyDescent="0.25">
      <c r="A1029">
        <v>792</v>
      </c>
      <c r="B1029" t="s">
        <v>6887</v>
      </c>
      <c r="C1029" t="s">
        <v>4241</v>
      </c>
    </row>
    <row r="1030" spans="1:3" x14ac:dyDescent="0.25">
      <c r="A1030">
        <v>1497</v>
      </c>
      <c r="B1030" t="s">
        <v>6888</v>
      </c>
      <c r="C1030" t="s">
        <v>6889</v>
      </c>
    </row>
    <row r="1031" spans="1:3" x14ac:dyDescent="0.25">
      <c r="A1031">
        <v>1061</v>
      </c>
      <c r="B1031" t="s">
        <v>6890</v>
      </c>
      <c r="C1031" t="s">
        <v>3119</v>
      </c>
    </row>
    <row r="1032" spans="1:3" x14ac:dyDescent="0.25">
      <c r="A1032">
        <v>77</v>
      </c>
      <c r="B1032" t="s">
        <v>6891</v>
      </c>
      <c r="C1032" t="s">
        <v>6892</v>
      </c>
    </row>
    <row r="1033" spans="1:3" x14ac:dyDescent="0.25">
      <c r="A1033">
        <v>1140</v>
      </c>
      <c r="B1033" t="s">
        <v>6893</v>
      </c>
      <c r="C1033" t="s">
        <v>188</v>
      </c>
    </row>
    <row r="1034" spans="1:3" x14ac:dyDescent="0.25">
      <c r="A1034">
        <v>791</v>
      </c>
      <c r="B1034" t="s">
        <v>6894</v>
      </c>
      <c r="C1034" t="s">
        <v>6895</v>
      </c>
    </row>
    <row r="1035" spans="1:3" x14ac:dyDescent="0.25">
      <c r="A1035">
        <v>1367</v>
      </c>
      <c r="B1035" t="s">
        <v>6896</v>
      </c>
      <c r="C1035" t="s">
        <v>6897</v>
      </c>
    </row>
    <row r="1036" spans="1:3" x14ac:dyDescent="0.25">
      <c r="A1036">
        <v>1123</v>
      </c>
      <c r="B1036" t="s">
        <v>6898</v>
      </c>
      <c r="C1036" t="s">
        <v>1870</v>
      </c>
    </row>
    <row r="1037" spans="1:3" x14ac:dyDescent="0.25">
      <c r="A1037">
        <v>212</v>
      </c>
      <c r="B1037" t="s">
        <v>6899</v>
      </c>
      <c r="C1037" t="s">
        <v>6900</v>
      </c>
    </row>
    <row r="1038" spans="1:3" x14ac:dyDescent="0.25">
      <c r="A1038">
        <v>546</v>
      </c>
      <c r="B1038" t="s">
        <v>6901</v>
      </c>
      <c r="C1038" t="s">
        <v>6902</v>
      </c>
    </row>
    <row r="1039" spans="1:3" x14ac:dyDescent="0.25">
      <c r="A1039">
        <v>1162</v>
      </c>
      <c r="B1039" t="s">
        <v>6903</v>
      </c>
      <c r="C1039" t="s">
        <v>6904</v>
      </c>
    </row>
    <row r="1040" spans="1:3" x14ac:dyDescent="0.25">
      <c r="A1040">
        <v>210</v>
      </c>
      <c r="B1040" t="s">
        <v>6905</v>
      </c>
      <c r="C1040" t="s">
        <v>6906</v>
      </c>
    </row>
    <row r="1041" spans="1:3" x14ac:dyDescent="0.25">
      <c r="A1041">
        <v>1459</v>
      </c>
      <c r="B1041" t="s">
        <v>6907</v>
      </c>
      <c r="C1041" t="s">
        <v>6908</v>
      </c>
    </row>
    <row r="1042" spans="1:3" x14ac:dyDescent="0.25">
      <c r="A1042">
        <v>1186</v>
      </c>
      <c r="B1042" t="s">
        <v>6909</v>
      </c>
      <c r="C1042" t="s">
        <v>1486</v>
      </c>
    </row>
    <row r="1043" spans="1:3" x14ac:dyDescent="0.25">
      <c r="A1043">
        <v>28</v>
      </c>
      <c r="B1043" t="s">
        <v>6910</v>
      </c>
      <c r="C1043" t="s">
        <v>1153</v>
      </c>
    </row>
    <row r="1044" spans="1:3" x14ac:dyDescent="0.25">
      <c r="A1044">
        <v>534</v>
      </c>
      <c r="B1044" t="s">
        <v>6911</v>
      </c>
      <c r="C1044" t="s">
        <v>6912</v>
      </c>
    </row>
    <row r="1045" spans="1:3" x14ac:dyDescent="0.25">
      <c r="A1045">
        <v>1416</v>
      </c>
      <c r="B1045" t="s">
        <v>6913</v>
      </c>
      <c r="C1045" t="s">
        <v>6914</v>
      </c>
    </row>
    <row r="1046" spans="1:3" x14ac:dyDescent="0.25">
      <c r="A1046">
        <v>1411</v>
      </c>
      <c r="B1046" t="s">
        <v>6915</v>
      </c>
      <c r="C1046" t="s">
        <v>6916</v>
      </c>
    </row>
    <row r="1047" spans="1:3" x14ac:dyDescent="0.25">
      <c r="A1047">
        <v>1310</v>
      </c>
      <c r="B1047" t="s">
        <v>6917</v>
      </c>
      <c r="C1047" t="s">
        <v>6918</v>
      </c>
    </row>
    <row r="1048" spans="1:3" x14ac:dyDescent="0.25">
      <c r="A1048">
        <v>451</v>
      </c>
      <c r="B1048" t="s">
        <v>6919</v>
      </c>
      <c r="C1048" t="s">
        <v>6920</v>
      </c>
    </row>
    <row r="1049" spans="1:3" x14ac:dyDescent="0.25">
      <c r="A1049">
        <v>760</v>
      </c>
      <c r="B1049" t="s">
        <v>6921</v>
      </c>
      <c r="C1049" t="s">
        <v>6922</v>
      </c>
    </row>
    <row r="1050" spans="1:3" x14ac:dyDescent="0.25">
      <c r="A1050">
        <v>1308</v>
      </c>
      <c r="B1050" t="s">
        <v>6923</v>
      </c>
      <c r="C1050" t="s">
        <v>6924</v>
      </c>
    </row>
    <row r="1051" spans="1:3" x14ac:dyDescent="0.25">
      <c r="A1051">
        <v>1166</v>
      </c>
      <c r="B1051" t="s">
        <v>6925</v>
      </c>
      <c r="C1051" t="s">
        <v>266</v>
      </c>
    </row>
    <row r="1052" spans="1:3" x14ac:dyDescent="0.25">
      <c r="A1052">
        <v>1320</v>
      </c>
      <c r="B1052" t="s">
        <v>6926</v>
      </c>
      <c r="C1052" t="s">
        <v>6927</v>
      </c>
    </row>
    <row r="1053" spans="1:3" x14ac:dyDescent="0.25">
      <c r="A1053">
        <v>1343</v>
      </c>
      <c r="B1053" t="s">
        <v>6928</v>
      </c>
      <c r="C1053" t="s">
        <v>6929</v>
      </c>
    </row>
    <row r="1054" spans="1:3" x14ac:dyDescent="0.25">
      <c r="A1054">
        <v>729</v>
      </c>
      <c r="B1054" t="s">
        <v>6930</v>
      </c>
      <c r="C1054" t="s">
        <v>6931</v>
      </c>
    </row>
    <row r="1055" spans="1:3" x14ac:dyDescent="0.25">
      <c r="A1055">
        <v>1197</v>
      </c>
      <c r="B1055" t="s">
        <v>6932</v>
      </c>
      <c r="C1055" t="s">
        <v>6933</v>
      </c>
    </row>
    <row r="1056" spans="1:3" x14ac:dyDescent="0.25">
      <c r="A1056">
        <v>1391</v>
      </c>
      <c r="B1056" t="s">
        <v>6934</v>
      </c>
      <c r="C1056" t="s">
        <v>6935</v>
      </c>
    </row>
    <row r="1057" spans="1:3" x14ac:dyDescent="0.25">
      <c r="A1057">
        <v>255</v>
      </c>
      <c r="B1057" t="s">
        <v>6936</v>
      </c>
      <c r="C1057" t="s">
        <v>6937</v>
      </c>
    </row>
    <row r="1058" spans="1:3" x14ac:dyDescent="0.25">
      <c r="A1058">
        <v>508</v>
      </c>
      <c r="B1058" t="s">
        <v>6938</v>
      </c>
      <c r="C1058" t="s">
        <v>6939</v>
      </c>
    </row>
    <row r="1059" spans="1:3" x14ac:dyDescent="0.25">
      <c r="A1059">
        <v>130</v>
      </c>
      <c r="B1059" t="s">
        <v>6940</v>
      </c>
      <c r="C1059" t="s">
        <v>6941</v>
      </c>
    </row>
    <row r="1060" spans="1:3" x14ac:dyDescent="0.25">
      <c r="A1060">
        <v>1133</v>
      </c>
      <c r="B1060" t="s">
        <v>6942</v>
      </c>
      <c r="C1060" t="s">
        <v>6943</v>
      </c>
    </row>
    <row r="1061" spans="1:3" x14ac:dyDescent="0.25">
      <c r="A1061">
        <v>667</v>
      </c>
      <c r="B1061" t="s">
        <v>6944</v>
      </c>
      <c r="C1061" t="s">
        <v>170</v>
      </c>
    </row>
    <row r="1062" spans="1:3" x14ac:dyDescent="0.25">
      <c r="A1062">
        <v>1510</v>
      </c>
      <c r="B1062" t="s">
        <v>6945</v>
      </c>
      <c r="C1062" t="s">
        <v>6946</v>
      </c>
    </row>
    <row r="1063" spans="1:3" x14ac:dyDescent="0.25">
      <c r="A1063">
        <v>827</v>
      </c>
      <c r="B1063" t="s">
        <v>6947</v>
      </c>
      <c r="C1063" t="s">
        <v>6948</v>
      </c>
    </row>
    <row r="1064" spans="1:3" x14ac:dyDescent="0.25">
      <c r="A1064">
        <v>1661</v>
      </c>
      <c r="B1064" t="s">
        <v>6949</v>
      </c>
      <c r="C1064" t="s">
        <v>6950</v>
      </c>
    </row>
    <row r="1065" spans="1:3" x14ac:dyDescent="0.25">
      <c r="A1065">
        <v>1484</v>
      </c>
      <c r="B1065" t="s">
        <v>6951</v>
      </c>
      <c r="C1065" t="s">
        <v>6952</v>
      </c>
    </row>
    <row r="1066" spans="1:3" x14ac:dyDescent="0.25">
      <c r="A1066">
        <v>367</v>
      </c>
      <c r="B1066" t="s">
        <v>6953</v>
      </c>
      <c r="C1066" t="s">
        <v>6954</v>
      </c>
    </row>
    <row r="1067" spans="1:3" x14ac:dyDescent="0.25">
      <c r="A1067">
        <v>128</v>
      </c>
      <c r="B1067" t="s">
        <v>6955</v>
      </c>
      <c r="C1067" t="s">
        <v>6956</v>
      </c>
    </row>
    <row r="1068" spans="1:3" x14ac:dyDescent="0.25">
      <c r="A1068">
        <v>1321</v>
      </c>
      <c r="B1068" t="s">
        <v>6957</v>
      </c>
      <c r="C1068" t="s">
        <v>360</v>
      </c>
    </row>
    <row r="1069" spans="1:3" x14ac:dyDescent="0.25">
      <c r="A1069">
        <v>923</v>
      </c>
      <c r="B1069" t="s">
        <v>6958</v>
      </c>
      <c r="C1069" t="s">
        <v>6959</v>
      </c>
    </row>
    <row r="1070" spans="1:3" x14ac:dyDescent="0.25">
      <c r="A1070">
        <v>781</v>
      </c>
      <c r="B1070" t="s">
        <v>6960</v>
      </c>
      <c r="C1070" t="s">
        <v>6961</v>
      </c>
    </row>
    <row r="1071" spans="1:3" x14ac:dyDescent="0.25">
      <c r="A1071">
        <v>1564</v>
      </c>
      <c r="B1071" t="s">
        <v>6962</v>
      </c>
      <c r="C1071" t="s">
        <v>6963</v>
      </c>
    </row>
    <row r="1072" spans="1:3" x14ac:dyDescent="0.25">
      <c r="A1072">
        <v>818</v>
      </c>
      <c r="B1072" t="s">
        <v>6964</v>
      </c>
      <c r="C1072" t="s">
        <v>6965</v>
      </c>
    </row>
    <row r="1073" spans="1:3" x14ac:dyDescent="0.25">
      <c r="A1073">
        <v>369</v>
      </c>
      <c r="B1073" t="s">
        <v>6966</v>
      </c>
      <c r="C1073" t="s">
        <v>6967</v>
      </c>
    </row>
    <row r="1074" spans="1:3" x14ac:dyDescent="0.25">
      <c r="A1074">
        <v>857</v>
      </c>
      <c r="B1074" t="s">
        <v>6968</v>
      </c>
      <c r="C1074" t="s">
        <v>6969</v>
      </c>
    </row>
    <row r="1075" spans="1:3" x14ac:dyDescent="0.25">
      <c r="A1075">
        <v>1467</v>
      </c>
      <c r="B1075" t="s">
        <v>6970</v>
      </c>
      <c r="C1075" t="s">
        <v>6971</v>
      </c>
    </row>
    <row r="1076" spans="1:3" x14ac:dyDescent="0.25">
      <c r="A1076">
        <v>1181</v>
      </c>
      <c r="B1076" t="s">
        <v>6972</v>
      </c>
      <c r="C1076" t="s">
        <v>150</v>
      </c>
    </row>
    <row r="1077" spans="1:3" x14ac:dyDescent="0.25">
      <c r="A1077">
        <v>343</v>
      </c>
      <c r="B1077" t="s">
        <v>6973</v>
      </c>
      <c r="C1077" t="s">
        <v>6974</v>
      </c>
    </row>
    <row r="1078" spans="1:3" x14ac:dyDescent="0.25">
      <c r="A1078">
        <v>800</v>
      </c>
      <c r="B1078" t="s">
        <v>6975</v>
      </c>
      <c r="C1078" t="s">
        <v>6976</v>
      </c>
    </row>
    <row r="1079" spans="1:3" x14ac:dyDescent="0.25">
      <c r="A1079">
        <v>300</v>
      </c>
      <c r="B1079" t="s">
        <v>6977</v>
      </c>
      <c r="C1079" t="s">
        <v>6978</v>
      </c>
    </row>
    <row r="1080" spans="1:3" x14ac:dyDescent="0.25">
      <c r="A1080">
        <v>328</v>
      </c>
      <c r="B1080" t="s">
        <v>6979</v>
      </c>
      <c r="C1080" t="s">
        <v>6980</v>
      </c>
    </row>
    <row r="1081" spans="1:3" x14ac:dyDescent="0.25">
      <c r="A1081">
        <v>548</v>
      </c>
      <c r="B1081" t="s">
        <v>6981</v>
      </c>
      <c r="C1081" t="s">
        <v>6982</v>
      </c>
    </row>
    <row r="1082" spans="1:3" x14ac:dyDescent="0.25">
      <c r="A1082">
        <v>1265</v>
      </c>
      <c r="B1082" t="s">
        <v>6983</v>
      </c>
      <c r="C1082" t="s">
        <v>6984</v>
      </c>
    </row>
    <row r="1083" spans="1:3" x14ac:dyDescent="0.25">
      <c r="A1083">
        <v>1714</v>
      </c>
      <c r="B1083" t="s">
        <v>6985</v>
      </c>
      <c r="C1083" t="s">
        <v>6986</v>
      </c>
    </row>
    <row r="1084" spans="1:3" x14ac:dyDescent="0.25">
      <c r="A1084">
        <v>455</v>
      </c>
      <c r="B1084" t="s">
        <v>6987</v>
      </c>
      <c r="C1084" t="s">
        <v>6988</v>
      </c>
    </row>
    <row r="1085" spans="1:3" x14ac:dyDescent="0.25">
      <c r="A1085">
        <v>170</v>
      </c>
      <c r="B1085" t="s">
        <v>6989</v>
      </c>
      <c r="C1085" t="s">
        <v>6990</v>
      </c>
    </row>
    <row r="1086" spans="1:3" x14ac:dyDescent="0.25">
      <c r="A1086">
        <v>1404</v>
      </c>
      <c r="B1086" t="s">
        <v>6991</v>
      </c>
      <c r="C1086" t="s">
        <v>6992</v>
      </c>
    </row>
    <row r="1087" spans="1:3" x14ac:dyDescent="0.25">
      <c r="A1087">
        <v>438</v>
      </c>
      <c r="B1087" t="s">
        <v>6993</v>
      </c>
      <c r="C1087" t="s">
        <v>6994</v>
      </c>
    </row>
    <row r="1088" spans="1:3" x14ac:dyDescent="0.25">
      <c r="A1088">
        <v>324</v>
      </c>
      <c r="B1088" t="s">
        <v>6995</v>
      </c>
      <c r="C1088" t="s">
        <v>6996</v>
      </c>
    </row>
    <row r="1089" spans="1:3" x14ac:dyDescent="0.25">
      <c r="A1089">
        <v>921</v>
      </c>
      <c r="B1089" t="s">
        <v>6997</v>
      </c>
      <c r="C1089" t="s">
        <v>6998</v>
      </c>
    </row>
    <row r="1090" spans="1:3" x14ac:dyDescent="0.25">
      <c r="A1090">
        <v>1153</v>
      </c>
      <c r="B1090" t="s">
        <v>6999</v>
      </c>
      <c r="C1090" t="s">
        <v>866</v>
      </c>
    </row>
    <row r="1091" spans="1:3" x14ac:dyDescent="0.25">
      <c r="A1091">
        <v>412</v>
      </c>
      <c r="B1091" t="s">
        <v>7000</v>
      </c>
      <c r="C1091" t="s">
        <v>7001</v>
      </c>
    </row>
    <row r="1092" spans="1:3" x14ac:dyDescent="0.25">
      <c r="A1092">
        <v>627</v>
      </c>
      <c r="B1092" t="s">
        <v>7002</v>
      </c>
      <c r="C1092" t="s">
        <v>7003</v>
      </c>
    </row>
    <row r="1093" spans="1:3" x14ac:dyDescent="0.25">
      <c r="A1093">
        <v>351</v>
      </c>
      <c r="B1093" t="s">
        <v>7004</v>
      </c>
      <c r="C1093" t="s">
        <v>7005</v>
      </c>
    </row>
    <row r="1094" spans="1:3" x14ac:dyDescent="0.25">
      <c r="A1094">
        <v>1134</v>
      </c>
      <c r="B1094" t="s">
        <v>7006</v>
      </c>
      <c r="C1094" t="s">
        <v>1036</v>
      </c>
    </row>
    <row r="1095" spans="1:3" x14ac:dyDescent="0.25">
      <c r="A1095">
        <v>1354</v>
      </c>
      <c r="B1095" t="s">
        <v>7007</v>
      </c>
      <c r="C1095" t="s">
        <v>7008</v>
      </c>
    </row>
    <row r="1096" spans="1:3" x14ac:dyDescent="0.25">
      <c r="A1096">
        <v>1444</v>
      </c>
      <c r="B1096" t="s">
        <v>7009</v>
      </c>
      <c r="C1096" t="s">
        <v>7010</v>
      </c>
    </row>
    <row r="1097" spans="1:3" x14ac:dyDescent="0.25">
      <c r="A1097">
        <v>88</v>
      </c>
      <c r="B1097" t="s">
        <v>7011</v>
      </c>
      <c r="C1097" t="s">
        <v>7012</v>
      </c>
    </row>
    <row r="1098" spans="1:3" x14ac:dyDescent="0.25">
      <c r="A1098">
        <v>698</v>
      </c>
      <c r="B1098" t="s">
        <v>7013</v>
      </c>
      <c r="C1098" t="s">
        <v>7014</v>
      </c>
    </row>
    <row r="1099" spans="1:3" x14ac:dyDescent="0.25">
      <c r="A1099">
        <v>643</v>
      </c>
      <c r="B1099" t="s">
        <v>7015</v>
      </c>
      <c r="C1099" t="s">
        <v>7016</v>
      </c>
    </row>
    <row r="1100" spans="1:3" x14ac:dyDescent="0.25">
      <c r="A1100">
        <v>793</v>
      </c>
      <c r="B1100" t="s">
        <v>7017</v>
      </c>
      <c r="C1100" t="s">
        <v>749</v>
      </c>
    </row>
    <row r="1101" spans="1:3" x14ac:dyDescent="0.25">
      <c r="A1101">
        <v>1681</v>
      </c>
      <c r="B1101" t="s">
        <v>7018</v>
      </c>
      <c r="C1101" t="s">
        <v>7019</v>
      </c>
    </row>
    <row r="1102" spans="1:3" x14ac:dyDescent="0.25">
      <c r="A1102">
        <v>1725</v>
      </c>
      <c r="B1102" t="s">
        <v>7020</v>
      </c>
      <c r="C1102" t="s">
        <v>7021</v>
      </c>
    </row>
    <row r="1103" spans="1:3" x14ac:dyDescent="0.25">
      <c r="A1103">
        <v>555</v>
      </c>
      <c r="B1103" t="s">
        <v>7022</v>
      </c>
      <c r="C1103" t="s">
        <v>7023</v>
      </c>
    </row>
    <row r="1104" spans="1:3" x14ac:dyDescent="0.25">
      <c r="A1104">
        <v>889</v>
      </c>
      <c r="B1104" t="s">
        <v>7024</v>
      </c>
      <c r="C1104" t="s">
        <v>843</v>
      </c>
    </row>
    <row r="1105" spans="1:3" x14ac:dyDescent="0.25">
      <c r="A1105">
        <v>60</v>
      </c>
      <c r="B1105" t="s">
        <v>7025</v>
      </c>
      <c r="C1105" t="s">
        <v>7026</v>
      </c>
    </row>
    <row r="1106" spans="1:3" x14ac:dyDescent="0.25">
      <c r="A1106">
        <v>813</v>
      </c>
      <c r="B1106" t="s">
        <v>7027</v>
      </c>
      <c r="C1106" t="s">
        <v>7028</v>
      </c>
    </row>
    <row r="1107" spans="1:3" x14ac:dyDescent="0.25">
      <c r="A1107">
        <v>385</v>
      </c>
      <c r="B1107" t="s">
        <v>7029</v>
      </c>
      <c r="C1107" t="s">
        <v>7030</v>
      </c>
    </row>
    <row r="1108" spans="1:3" x14ac:dyDescent="0.25">
      <c r="A1108">
        <v>1324</v>
      </c>
      <c r="B1108" t="s">
        <v>7031</v>
      </c>
      <c r="C1108" t="s">
        <v>7032</v>
      </c>
    </row>
    <row r="1109" spans="1:3" x14ac:dyDescent="0.25">
      <c r="A1109">
        <v>92</v>
      </c>
      <c r="B1109" t="s">
        <v>7033</v>
      </c>
      <c r="C1109" t="s">
        <v>7034</v>
      </c>
    </row>
    <row r="1110" spans="1:3" x14ac:dyDescent="0.25">
      <c r="A1110">
        <v>1160</v>
      </c>
      <c r="B1110" t="s">
        <v>7035</v>
      </c>
      <c r="C1110" t="s">
        <v>61</v>
      </c>
    </row>
    <row r="1111" spans="1:3" x14ac:dyDescent="0.25">
      <c r="A1111">
        <v>831</v>
      </c>
      <c r="B1111" t="s">
        <v>7036</v>
      </c>
      <c r="C1111" t="s">
        <v>7037</v>
      </c>
    </row>
    <row r="1112" spans="1:3" x14ac:dyDescent="0.25">
      <c r="A1112">
        <v>372</v>
      </c>
      <c r="B1112" t="s">
        <v>7038</v>
      </c>
      <c r="C1112" t="s">
        <v>7039</v>
      </c>
    </row>
    <row r="1113" spans="1:3" x14ac:dyDescent="0.25">
      <c r="A1113">
        <v>1562</v>
      </c>
      <c r="B1113" t="s">
        <v>7040</v>
      </c>
      <c r="C1113" t="s">
        <v>7041</v>
      </c>
    </row>
    <row r="1114" spans="1:3" x14ac:dyDescent="0.25">
      <c r="A1114">
        <v>777</v>
      </c>
      <c r="B1114" t="s">
        <v>7042</v>
      </c>
      <c r="C1114" t="s">
        <v>7043</v>
      </c>
    </row>
    <row r="1115" spans="1:3" x14ac:dyDescent="0.25">
      <c r="A1115">
        <v>679</v>
      </c>
      <c r="B1115" t="s">
        <v>7044</v>
      </c>
      <c r="C1115" t="s">
        <v>7045</v>
      </c>
    </row>
    <row r="1116" spans="1:3" x14ac:dyDescent="0.25">
      <c r="A1116">
        <v>900</v>
      </c>
      <c r="B1116" t="s">
        <v>7046</v>
      </c>
      <c r="C1116" t="s">
        <v>7047</v>
      </c>
    </row>
    <row r="1117" spans="1:3" x14ac:dyDescent="0.25">
      <c r="A1117">
        <v>966</v>
      </c>
      <c r="B1117" t="s">
        <v>7048</v>
      </c>
      <c r="C1117" t="s">
        <v>7049</v>
      </c>
    </row>
    <row r="1118" spans="1:3" x14ac:dyDescent="0.25">
      <c r="A1118">
        <v>1039</v>
      </c>
      <c r="B1118" t="s">
        <v>7050</v>
      </c>
      <c r="C1118" t="s">
        <v>1881</v>
      </c>
    </row>
    <row r="1119" spans="1:3" x14ac:dyDescent="0.25">
      <c r="A1119">
        <v>770</v>
      </c>
      <c r="B1119" t="s">
        <v>7051</v>
      </c>
      <c r="C1119" t="s">
        <v>7052</v>
      </c>
    </row>
    <row r="1120" spans="1:3" x14ac:dyDescent="0.25">
      <c r="A1120">
        <v>1293</v>
      </c>
      <c r="B1120" t="s">
        <v>7053</v>
      </c>
      <c r="C1120" t="s">
        <v>7054</v>
      </c>
    </row>
    <row r="1121" spans="1:3" x14ac:dyDescent="0.25">
      <c r="A1121">
        <v>1091</v>
      </c>
      <c r="B1121" t="s">
        <v>7055</v>
      </c>
      <c r="C1121" t="s">
        <v>7056</v>
      </c>
    </row>
    <row r="1122" spans="1:3" x14ac:dyDescent="0.25">
      <c r="A1122">
        <v>737</v>
      </c>
      <c r="B1122" t="s">
        <v>7057</v>
      </c>
      <c r="C1122" t="s">
        <v>7058</v>
      </c>
    </row>
    <row r="1123" spans="1:3" x14ac:dyDescent="0.25">
      <c r="A1123">
        <v>46</v>
      </c>
      <c r="B1123" t="s">
        <v>7059</v>
      </c>
      <c r="C1123" t="s">
        <v>7060</v>
      </c>
    </row>
    <row r="1124" spans="1:3" x14ac:dyDescent="0.25">
      <c r="A1124">
        <v>779</v>
      </c>
      <c r="B1124" t="s">
        <v>7061</v>
      </c>
      <c r="C1124" t="s">
        <v>7062</v>
      </c>
    </row>
    <row r="1125" spans="1:3" x14ac:dyDescent="0.25">
      <c r="A1125">
        <v>538</v>
      </c>
      <c r="B1125" t="s">
        <v>7063</v>
      </c>
      <c r="C1125" t="s">
        <v>7064</v>
      </c>
    </row>
    <row r="1126" spans="1:3" x14ac:dyDescent="0.25">
      <c r="A1126">
        <v>80</v>
      </c>
      <c r="B1126" t="s">
        <v>7065</v>
      </c>
      <c r="C1126" t="s">
        <v>7066</v>
      </c>
    </row>
    <row r="1127" spans="1:3" x14ac:dyDescent="0.25">
      <c r="A1127">
        <v>1406</v>
      </c>
      <c r="B1127" t="s">
        <v>7067</v>
      </c>
      <c r="C1127" t="s">
        <v>7068</v>
      </c>
    </row>
    <row r="1128" spans="1:3" x14ac:dyDescent="0.25">
      <c r="A1128">
        <v>467</v>
      </c>
      <c r="B1128" t="s">
        <v>7069</v>
      </c>
      <c r="C1128" t="s">
        <v>7070</v>
      </c>
    </row>
    <row r="1129" spans="1:3" x14ac:dyDescent="0.25">
      <c r="A1129">
        <v>344</v>
      </c>
      <c r="B1129" t="s">
        <v>7071</v>
      </c>
      <c r="C1129" t="s">
        <v>7072</v>
      </c>
    </row>
    <row r="1130" spans="1:3" x14ac:dyDescent="0.25">
      <c r="A1130">
        <v>333</v>
      </c>
      <c r="B1130" t="s">
        <v>7073</v>
      </c>
      <c r="C1130" t="s">
        <v>7074</v>
      </c>
    </row>
    <row r="1131" spans="1:3" x14ac:dyDescent="0.25">
      <c r="A1131">
        <v>674</v>
      </c>
      <c r="B1131" t="s">
        <v>7075</v>
      </c>
      <c r="C1131" t="s">
        <v>7076</v>
      </c>
    </row>
    <row r="1132" spans="1:3" x14ac:dyDescent="0.25">
      <c r="A1132">
        <v>1518</v>
      </c>
      <c r="B1132" t="s">
        <v>7077</v>
      </c>
      <c r="C1132" t="s">
        <v>7078</v>
      </c>
    </row>
    <row r="1133" spans="1:3" x14ac:dyDescent="0.25">
      <c r="A1133">
        <v>853</v>
      </c>
      <c r="B1133" t="s">
        <v>7079</v>
      </c>
      <c r="C1133" t="s">
        <v>7080</v>
      </c>
    </row>
    <row r="1134" spans="1:3" x14ac:dyDescent="0.25">
      <c r="A1134">
        <v>224</v>
      </c>
      <c r="B1134" t="s">
        <v>7081</v>
      </c>
      <c r="C1134" t="s">
        <v>7082</v>
      </c>
    </row>
    <row r="1135" spans="1:3" x14ac:dyDescent="0.25">
      <c r="A1135">
        <v>396</v>
      </c>
      <c r="B1135" t="s">
        <v>7083</v>
      </c>
      <c r="C1135" t="s">
        <v>7084</v>
      </c>
    </row>
    <row r="1136" spans="1:3" x14ac:dyDescent="0.25">
      <c r="A1136">
        <v>1419</v>
      </c>
      <c r="B1136" t="s">
        <v>7085</v>
      </c>
      <c r="C1136" t="s">
        <v>7086</v>
      </c>
    </row>
    <row r="1137" spans="1:3" x14ac:dyDescent="0.25">
      <c r="A1137">
        <v>296</v>
      </c>
      <c r="B1137" t="s">
        <v>7087</v>
      </c>
      <c r="C1137" t="s">
        <v>7088</v>
      </c>
    </row>
    <row r="1138" spans="1:3" x14ac:dyDescent="0.25">
      <c r="A1138">
        <v>310</v>
      </c>
      <c r="B1138" t="s">
        <v>7089</v>
      </c>
      <c r="C1138" t="s">
        <v>7090</v>
      </c>
    </row>
    <row r="1139" spans="1:3" x14ac:dyDescent="0.25">
      <c r="A1139">
        <v>389</v>
      </c>
      <c r="B1139" t="s">
        <v>7091</v>
      </c>
      <c r="C1139" t="s">
        <v>277</v>
      </c>
    </row>
    <row r="1140" spans="1:3" x14ac:dyDescent="0.25">
      <c r="A1140">
        <v>179</v>
      </c>
      <c r="B1140" t="s">
        <v>7092</v>
      </c>
      <c r="C1140" t="s">
        <v>7093</v>
      </c>
    </row>
    <row r="1141" spans="1:3" x14ac:dyDescent="0.25">
      <c r="A1141">
        <v>1055</v>
      </c>
      <c r="B1141" t="s">
        <v>7094</v>
      </c>
      <c r="C1141" t="s">
        <v>177</v>
      </c>
    </row>
    <row r="1142" spans="1:3" x14ac:dyDescent="0.25">
      <c r="A1142">
        <v>801</v>
      </c>
      <c r="B1142" t="s">
        <v>7095</v>
      </c>
      <c r="C1142" t="s">
        <v>7096</v>
      </c>
    </row>
    <row r="1143" spans="1:3" x14ac:dyDescent="0.25">
      <c r="A1143">
        <v>1201</v>
      </c>
      <c r="B1143" t="s">
        <v>7097</v>
      </c>
      <c r="C1143" t="s">
        <v>7098</v>
      </c>
    </row>
    <row r="1144" spans="1:3" x14ac:dyDescent="0.25">
      <c r="A1144">
        <v>859</v>
      </c>
      <c r="B1144" t="s">
        <v>7099</v>
      </c>
      <c r="C1144" t="s">
        <v>7100</v>
      </c>
    </row>
    <row r="1145" spans="1:3" x14ac:dyDescent="0.25">
      <c r="A1145">
        <v>83</v>
      </c>
      <c r="B1145" t="s">
        <v>7101</v>
      </c>
      <c r="C1145" t="s">
        <v>257</v>
      </c>
    </row>
    <row r="1146" spans="1:3" x14ac:dyDescent="0.25">
      <c r="A1146">
        <v>1582</v>
      </c>
      <c r="B1146" t="s">
        <v>7102</v>
      </c>
      <c r="C1146" t="s">
        <v>7103</v>
      </c>
    </row>
    <row r="1147" spans="1:3" x14ac:dyDescent="0.25">
      <c r="A1147">
        <v>1289</v>
      </c>
      <c r="B1147" t="s">
        <v>7104</v>
      </c>
      <c r="C1147" t="s">
        <v>7105</v>
      </c>
    </row>
    <row r="1148" spans="1:3" x14ac:dyDescent="0.25">
      <c r="A1148">
        <v>1384</v>
      </c>
      <c r="B1148" t="s">
        <v>7106</v>
      </c>
      <c r="C1148" t="s">
        <v>7107</v>
      </c>
    </row>
    <row r="1149" spans="1:3" x14ac:dyDescent="0.25">
      <c r="A1149">
        <v>1009</v>
      </c>
      <c r="B1149" t="s">
        <v>7108</v>
      </c>
      <c r="C1149" t="s">
        <v>3055</v>
      </c>
    </row>
    <row r="1150" spans="1:3" x14ac:dyDescent="0.25">
      <c r="A1150">
        <v>1283</v>
      </c>
      <c r="B1150" t="s">
        <v>7109</v>
      </c>
      <c r="C1150" t="s">
        <v>4291</v>
      </c>
    </row>
    <row r="1151" spans="1:3" x14ac:dyDescent="0.25">
      <c r="A1151">
        <v>947</v>
      </c>
      <c r="B1151" t="s">
        <v>7110</v>
      </c>
      <c r="C1151" t="s">
        <v>7111</v>
      </c>
    </row>
    <row r="1152" spans="1:3" x14ac:dyDescent="0.25">
      <c r="A1152">
        <v>1561</v>
      </c>
      <c r="B1152" t="s">
        <v>7112</v>
      </c>
      <c r="C1152" t="s">
        <v>7113</v>
      </c>
    </row>
    <row r="1153" spans="1:3" x14ac:dyDescent="0.25">
      <c r="A1153">
        <v>205</v>
      </c>
      <c r="B1153" t="s">
        <v>7114</v>
      </c>
      <c r="C1153" t="s">
        <v>7115</v>
      </c>
    </row>
    <row r="1154" spans="1:3" x14ac:dyDescent="0.25">
      <c r="A1154">
        <v>869</v>
      </c>
      <c r="B1154" t="s">
        <v>7116</v>
      </c>
      <c r="C1154" t="s">
        <v>7117</v>
      </c>
    </row>
    <row r="1155" spans="1:3" x14ac:dyDescent="0.25">
      <c r="A1155">
        <v>1477</v>
      </c>
      <c r="B1155" t="s">
        <v>7118</v>
      </c>
      <c r="C1155" t="s">
        <v>7119</v>
      </c>
    </row>
    <row r="1156" spans="1:3" x14ac:dyDescent="0.25">
      <c r="A1156">
        <v>1177</v>
      </c>
      <c r="B1156" t="s">
        <v>7120</v>
      </c>
      <c r="C1156" t="s">
        <v>7121</v>
      </c>
    </row>
    <row r="1157" spans="1:3" x14ac:dyDescent="0.25">
      <c r="A1157">
        <v>939</v>
      </c>
      <c r="B1157" t="s">
        <v>7122</v>
      </c>
      <c r="C1157" t="s">
        <v>3064</v>
      </c>
    </row>
    <row r="1158" spans="1:3" x14ac:dyDescent="0.25">
      <c r="A1158">
        <v>1136</v>
      </c>
      <c r="B1158" t="s">
        <v>7123</v>
      </c>
      <c r="C1158" t="s">
        <v>24</v>
      </c>
    </row>
    <row r="1159" spans="1:3" x14ac:dyDescent="0.25">
      <c r="A1159">
        <v>699</v>
      </c>
      <c r="B1159" t="s">
        <v>7124</v>
      </c>
      <c r="C1159" t="s">
        <v>7125</v>
      </c>
    </row>
    <row r="1160" spans="1:3" x14ac:dyDescent="0.25">
      <c r="A1160">
        <v>1420</v>
      </c>
      <c r="B1160" t="s">
        <v>7126</v>
      </c>
      <c r="C1160" t="s">
        <v>7127</v>
      </c>
    </row>
    <row r="1161" spans="1:3" x14ac:dyDescent="0.25">
      <c r="A1161">
        <v>696</v>
      </c>
      <c r="B1161" t="s">
        <v>7128</v>
      </c>
      <c r="C1161" t="s">
        <v>7129</v>
      </c>
    </row>
    <row r="1162" spans="1:3" x14ac:dyDescent="0.25">
      <c r="A1162">
        <v>357</v>
      </c>
      <c r="B1162" t="s">
        <v>7130</v>
      </c>
      <c r="C1162" t="s">
        <v>7131</v>
      </c>
    </row>
    <row r="1163" spans="1:3" x14ac:dyDescent="0.25">
      <c r="A1163">
        <v>625</v>
      </c>
      <c r="B1163" t="s">
        <v>7132</v>
      </c>
      <c r="C1163" t="s">
        <v>7133</v>
      </c>
    </row>
    <row r="1164" spans="1:3" x14ac:dyDescent="0.25">
      <c r="A1164">
        <v>115</v>
      </c>
      <c r="B1164" t="s">
        <v>7134</v>
      </c>
      <c r="C1164" t="s">
        <v>7135</v>
      </c>
    </row>
    <row r="1165" spans="1:3" x14ac:dyDescent="0.25">
      <c r="A1165">
        <v>617</v>
      </c>
      <c r="B1165" t="s">
        <v>7136</v>
      </c>
      <c r="C1165" t="s">
        <v>7137</v>
      </c>
    </row>
    <row r="1166" spans="1:3" x14ac:dyDescent="0.25">
      <c r="A1166">
        <v>711</v>
      </c>
      <c r="B1166" t="s">
        <v>7138</v>
      </c>
      <c r="C1166" t="s">
        <v>7139</v>
      </c>
    </row>
    <row r="1167" spans="1:3" x14ac:dyDescent="0.25">
      <c r="A1167">
        <v>600</v>
      </c>
      <c r="B1167" t="s">
        <v>7140</v>
      </c>
      <c r="C1167" t="s">
        <v>7141</v>
      </c>
    </row>
    <row r="1168" spans="1:3" x14ac:dyDescent="0.25">
      <c r="A1168">
        <v>761</v>
      </c>
      <c r="B1168" t="s">
        <v>7142</v>
      </c>
      <c r="C1168" t="s">
        <v>7143</v>
      </c>
    </row>
    <row r="1169" spans="1:3" x14ac:dyDescent="0.25">
      <c r="A1169">
        <v>1252</v>
      </c>
      <c r="B1169" t="s">
        <v>7144</v>
      </c>
      <c r="C1169" t="s">
        <v>7145</v>
      </c>
    </row>
    <row r="1170" spans="1:3" x14ac:dyDescent="0.25">
      <c r="A1170">
        <v>665</v>
      </c>
      <c r="B1170" t="s">
        <v>7146</v>
      </c>
      <c r="C1170" t="s">
        <v>7147</v>
      </c>
    </row>
    <row r="1171" spans="1:3" x14ac:dyDescent="0.25">
      <c r="A1171">
        <v>1390</v>
      </c>
      <c r="B1171" t="s">
        <v>7148</v>
      </c>
      <c r="C1171" t="s">
        <v>7149</v>
      </c>
    </row>
    <row r="1172" spans="1:3" x14ac:dyDescent="0.25">
      <c r="A1172">
        <v>1089</v>
      </c>
      <c r="B1172" t="s">
        <v>7150</v>
      </c>
      <c r="C1172" t="s">
        <v>30</v>
      </c>
    </row>
    <row r="1173" spans="1:3" x14ac:dyDescent="0.25">
      <c r="A1173">
        <v>268</v>
      </c>
      <c r="B1173" t="s">
        <v>7151</v>
      </c>
      <c r="C1173" t="s">
        <v>51</v>
      </c>
    </row>
    <row r="1174" spans="1:3" x14ac:dyDescent="0.25">
      <c r="A1174">
        <v>359</v>
      </c>
      <c r="B1174" t="s">
        <v>7152</v>
      </c>
      <c r="C1174" t="s">
        <v>7153</v>
      </c>
    </row>
    <row r="1175" spans="1:3" x14ac:dyDescent="0.25">
      <c r="A1175">
        <v>283</v>
      </c>
      <c r="B1175" t="s">
        <v>7154</v>
      </c>
      <c r="C1175" t="s">
        <v>7155</v>
      </c>
    </row>
    <row r="1176" spans="1:3" x14ac:dyDescent="0.25">
      <c r="A1176">
        <v>1174</v>
      </c>
      <c r="B1176" t="s">
        <v>7156</v>
      </c>
      <c r="C1176" t="s">
        <v>67</v>
      </c>
    </row>
    <row r="1177" spans="1:3" x14ac:dyDescent="0.25">
      <c r="A1177">
        <v>1150</v>
      </c>
      <c r="B1177" t="s">
        <v>7157</v>
      </c>
      <c r="C1177" t="s">
        <v>375</v>
      </c>
    </row>
    <row r="1178" spans="1:3" x14ac:dyDescent="0.25">
      <c r="A1178">
        <v>497</v>
      </c>
      <c r="B1178" t="s">
        <v>7158</v>
      </c>
      <c r="C1178" t="s">
        <v>7159</v>
      </c>
    </row>
    <row r="1179" spans="1:3" x14ac:dyDescent="0.25">
      <c r="A1179">
        <v>33</v>
      </c>
      <c r="B1179" t="s">
        <v>7160</v>
      </c>
      <c r="C1179" t="s">
        <v>7161</v>
      </c>
    </row>
    <row r="1180" spans="1:3" x14ac:dyDescent="0.25">
      <c r="A1180">
        <v>1165</v>
      </c>
      <c r="B1180" t="s">
        <v>7162</v>
      </c>
      <c r="C1180" t="s">
        <v>55</v>
      </c>
    </row>
    <row r="1181" spans="1:3" x14ac:dyDescent="0.25">
      <c r="A1181">
        <v>434</v>
      </c>
      <c r="B1181" t="s">
        <v>7163</v>
      </c>
      <c r="C1181" t="s">
        <v>7164</v>
      </c>
    </row>
    <row r="1182" spans="1:3" x14ac:dyDescent="0.25">
      <c r="A1182">
        <v>879</v>
      </c>
      <c r="B1182" t="s">
        <v>7165</v>
      </c>
      <c r="C1182" t="s">
        <v>7166</v>
      </c>
    </row>
    <row r="1183" spans="1:3" x14ac:dyDescent="0.25">
      <c r="A1183">
        <v>1413</v>
      </c>
      <c r="B1183" t="s">
        <v>7167</v>
      </c>
      <c r="C1183" t="s">
        <v>7168</v>
      </c>
    </row>
    <row r="1184" spans="1:3" x14ac:dyDescent="0.25">
      <c r="A1184">
        <v>622</v>
      </c>
      <c r="B1184" t="s">
        <v>7169</v>
      </c>
      <c r="C1184" t="s">
        <v>7170</v>
      </c>
    </row>
    <row r="1185" spans="1:3" x14ac:dyDescent="0.25">
      <c r="A1185">
        <v>323</v>
      </c>
      <c r="B1185" t="s">
        <v>7171</v>
      </c>
      <c r="C1185" t="s">
        <v>7172</v>
      </c>
    </row>
    <row r="1186" spans="1:3" x14ac:dyDescent="0.25">
      <c r="A1186">
        <v>530</v>
      </c>
      <c r="B1186" t="s">
        <v>7173</v>
      </c>
      <c r="C1186" t="s">
        <v>7174</v>
      </c>
    </row>
    <row r="1187" spans="1:3" x14ac:dyDescent="0.25">
      <c r="A1187">
        <v>322</v>
      </c>
      <c r="B1187" t="s">
        <v>7175</v>
      </c>
      <c r="C1187" t="s">
        <v>7176</v>
      </c>
    </row>
    <row r="1188" spans="1:3" x14ac:dyDescent="0.25">
      <c r="A1188">
        <v>64</v>
      </c>
      <c r="B1188" t="s">
        <v>7177</v>
      </c>
      <c r="C1188" t="s">
        <v>7178</v>
      </c>
    </row>
    <row r="1189" spans="1:3" x14ac:dyDescent="0.25">
      <c r="A1189">
        <v>607</v>
      </c>
      <c r="B1189" t="s">
        <v>7179</v>
      </c>
      <c r="C1189" t="s">
        <v>7180</v>
      </c>
    </row>
    <row r="1190" spans="1:3" x14ac:dyDescent="0.25">
      <c r="A1190">
        <v>918</v>
      </c>
      <c r="B1190" t="s">
        <v>7181</v>
      </c>
      <c r="C1190" t="s">
        <v>7182</v>
      </c>
    </row>
    <row r="1191" spans="1:3" x14ac:dyDescent="0.25">
      <c r="A1191">
        <v>452</v>
      </c>
      <c r="B1191" t="s">
        <v>7183</v>
      </c>
      <c r="C1191" t="s">
        <v>7184</v>
      </c>
    </row>
    <row r="1192" spans="1:3" x14ac:dyDescent="0.25">
      <c r="A1192">
        <v>525</v>
      </c>
      <c r="B1192" t="s">
        <v>7185</v>
      </c>
      <c r="C1192" t="s">
        <v>7186</v>
      </c>
    </row>
    <row r="1193" spans="1:3" x14ac:dyDescent="0.25">
      <c r="A1193">
        <v>47</v>
      </c>
      <c r="B1193" t="s">
        <v>7187</v>
      </c>
      <c r="C1193" t="s">
        <v>7188</v>
      </c>
    </row>
    <row r="1194" spans="1:3" x14ac:dyDescent="0.25">
      <c r="A1194">
        <v>1585</v>
      </c>
      <c r="B1194" t="s">
        <v>7189</v>
      </c>
      <c r="C1194" t="s">
        <v>7190</v>
      </c>
    </row>
    <row r="1195" spans="1:3" x14ac:dyDescent="0.25">
      <c r="A1195">
        <v>237</v>
      </c>
      <c r="B1195" t="s">
        <v>7191</v>
      </c>
      <c r="C1195" t="s">
        <v>7192</v>
      </c>
    </row>
    <row r="1196" spans="1:3" x14ac:dyDescent="0.25">
      <c r="A1196">
        <v>186</v>
      </c>
      <c r="B1196" t="s">
        <v>7193</v>
      </c>
      <c r="C1196" t="s">
        <v>7194</v>
      </c>
    </row>
    <row r="1197" spans="1:3" x14ac:dyDescent="0.25">
      <c r="A1197">
        <v>431</v>
      </c>
      <c r="B1197" t="s">
        <v>7195</v>
      </c>
      <c r="C1197" t="s">
        <v>7196</v>
      </c>
    </row>
    <row r="1198" spans="1:3" x14ac:dyDescent="0.25">
      <c r="A1198">
        <v>337</v>
      </c>
      <c r="B1198" t="s">
        <v>7197</v>
      </c>
      <c r="C1198" t="s">
        <v>7198</v>
      </c>
    </row>
    <row r="1199" spans="1:3" x14ac:dyDescent="0.25">
      <c r="A1199">
        <v>332</v>
      </c>
      <c r="B1199" t="s">
        <v>7199</v>
      </c>
      <c r="C1199" t="s">
        <v>7200</v>
      </c>
    </row>
    <row r="1200" spans="1:3" x14ac:dyDescent="0.25">
      <c r="A1200">
        <v>292</v>
      </c>
      <c r="B1200" t="s">
        <v>7201</v>
      </c>
      <c r="C1200" t="s">
        <v>7202</v>
      </c>
    </row>
    <row r="1201" spans="1:3" x14ac:dyDescent="0.25">
      <c r="A1201">
        <v>1313</v>
      </c>
      <c r="B1201" t="s">
        <v>7203</v>
      </c>
      <c r="C1201" t="s">
        <v>7204</v>
      </c>
    </row>
    <row r="1202" spans="1:3" x14ac:dyDescent="0.25">
      <c r="A1202">
        <v>590</v>
      </c>
      <c r="B1202" t="s">
        <v>7205</v>
      </c>
      <c r="C1202" t="s">
        <v>7206</v>
      </c>
    </row>
    <row r="1203" spans="1:3" x14ac:dyDescent="0.25">
      <c r="A1203">
        <v>1509</v>
      </c>
      <c r="B1203" t="s">
        <v>7207</v>
      </c>
      <c r="C1203" t="s">
        <v>7208</v>
      </c>
    </row>
    <row r="1204" spans="1:3" x14ac:dyDescent="0.25">
      <c r="A1204">
        <v>227</v>
      </c>
      <c r="B1204" t="s">
        <v>7209</v>
      </c>
      <c r="C1204" t="s">
        <v>7210</v>
      </c>
    </row>
    <row r="1205" spans="1:3" x14ac:dyDescent="0.25">
      <c r="A1205">
        <v>712</v>
      </c>
      <c r="B1205" t="s">
        <v>7211</v>
      </c>
      <c r="C1205" t="s">
        <v>7212</v>
      </c>
    </row>
    <row r="1206" spans="1:3" x14ac:dyDescent="0.25">
      <c r="A1206">
        <v>991</v>
      </c>
      <c r="B1206" t="s">
        <v>7213</v>
      </c>
      <c r="C1206" t="s">
        <v>4509</v>
      </c>
    </row>
    <row r="1207" spans="1:3" x14ac:dyDescent="0.25">
      <c r="A1207">
        <v>949</v>
      </c>
      <c r="B1207" t="s">
        <v>7214</v>
      </c>
      <c r="C1207" t="s">
        <v>7215</v>
      </c>
    </row>
    <row r="1208" spans="1:3" x14ac:dyDescent="0.25">
      <c r="A1208">
        <v>143</v>
      </c>
      <c r="B1208" t="s">
        <v>7216</v>
      </c>
      <c r="C1208" t="s">
        <v>7217</v>
      </c>
    </row>
    <row r="1209" spans="1:3" x14ac:dyDescent="0.25">
      <c r="A1209">
        <v>42</v>
      </c>
      <c r="B1209" t="s">
        <v>7218</v>
      </c>
      <c r="C1209" t="s">
        <v>7219</v>
      </c>
    </row>
    <row r="1210" spans="1:3" x14ac:dyDescent="0.25">
      <c r="A1210">
        <v>895</v>
      </c>
      <c r="B1210" t="s">
        <v>7220</v>
      </c>
      <c r="C1210" t="s">
        <v>7221</v>
      </c>
    </row>
    <row r="1211" spans="1:3" x14ac:dyDescent="0.25">
      <c r="A1211">
        <v>1007</v>
      </c>
      <c r="B1211" t="s">
        <v>7222</v>
      </c>
      <c r="C1211" t="s">
        <v>7223</v>
      </c>
    </row>
    <row r="1212" spans="1:3" x14ac:dyDescent="0.25">
      <c r="A1212">
        <v>648</v>
      </c>
      <c r="B1212" t="s">
        <v>7224</v>
      </c>
      <c r="C1212" t="s">
        <v>7225</v>
      </c>
    </row>
    <row r="1213" spans="1:3" x14ac:dyDescent="0.25">
      <c r="A1213">
        <v>933</v>
      </c>
      <c r="B1213" t="s">
        <v>7226</v>
      </c>
      <c r="C1213" t="s">
        <v>7227</v>
      </c>
    </row>
    <row r="1214" spans="1:3" x14ac:dyDescent="0.25">
      <c r="A1214">
        <v>1218</v>
      </c>
      <c r="B1214" t="s">
        <v>7228</v>
      </c>
      <c r="C1214" t="s">
        <v>7229</v>
      </c>
    </row>
    <row r="1215" spans="1:3" x14ac:dyDescent="0.25">
      <c r="A1215">
        <v>766</v>
      </c>
      <c r="B1215" t="s">
        <v>7230</v>
      </c>
      <c r="C1215" t="s">
        <v>7231</v>
      </c>
    </row>
    <row r="1216" spans="1:3" x14ac:dyDescent="0.25">
      <c r="A1216">
        <v>516</v>
      </c>
      <c r="B1216" t="s">
        <v>7232</v>
      </c>
      <c r="C1216" t="s">
        <v>7233</v>
      </c>
    </row>
    <row r="1217" spans="1:3" x14ac:dyDescent="0.25">
      <c r="A1217">
        <v>1118</v>
      </c>
      <c r="B1217" t="s">
        <v>7234</v>
      </c>
      <c r="C1217" t="s">
        <v>164</v>
      </c>
    </row>
    <row r="1218" spans="1:3" x14ac:dyDescent="0.25">
      <c r="A1218">
        <v>636</v>
      </c>
      <c r="B1218" t="s">
        <v>7235</v>
      </c>
      <c r="C1218" t="s">
        <v>7236</v>
      </c>
    </row>
    <row r="1219" spans="1:3" x14ac:dyDescent="0.25">
      <c r="A1219">
        <v>1169</v>
      </c>
      <c r="B1219" t="s">
        <v>7237</v>
      </c>
      <c r="C1219" t="s">
        <v>75</v>
      </c>
    </row>
    <row r="1220" spans="1:3" x14ac:dyDescent="0.25">
      <c r="A1220">
        <v>489</v>
      </c>
      <c r="B1220" t="s">
        <v>7238</v>
      </c>
      <c r="C1220" t="s">
        <v>7239</v>
      </c>
    </row>
    <row r="1221" spans="1:3" x14ac:dyDescent="0.25">
      <c r="A1221">
        <v>803</v>
      </c>
      <c r="B1221" t="s">
        <v>7240</v>
      </c>
      <c r="C1221" t="s">
        <v>7241</v>
      </c>
    </row>
    <row r="1222" spans="1:3" x14ac:dyDescent="0.25">
      <c r="A1222">
        <v>1655</v>
      </c>
      <c r="B1222" t="s">
        <v>7242</v>
      </c>
      <c r="C1222" t="s">
        <v>7243</v>
      </c>
    </row>
    <row r="1223" spans="1:3" x14ac:dyDescent="0.25">
      <c r="A1223">
        <v>1292</v>
      </c>
      <c r="B1223" t="s">
        <v>7244</v>
      </c>
      <c r="C1223" t="s">
        <v>7245</v>
      </c>
    </row>
    <row r="1224" spans="1:3" x14ac:dyDescent="0.25">
      <c r="A1224">
        <v>132</v>
      </c>
      <c r="B1224" t="s">
        <v>7246</v>
      </c>
      <c r="C1224" t="s">
        <v>7247</v>
      </c>
    </row>
    <row r="1225" spans="1:3" x14ac:dyDescent="0.25">
      <c r="A1225">
        <v>644</v>
      </c>
      <c r="B1225" t="s">
        <v>7248</v>
      </c>
      <c r="C1225" t="s">
        <v>7249</v>
      </c>
    </row>
    <row r="1226" spans="1:3" x14ac:dyDescent="0.25">
      <c r="A1226">
        <v>284</v>
      </c>
      <c r="B1226" t="s">
        <v>7250</v>
      </c>
      <c r="C1226" t="s">
        <v>7251</v>
      </c>
    </row>
    <row r="1227" spans="1:3" x14ac:dyDescent="0.25">
      <c r="A1227">
        <v>299</v>
      </c>
      <c r="B1227" t="s">
        <v>7252</v>
      </c>
      <c r="C1227" t="s">
        <v>7253</v>
      </c>
    </row>
    <row r="1228" spans="1:3" x14ac:dyDescent="0.25">
      <c r="A1228">
        <v>302</v>
      </c>
      <c r="B1228" t="s">
        <v>7254</v>
      </c>
      <c r="C1228" t="s">
        <v>7255</v>
      </c>
    </row>
    <row r="1229" spans="1:3" x14ac:dyDescent="0.25">
      <c r="A1229">
        <v>1434</v>
      </c>
      <c r="B1229" t="s">
        <v>7256</v>
      </c>
      <c r="C1229" t="s">
        <v>7257</v>
      </c>
    </row>
    <row r="1230" spans="1:3" x14ac:dyDescent="0.25">
      <c r="A1230">
        <v>537</v>
      </c>
      <c r="B1230" t="s">
        <v>7258</v>
      </c>
      <c r="C1230" t="s">
        <v>7259</v>
      </c>
    </row>
    <row r="1231" spans="1:3" x14ac:dyDescent="0.25">
      <c r="A1231">
        <v>807</v>
      </c>
      <c r="B1231" t="s">
        <v>7260</v>
      </c>
      <c r="C1231" t="s">
        <v>7261</v>
      </c>
    </row>
    <row r="1232" spans="1:3" x14ac:dyDescent="0.25">
      <c r="A1232">
        <v>1486</v>
      </c>
      <c r="B1232" t="s">
        <v>7262</v>
      </c>
      <c r="C1232" t="s">
        <v>7263</v>
      </c>
    </row>
    <row r="1233" spans="1:3" x14ac:dyDescent="0.25">
      <c r="A1233">
        <v>1257</v>
      </c>
      <c r="B1233" t="s">
        <v>7264</v>
      </c>
      <c r="C1233" t="s">
        <v>7265</v>
      </c>
    </row>
    <row r="1234" spans="1:3" x14ac:dyDescent="0.25">
      <c r="A1234">
        <v>1569</v>
      </c>
      <c r="B1234" t="s">
        <v>7266</v>
      </c>
      <c r="C1234" t="s">
        <v>7267</v>
      </c>
    </row>
    <row r="1235" spans="1:3" x14ac:dyDescent="0.25">
      <c r="A1235">
        <v>821</v>
      </c>
      <c r="B1235" t="s">
        <v>7268</v>
      </c>
      <c r="C1235" t="s">
        <v>7269</v>
      </c>
    </row>
    <row r="1236" spans="1:3" x14ac:dyDescent="0.25">
      <c r="A1236">
        <v>184</v>
      </c>
      <c r="B1236" t="s">
        <v>7270</v>
      </c>
      <c r="C1236" t="s">
        <v>7271</v>
      </c>
    </row>
    <row r="1237" spans="1:3" x14ac:dyDescent="0.25">
      <c r="A1237">
        <v>1211</v>
      </c>
      <c r="B1237" t="s">
        <v>7272</v>
      </c>
      <c r="C1237" t="s">
        <v>7273</v>
      </c>
    </row>
    <row r="1238" spans="1:3" x14ac:dyDescent="0.25">
      <c r="A1238">
        <v>1566</v>
      </c>
      <c r="B1238" t="s">
        <v>7274</v>
      </c>
      <c r="C1238" t="s">
        <v>7275</v>
      </c>
    </row>
    <row r="1239" spans="1:3" x14ac:dyDescent="0.25">
      <c r="A1239">
        <v>1382</v>
      </c>
      <c r="B1239" t="s">
        <v>7276</v>
      </c>
      <c r="C1239" t="s">
        <v>7277</v>
      </c>
    </row>
    <row r="1240" spans="1:3" x14ac:dyDescent="0.25">
      <c r="A1240">
        <v>1301</v>
      </c>
      <c r="B1240" t="s">
        <v>7278</v>
      </c>
      <c r="C1240" t="s">
        <v>7279</v>
      </c>
    </row>
    <row r="1241" spans="1:3" x14ac:dyDescent="0.25">
      <c r="A1241">
        <v>1054</v>
      </c>
      <c r="B1241" t="s">
        <v>7280</v>
      </c>
      <c r="C1241" t="s">
        <v>498</v>
      </c>
    </row>
    <row r="1242" spans="1:3" x14ac:dyDescent="0.25">
      <c r="A1242">
        <v>1554</v>
      </c>
      <c r="B1242" t="s">
        <v>7281</v>
      </c>
      <c r="C1242" t="s">
        <v>7282</v>
      </c>
    </row>
    <row r="1243" spans="1:3" x14ac:dyDescent="0.25">
      <c r="A1243">
        <v>1638</v>
      </c>
      <c r="B1243" t="s">
        <v>7283</v>
      </c>
      <c r="C1243" t="s">
        <v>7284</v>
      </c>
    </row>
    <row r="1244" spans="1:3" x14ac:dyDescent="0.25">
      <c r="A1244">
        <v>1567</v>
      </c>
      <c r="B1244" t="s">
        <v>7285</v>
      </c>
      <c r="C1244" t="s">
        <v>7286</v>
      </c>
    </row>
    <row r="1245" spans="1:3" x14ac:dyDescent="0.25">
      <c r="A1245">
        <v>847</v>
      </c>
      <c r="B1245" t="s">
        <v>7287</v>
      </c>
      <c r="C1245" t="s">
        <v>7288</v>
      </c>
    </row>
    <row r="1246" spans="1:3" x14ac:dyDescent="0.25">
      <c r="A1246">
        <v>1334</v>
      </c>
      <c r="B1246" t="s">
        <v>7289</v>
      </c>
      <c r="C1246" t="s">
        <v>7290</v>
      </c>
    </row>
    <row r="1247" spans="1:3" x14ac:dyDescent="0.25">
      <c r="A1247">
        <v>1683</v>
      </c>
      <c r="B1247" t="s">
        <v>7291</v>
      </c>
      <c r="C1247" t="s">
        <v>7292</v>
      </c>
    </row>
    <row r="1248" spans="1:3" x14ac:dyDescent="0.25">
      <c r="A1248">
        <v>496</v>
      </c>
      <c r="B1248" t="s">
        <v>7293</v>
      </c>
      <c r="C1248" t="s">
        <v>7294</v>
      </c>
    </row>
    <row r="1249" spans="1:3" x14ac:dyDescent="0.25">
      <c r="A1249">
        <v>782</v>
      </c>
      <c r="B1249" t="s">
        <v>7295</v>
      </c>
      <c r="C1249" t="s">
        <v>7296</v>
      </c>
    </row>
    <row r="1250" spans="1:3" x14ac:dyDescent="0.25">
      <c r="A1250">
        <v>345</v>
      </c>
      <c r="B1250" t="s">
        <v>7297</v>
      </c>
      <c r="C1250" t="s">
        <v>7298</v>
      </c>
    </row>
    <row r="1251" spans="1:3" x14ac:dyDescent="0.25">
      <c r="A1251">
        <v>588</v>
      </c>
      <c r="B1251" t="s">
        <v>7299</v>
      </c>
      <c r="C1251" t="s">
        <v>7300</v>
      </c>
    </row>
    <row r="1252" spans="1:3" x14ac:dyDescent="0.25">
      <c r="A1252">
        <v>768</v>
      </c>
      <c r="B1252" t="s">
        <v>7301</v>
      </c>
      <c r="C1252" t="s">
        <v>7302</v>
      </c>
    </row>
    <row r="1253" spans="1:3" x14ac:dyDescent="0.25">
      <c r="A1253">
        <v>1287</v>
      </c>
      <c r="B1253" t="s">
        <v>7303</v>
      </c>
      <c r="C1253" t="s">
        <v>7304</v>
      </c>
    </row>
    <row r="1254" spans="1:3" x14ac:dyDescent="0.25">
      <c r="A1254">
        <v>1392</v>
      </c>
      <c r="B1254" t="s">
        <v>7305</v>
      </c>
      <c r="C1254" t="s">
        <v>7306</v>
      </c>
    </row>
    <row r="1255" spans="1:3" x14ac:dyDescent="0.25">
      <c r="A1255">
        <v>1067</v>
      </c>
      <c r="B1255" t="s">
        <v>7307</v>
      </c>
      <c r="C1255" t="s">
        <v>502</v>
      </c>
    </row>
    <row r="1256" spans="1:3" x14ac:dyDescent="0.25">
      <c r="A1256">
        <v>936</v>
      </c>
      <c r="B1256" t="s">
        <v>7308</v>
      </c>
      <c r="C1256" t="s">
        <v>7309</v>
      </c>
    </row>
    <row r="1257" spans="1:3" x14ac:dyDescent="0.25">
      <c r="A1257">
        <v>1395</v>
      </c>
      <c r="B1257" t="s">
        <v>7310</v>
      </c>
      <c r="C1257" t="s">
        <v>7311</v>
      </c>
    </row>
    <row r="1258" spans="1:3" x14ac:dyDescent="0.25">
      <c r="A1258">
        <v>167</v>
      </c>
      <c r="B1258" t="s">
        <v>7312</v>
      </c>
      <c r="C1258" t="s">
        <v>7313</v>
      </c>
    </row>
    <row r="1259" spans="1:3" x14ac:dyDescent="0.25">
      <c r="A1259">
        <v>1380</v>
      </c>
      <c r="B1259" t="s">
        <v>7314</v>
      </c>
      <c r="C1259" t="s">
        <v>7315</v>
      </c>
    </row>
    <row r="1260" spans="1:3" x14ac:dyDescent="0.25">
      <c r="A1260">
        <v>599</v>
      </c>
      <c r="B1260" t="s">
        <v>7316</v>
      </c>
      <c r="C1260" t="s">
        <v>49</v>
      </c>
    </row>
    <row r="1261" spans="1:3" x14ac:dyDescent="0.25">
      <c r="A1261">
        <v>81</v>
      </c>
      <c r="B1261" t="s">
        <v>7317</v>
      </c>
      <c r="C1261" t="s">
        <v>7318</v>
      </c>
    </row>
    <row r="1262" spans="1:3" x14ac:dyDescent="0.25">
      <c r="A1262">
        <v>288</v>
      </c>
      <c r="B1262" t="s">
        <v>7319</v>
      </c>
      <c r="C1262" t="s">
        <v>7320</v>
      </c>
    </row>
    <row r="1263" spans="1:3" x14ac:dyDescent="0.25">
      <c r="A1263">
        <v>425</v>
      </c>
      <c r="B1263" t="s">
        <v>7321</v>
      </c>
      <c r="C1263" t="s">
        <v>7322</v>
      </c>
    </row>
    <row r="1264" spans="1:3" x14ac:dyDescent="0.25">
      <c r="A1264">
        <v>971</v>
      </c>
      <c r="B1264" t="s">
        <v>7323</v>
      </c>
      <c r="C1264" t="s">
        <v>7324</v>
      </c>
    </row>
    <row r="1265" spans="1:3" x14ac:dyDescent="0.25">
      <c r="A1265">
        <v>1049</v>
      </c>
      <c r="B1265" t="s">
        <v>7325</v>
      </c>
      <c r="C1265" t="s">
        <v>139</v>
      </c>
    </row>
    <row r="1266" spans="1:3" x14ac:dyDescent="0.25">
      <c r="A1266">
        <v>95</v>
      </c>
      <c r="B1266" t="s">
        <v>7326</v>
      </c>
      <c r="C1266" t="s">
        <v>1400</v>
      </c>
    </row>
    <row r="1267" spans="1:3" x14ac:dyDescent="0.25">
      <c r="A1267">
        <v>164</v>
      </c>
      <c r="B1267" t="s">
        <v>7327</v>
      </c>
      <c r="C1267" t="s">
        <v>7328</v>
      </c>
    </row>
    <row r="1268" spans="1:3" x14ac:dyDescent="0.25">
      <c r="A1268">
        <v>1038</v>
      </c>
      <c r="B1268" t="s">
        <v>7329</v>
      </c>
      <c r="C1268" t="s">
        <v>856</v>
      </c>
    </row>
    <row r="1269" spans="1:3" x14ac:dyDescent="0.25">
      <c r="A1269">
        <v>16</v>
      </c>
      <c r="B1269" t="s">
        <v>7330</v>
      </c>
      <c r="C1269" t="s">
        <v>7331</v>
      </c>
    </row>
    <row r="1270" spans="1:3" x14ac:dyDescent="0.25">
      <c r="A1270">
        <v>393</v>
      </c>
      <c r="B1270" t="s">
        <v>7332</v>
      </c>
      <c r="C1270" t="s">
        <v>7333</v>
      </c>
    </row>
    <row r="1271" spans="1:3" x14ac:dyDescent="0.25">
      <c r="A1271">
        <v>1071</v>
      </c>
      <c r="B1271" t="s">
        <v>7334</v>
      </c>
      <c r="C1271" t="s">
        <v>7335</v>
      </c>
    </row>
    <row r="1272" spans="1:3" x14ac:dyDescent="0.25">
      <c r="A1272">
        <v>1364</v>
      </c>
      <c r="B1272" t="s">
        <v>7336</v>
      </c>
      <c r="C1272" t="s">
        <v>7337</v>
      </c>
    </row>
    <row r="1273" spans="1:3" x14ac:dyDescent="0.25">
      <c r="A1273">
        <v>226</v>
      </c>
      <c r="B1273" t="s">
        <v>7338</v>
      </c>
      <c r="C1273" t="s">
        <v>7339</v>
      </c>
    </row>
    <row r="1274" spans="1:3" x14ac:dyDescent="0.25">
      <c r="A1274">
        <v>693</v>
      </c>
      <c r="B1274" t="s">
        <v>7340</v>
      </c>
      <c r="C1274" t="s">
        <v>7341</v>
      </c>
    </row>
    <row r="1275" spans="1:3" x14ac:dyDescent="0.25">
      <c r="A1275">
        <v>73</v>
      </c>
      <c r="B1275" t="s">
        <v>7342</v>
      </c>
      <c r="C1275" t="s">
        <v>2403</v>
      </c>
    </row>
    <row r="1276" spans="1:3" x14ac:dyDescent="0.25">
      <c r="A1276">
        <v>1167</v>
      </c>
      <c r="B1276" t="s">
        <v>7343</v>
      </c>
      <c r="C1276" t="s">
        <v>567</v>
      </c>
    </row>
    <row r="1277" spans="1:3" x14ac:dyDescent="0.25">
      <c r="A1277">
        <v>410</v>
      </c>
      <c r="B1277" t="s">
        <v>7344</v>
      </c>
      <c r="C1277" t="s">
        <v>7345</v>
      </c>
    </row>
    <row r="1278" spans="1:3" x14ac:dyDescent="0.25">
      <c r="A1278">
        <v>708</v>
      </c>
      <c r="B1278" t="s">
        <v>7346</v>
      </c>
      <c r="C1278" t="s">
        <v>7347</v>
      </c>
    </row>
    <row r="1279" spans="1:3" x14ac:dyDescent="0.25">
      <c r="A1279">
        <v>1519</v>
      </c>
      <c r="B1279" t="s">
        <v>7348</v>
      </c>
      <c r="C1279" t="s">
        <v>7349</v>
      </c>
    </row>
    <row r="1280" spans="1:3" x14ac:dyDescent="0.25">
      <c r="A1280">
        <v>957</v>
      </c>
      <c r="B1280" t="s">
        <v>7350</v>
      </c>
      <c r="C1280" t="s">
        <v>7351</v>
      </c>
    </row>
    <row r="1281" spans="1:3" x14ac:dyDescent="0.25">
      <c r="A1281">
        <v>1044</v>
      </c>
      <c r="B1281" t="s">
        <v>7352</v>
      </c>
      <c r="C1281" t="s">
        <v>7353</v>
      </c>
    </row>
    <row r="1282" spans="1:3" x14ac:dyDescent="0.25">
      <c r="A1282">
        <v>1449</v>
      </c>
      <c r="B1282" t="s">
        <v>7354</v>
      </c>
      <c r="C1282" t="s">
        <v>7355</v>
      </c>
    </row>
    <row r="1283" spans="1:3" x14ac:dyDescent="0.25">
      <c r="A1283">
        <v>1580</v>
      </c>
      <c r="B1283" t="s">
        <v>7356</v>
      </c>
      <c r="C1283" t="s">
        <v>7357</v>
      </c>
    </row>
    <row r="1284" spans="1:3" x14ac:dyDescent="0.25">
      <c r="A1284">
        <v>653</v>
      </c>
      <c r="B1284" t="s">
        <v>7358</v>
      </c>
      <c r="C1284" t="s">
        <v>156</v>
      </c>
    </row>
    <row r="1285" spans="1:3" x14ac:dyDescent="0.25">
      <c r="A1285">
        <v>514</v>
      </c>
      <c r="B1285" t="s">
        <v>7359</v>
      </c>
      <c r="C1285" t="s">
        <v>7360</v>
      </c>
    </row>
    <row r="1286" spans="1:3" x14ac:dyDescent="0.25">
      <c r="A1286">
        <v>1387</v>
      </c>
      <c r="B1286" t="s">
        <v>7361</v>
      </c>
      <c r="C1286" t="s">
        <v>7362</v>
      </c>
    </row>
    <row r="1287" spans="1:3" x14ac:dyDescent="0.25">
      <c r="A1287">
        <v>413</v>
      </c>
      <c r="B1287" t="s">
        <v>7363</v>
      </c>
      <c r="C1287" t="s">
        <v>7364</v>
      </c>
    </row>
    <row r="1288" spans="1:3" x14ac:dyDescent="0.25">
      <c r="A1288">
        <v>1327</v>
      </c>
      <c r="B1288" t="s">
        <v>7365</v>
      </c>
      <c r="C1288" t="s">
        <v>7366</v>
      </c>
    </row>
    <row r="1289" spans="1:3" x14ac:dyDescent="0.25">
      <c r="A1289">
        <v>888</v>
      </c>
      <c r="B1289" t="s">
        <v>7367</v>
      </c>
      <c r="C1289" t="s">
        <v>7368</v>
      </c>
    </row>
    <row r="1290" spans="1:3" x14ac:dyDescent="0.25">
      <c r="A1290">
        <v>925</v>
      </c>
      <c r="B1290" t="s">
        <v>7369</v>
      </c>
      <c r="C1290" t="s">
        <v>7370</v>
      </c>
    </row>
    <row r="1291" spans="1:3" x14ac:dyDescent="0.25">
      <c r="A1291">
        <v>741</v>
      </c>
      <c r="B1291" t="s">
        <v>7371</v>
      </c>
      <c r="C1291" t="s">
        <v>7372</v>
      </c>
    </row>
    <row r="1292" spans="1:3" x14ac:dyDescent="0.25">
      <c r="A1292">
        <v>368</v>
      </c>
      <c r="B1292" t="s">
        <v>7373</v>
      </c>
      <c r="C1292" t="s">
        <v>7374</v>
      </c>
    </row>
    <row r="1293" spans="1:3" x14ac:dyDescent="0.25">
      <c r="A1293">
        <v>1379</v>
      </c>
      <c r="B1293" t="s">
        <v>7375</v>
      </c>
      <c r="C1293" t="s">
        <v>7376</v>
      </c>
    </row>
    <row r="1294" spans="1:3" x14ac:dyDescent="0.25">
      <c r="A1294">
        <v>946</v>
      </c>
      <c r="B1294" t="s">
        <v>7377</v>
      </c>
      <c r="C1294" t="s">
        <v>7378</v>
      </c>
    </row>
    <row r="1295" spans="1:3" x14ac:dyDescent="0.25">
      <c r="A1295">
        <v>909</v>
      </c>
      <c r="B1295" t="s">
        <v>7379</v>
      </c>
      <c r="C1295" t="s">
        <v>7380</v>
      </c>
    </row>
    <row r="1296" spans="1:3" x14ac:dyDescent="0.25">
      <c r="A1296">
        <v>865</v>
      </c>
      <c r="B1296" t="s">
        <v>7381</v>
      </c>
      <c r="C1296" t="s">
        <v>7382</v>
      </c>
    </row>
    <row r="1297" spans="1:3" x14ac:dyDescent="0.25">
      <c r="A1297">
        <v>809</v>
      </c>
      <c r="B1297" t="s">
        <v>7383</v>
      </c>
      <c r="C1297" t="s">
        <v>877</v>
      </c>
    </row>
    <row r="1298" spans="1:3" x14ac:dyDescent="0.25">
      <c r="A1298">
        <v>672</v>
      </c>
      <c r="B1298" t="s">
        <v>7384</v>
      </c>
      <c r="C1298" t="s">
        <v>7385</v>
      </c>
    </row>
    <row r="1299" spans="1:3" x14ac:dyDescent="0.25">
      <c r="A1299">
        <v>97</v>
      </c>
      <c r="B1299" t="s">
        <v>7386</v>
      </c>
      <c r="C1299" t="s">
        <v>7387</v>
      </c>
    </row>
    <row r="1300" spans="1:3" x14ac:dyDescent="0.25">
      <c r="A1300">
        <v>772</v>
      </c>
      <c r="B1300" t="s">
        <v>7388</v>
      </c>
      <c r="C1300" t="s">
        <v>7389</v>
      </c>
    </row>
    <row r="1301" spans="1:3" x14ac:dyDescent="0.25">
      <c r="A1301">
        <v>419</v>
      </c>
      <c r="B1301" t="s">
        <v>7390</v>
      </c>
      <c r="C1301" t="s">
        <v>7391</v>
      </c>
    </row>
    <row r="1302" spans="1:3" x14ac:dyDescent="0.25">
      <c r="A1302">
        <v>1098</v>
      </c>
      <c r="B1302" t="s">
        <v>7392</v>
      </c>
      <c r="C1302" t="s">
        <v>3169</v>
      </c>
    </row>
    <row r="1303" spans="1:3" x14ac:dyDescent="0.25">
      <c r="A1303">
        <v>1247</v>
      </c>
      <c r="B1303" t="s">
        <v>7393</v>
      </c>
      <c r="C1303" t="s">
        <v>7394</v>
      </c>
    </row>
    <row r="1304" spans="1:3" x14ac:dyDescent="0.25">
      <c r="A1304">
        <v>56</v>
      </c>
      <c r="B1304" t="s">
        <v>7395</v>
      </c>
      <c r="C1304" t="s">
        <v>7396</v>
      </c>
    </row>
    <row r="1305" spans="1:3" x14ac:dyDescent="0.25">
      <c r="A1305">
        <v>202</v>
      </c>
      <c r="B1305" t="s">
        <v>7397</v>
      </c>
      <c r="C1305" t="s">
        <v>365</v>
      </c>
    </row>
    <row r="1306" spans="1:3" x14ac:dyDescent="0.25">
      <c r="A1306">
        <v>774</v>
      </c>
      <c r="B1306" t="s">
        <v>7398</v>
      </c>
      <c r="C1306" t="s">
        <v>7399</v>
      </c>
    </row>
    <row r="1307" spans="1:3" x14ac:dyDescent="0.25">
      <c r="A1307">
        <v>2</v>
      </c>
      <c r="B1307" t="s">
        <v>7400</v>
      </c>
      <c r="C1307" t="s">
        <v>7401</v>
      </c>
    </row>
    <row r="1308" spans="1:3" x14ac:dyDescent="0.25">
      <c r="A1308">
        <v>362</v>
      </c>
      <c r="B1308" t="s">
        <v>7402</v>
      </c>
      <c r="C1308" t="s">
        <v>7403</v>
      </c>
    </row>
    <row r="1309" spans="1:3" x14ac:dyDescent="0.25">
      <c r="A1309">
        <v>208</v>
      </c>
      <c r="B1309" t="s">
        <v>7404</v>
      </c>
      <c r="C1309" t="s">
        <v>7405</v>
      </c>
    </row>
    <row r="1310" spans="1:3" x14ac:dyDescent="0.25">
      <c r="A1310">
        <v>59</v>
      </c>
      <c r="B1310" t="s">
        <v>7406</v>
      </c>
      <c r="C1310" t="s">
        <v>7407</v>
      </c>
    </row>
    <row r="1311" spans="1:3" x14ac:dyDescent="0.25">
      <c r="A1311">
        <v>740</v>
      </c>
      <c r="B1311" t="s">
        <v>7408</v>
      </c>
      <c r="C1311" t="s">
        <v>4641</v>
      </c>
    </row>
    <row r="1312" spans="1:3" x14ac:dyDescent="0.25">
      <c r="A1312">
        <v>1259</v>
      </c>
      <c r="B1312" t="s">
        <v>7409</v>
      </c>
      <c r="C1312" t="s">
        <v>7410</v>
      </c>
    </row>
    <row r="1313" spans="1:3" x14ac:dyDescent="0.25">
      <c r="A1313">
        <v>688</v>
      </c>
      <c r="B1313" t="s">
        <v>7411</v>
      </c>
      <c r="C1313" t="s">
        <v>7412</v>
      </c>
    </row>
    <row r="1314" spans="1:3" x14ac:dyDescent="0.25">
      <c r="A1314">
        <v>1298</v>
      </c>
      <c r="B1314" t="s">
        <v>7413</v>
      </c>
      <c r="C1314" t="s">
        <v>882</v>
      </c>
    </row>
    <row r="1315" spans="1:3" x14ac:dyDescent="0.25">
      <c r="A1315">
        <v>1234</v>
      </c>
      <c r="B1315" t="s">
        <v>7414</v>
      </c>
      <c r="C1315" t="s">
        <v>4275</v>
      </c>
    </row>
    <row r="1316" spans="1:3" x14ac:dyDescent="0.25">
      <c r="A1316">
        <v>1473</v>
      </c>
      <c r="B1316" t="s">
        <v>7415</v>
      </c>
      <c r="C1316" t="s">
        <v>7416</v>
      </c>
    </row>
    <row r="1317" spans="1:3" x14ac:dyDescent="0.25">
      <c r="A1317">
        <v>596</v>
      </c>
      <c r="B1317" t="s">
        <v>7417</v>
      </c>
      <c r="C1317" t="s">
        <v>7418</v>
      </c>
    </row>
    <row r="1318" spans="1:3" x14ac:dyDescent="0.25">
      <c r="A1318">
        <v>1217</v>
      </c>
      <c r="B1318" t="s">
        <v>7419</v>
      </c>
      <c r="C1318" t="s">
        <v>2253</v>
      </c>
    </row>
    <row r="1319" spans="1:3" x14ac:dyDescent="0.25">
      <c r="A1319">
        <v>898</v>
      </c>
      <c r="B1319" t="s">
        <v>7420</v>
      </c>
      <c r="C1319" t="s">
        <v>7421</v>
      </c>
    </row>
    <row r="1320" spans="1:3" x14ac:dyDescent="0.25">
      <c r="A1320">
        <v>557</v>
      </c>
      <c r="B1320" t="s">
        <v>7422</v>
      </c>
      <c r="C1320" t="s">
        <v>7423</v>
      </c>
    </row>
    <row r="1321" spans="1:3" x14ac:dyDescent="0.25">
      <c r="A1321">
        <v>574</v>
      </c>
      <c r="B1321" t="s">
        <v>7424</v>
      </c>
      <c r="C1321" t="s">
        <v>7425</v>
      </c>
    </row>
    <row r="1322" spans="1:3" x14ac:dyDescent="0.25">
      <c r="A1322">
        <v>1494</v>
      </c>
      <c r="B1322" t="s">
        <v>7426</v>
      </c>
      <c r="C1322" t="s">
        <v>7427</v>
      </c>
    </row>
    <row r="1323" spans="1:3" x14ac:dyDescent="0.25">
      <c r="A1323">
        <v>409</v>
      </c>
      <c r="B1323" t="s">
        <v>7428</v>
      </c>
      <c r="C1323" t="s">
        <v>7429</v>
      </c>
    </row>
    <row r="1324" spans="1:3" x14ac:dyDescent="0.25">
      <c r="A1324">
        <v>233</v>
      </c>
      <c r="B1324" t="s">
        <v>7430</v>
      </c>
      <c r="C1324" t="s">
        <v>7431</v>
      </c>
    </row>
    <row r="1325" spans="1:3" x14ac:dyDescent="0.25">
      <c r="A1325">
        <v>833</v>
      </c>
      <c r="B1325" t="s">
        <v>7432</v>
      </c>
      <c r="C1325" t="s">
        <v>7433</v>
      </c>
    </row>
    <row r="1326" spans="1:3" x14ac:dyDescent="0.25">
      <c r="A1326">
        <v>85</v>
      </c>
      <c r="B1326" t="s">
        <v>7434</v>
      </c>
      <c r="C1326" t="s">
        <v>7435</v>
      </c>
    </row>
    <row r="1327" spans="1:3" x14ac:dyDescent="0.25">
      <c r="A1327">
        <v>1094</v>
      </c>
      <c r="B1327" t="s">
        <v>7436</v>
      </c>
      <c r="C1327" t="s">
        <v>15</v>
      </c>
    </row>
    <row r="1328" spans="1:3" x14ac:dyDescent="0.25">
      <c r="A1328">
        <v>1428</v>
      </c>
      <c r="B1328" t="s">
        <v>7437</v>
      </c>
      <c r="C1328" t="s">
        <v>7438</v>
      </c>
    </row>
    <row r="1329" spans="1:3" x14ac:dyDescent="0.25">
      <c r="A1329">
        <v>1660</v>
      </c>
      <c r="B1329" t="s">
        <v>7439</v>
      </c>
      <c r="C1329" t="s">
        <v>7440</v>
      </c>
    </row>
    <row r="1330" spans="1:3" x14ac:dyDescent="0.25">
      <c r="A1330">
        <v>301</v>
      </c>
      <c r="B1330" t="s">
        <v>7441</v>
      </c>
      <c r="C1330" t="s">
        <v>7442</v>
      </c>
    </row>
    <row r="1331" spans="1:3" x14ac:dyDescent="0.25">
      <c r="A1331">
        <v>204</v>
      </c>
      <c r="B1331" t="s">
        <v>7443</v>
      </c>
      <c r="C1331" t="s">
        <v>7444</v>
      </c>
    </row>
    <row r="1332" spans="1:3" x14ac:dyDescent="0.25">
      <c r="A1332">
        <v>1590</v>
      </c>
      <c r="B1332" t="s">
        <v>7445</v>
      </c>
      <c r="C1332" t="s">
        <v>7446</v>
      </c>
    </row>
    <row r="1333" spans="1:3" x14ac:dyDescent="0.25">
      <c r="A1333">
        <v>855</v>
      </c>
      <c r="B1333" t="s">
        <v>7447</v>
      </c>
      <c r="C1333" t="s">
        <v>507</v>
      </c>
    </row>
    <row r="1334" spans="1:3" x14ac:dyDescent="0.25">
      <c r="A1334">
        <v>12</v>
      </c>
      <c r="B1334" t="s">
        <v>7448</v>
      </c>
      <c r="C1334" t="s">
        <v>7449</v>
      </c>
    </row>
    <row r="1335" spans="1:3" x14ac:dyDescent="0.25">
      <c r="A1335">
        <v>848</v>
      </c>
      <c r="B1335" t="s">
        <v>7450</v>
      </c>
      <c r="C1335" t="s">
        <v>7451</v>
      </c>
    </row>
    <row r="1336" spans="1:3" x14ac:dyDescent="0.25">
      <c r="A1336">
        <v>922</v>
      </c>
      <c r="B1336" t="s">
        <v>7452</v>
      </c>
      <c r="C1336" t="s">
        <v>7453</v>
      </c>
    </row>
    <row r="1337" spans="1:3" x14ac:dyDescent="0.25">
      <c r="A1337">
        <v>138</v>
      </c>
      <c r="B1337" t="s">
        <v>7454</v>
      </c>
      <c r="C1337" t="s">
        <v>7455</v>
      </c>
    </row>
    <row r="1338" spans="1:3" x14ac:dyDescent="0.25">
      <c r="A1338">
        <v>404</v>
      </c>
      <c r="B1338" t="s">
        <v>7456</v>
      </c>
      <c r="C1338" t="s">
        <v>7457</v>
      </c>
    </row>
    <row r="1339" spans="1:3" x14ac:dyDescent="0.25">
      <c r="A1339">
        <v>840</v>
      </c>
      <c r="B1339" t="s">
        <v>7458</v>
      </c>
      <c r="C1339" t="s">
        <v>7459</v>
      </c>
    </row>
    <row r="1340" spans="1:3" x14ac:dyDescent="0.25">
      <c r="A1340">
        <v>1129</v>
      </c>
      <c r="B1340" t="s">
        <v>7460</v>
      </c>
      <c r="C1340" t="s">
        <v>7461</v>
      </c>
    </row>
    <row r="1341" spans="1:3" x14ac:dyDescent="0.25">
      <c r="A1341">
        <v>661</v>
      </c>
      <c r="B1341" t="s">
        <v>7462</v>
      </c>
      <c r="C1341" t="s">
        <v>7463</v>
      </c>
    </row>
    <row r="1342" spans="1:3" x14ac:dyDescent="0.25">
      <c r="A1342">
        <v>1151</v>
      </c>
      <c r="B1342" t="s">
        <v>7464</v>
      </c>
      <c r="C1342" t="s">
        <v>183</v>
      </c>
    </row>
    <row r="1343" spans="1:3" x14ac:dyDescent="0.25">
      <c r="A1343">
        <v>1312</v>
      </c>
      <c r="B1343" t="s">
        <v>7465</v>
      </c>
      <c r="C1343" t="s">
        <v>3922</v>
      </c>
    </row>
    <row r="1344" spans="1:3" x14ac:dyDescent="0.25">
      <c r="A1344">
        <v>161</v>
      </c>
      <c r="B1344" t="s">
        <v>7466</v>
      </c>
      <c r="C1344" t="s">
        <v>133</v>
      </c>
    </row>
    <row r="1345" spans="1:3" x14ac:dyDescent="0.25">
      <c r="A1345">
        <v>307</v>
      </c>
      <c r="B1345" t="s">
        <v>7467</v>
      </c>
      <c r="C1345" t="s">
        <v>7468</v>
      </c>
    </row>
    <row r="1346" spans="1:3" x14ac:dyDescent="0.25">
      <c r="A1346">
        <v>463</v>
      </c>
      <c r="B1346" t="s">
        <v>7469</v>
      </c>
      <c r="C1346" t="s">
        <v>7470</v>
      </c>
    </row>
    <row r="1347" spans="1:3" x14ac:dyDescent="0.25">
      <c r="A1347">
        <v>1102</v>
      </c>
      <c r="B1347" t="s">
        <v>7471</v>
      </c>
      <c r="C1347" t="s">
        <v>7472</v>
      </c>
    </row>
    <row r="1348" spans="1:3" x14ac:dyDescent="0.25">
      <c r="A1348">
        <v>1578</v>
      </c>
      <c r="B1348" t="s">
        <v>7473</v>
      </c>
      <c r="C1348" t="s">
        <v>7474</v>
      </c>
    </row>
    <row r="1349" spans="1:3" x14ac:dyDescent="0.25">
      <c r="A1349">
        <v>999</v>
      </c>
      <c r="B1349" t="s">
        <v>7475</v>
      </c>
      <c r="C1349" t="s">
        <v>7475</v>
      </c>
    </row>
    <row r="1350" spans="1:3" x14ac:dyDescent="0.25">
      <c r="A1350">
        <v>1677</v>
      </c>
      <c r="B1350" t="s">
        <v>7476</v>
      </c>
      <c r="C1350" t="s">
        <v>7476</v>
      </c>
    </row>
    <row r="1351" spans="1:3" x14ac:dyDescent="0.25">
      <c r="A1351">
        <v>1678</v>
      </c>
      <c r="B1351" t="s">
        <v>7477</v>
      </c>
      <c r="C1351" t="s">
        <v>7477</v>
      </c>
    </row>
    <row r="1352" spans="1:3" x14ac:dyDescent="0.25">
      <c r="A1352">
        <v>1046</v>
      </c>
      <c r="B1352" t="s">
        <v>7478</v>
      </c>
      <c r="C1352" t="s">
        <v>7478</v>
      </c>
    </row>
    <row r="1353" spans="1:3" x14ac:dyDescent="0.25">
      <c r="A1353">
        <v>19</v>
      </c>
      <c r="B1353" t="s">
        <v>7479</v>
      </c>
      <c r="C1353" t="s">
        <v>7480</v>
      </c>
    </row>
    <row r="1354" spans="1:3" x14ac:dyDescent="0.25">
      <c r="A1354">
        <v>1547</v>
      </c>
      <c r="B1354" t="s">
        <v>7481</v>
      </c>
      <c r="C1354" t="s">
        <v>7481</v>
      </c>
    </row>
    <row r="1355" spans="1:3" x14ac:dyDescent="0.25">
      <c r="A1355">
        <v>1548</v>
      </c>
      <c r="B1355" t="s">
        <v>7482</v>
      </c>
      <c r="C1355" t="s">
        <v>7482</v>
      </c>
    </row>
    <row r="1356" spans="1:3" x14ac:dyDescent="0.25">
      <c r="A1356">
        <v>1549</v>
      </c>
      <c r="B1356" t="s">
        <v>7483</v>
      </c>
      <c r="C1356" t="s">
        <v>7483</v>
      </c>
    </row>
    <row r="1357" spans="1:3" x14ac:dyDescent="0.25">
      <c r="A1357">
        <v>1551</v>
      </c>
      <c r="B1357" t="s">
        <v>7484</v>
      </c>
      <c r="C1357" t="s">
        <v>7485</v>
      </c>
    </row>
    <row r="1358" spans="1:3" x14ac:dyDescent="0.25">
      <c r="A1358">
        <v>31</v>
      </c>
      <c r="B1358" t="s">
        <v>7486</v>
      </c>
      <c r="C1358" t="s">
        <v>7486</v>
      </c>
    </row>
    <row r="1359" spans="1:3" x14ac:dyDescent="0.25">
      <c r="A1359">
        <v>1674</v>
      </c>
      <c r="B1359" t="s">
        <v>7487</v>
      </c>
      <c r="C1359" t="s">
        <v>7487</v>
      </c>
    </row>
    <row r="1360" spans="1:3" x14ac:dyDescent="0.25">
      <c r="A1360">
        <v>38</v>
      </c>
      <c r="B1360" t="s">
        <v>7488</v>
      </c>
      <c r="C1360" t="s">
        <v>7488</v>
      </c>
    </row>
    <row r="1361" spans="1:3" x14ac:dyDescent="0.25">
      <c r="A1361">
        <v>1508</v>
      </c>
      <c r="B1361" t="s">
        <v>7489</v>
      </c>
      <c r="C1361" t="s">
        <v>7489</v>
      </c>
    </row>
    <row r="1362" spans="1:3" x14ac:dyDescent="0.25">
      <c r="A1362">
        <v>79</v>
      </c>
      <c r="B1362" t="s">
        <v>7490</v>
      </c>
      <c r="C1362" t="s">
        <v>7490</v>
      </c>
    </row>
    <row r="1363" spans="1:3" x14ac:dyDescent="0.25">
      <c r="A1363">
        <v>1673</v>
      </c>
      <c r="B1363" t="s">
        <v>7491</v>
      </c>
      <c r="C1363" t="s">
        <v>7491</v>
      </c>
    </row>
    <row r="1364" spans="1:3" x14ac:dyDescent="0.25">
      <c r="A1364">
        <v>1687</v>
      </c>
      <c r="B1364" t="s">
        <v>7492</v>
      </c>
      <c r="C1364" t="s">
        <v>7492</v>
      </c>
    </row>
    <row r="1365" spans="1:3" x14ac:dyDescent="0.25">
      <c r="A1365">
        <v>1688</v>
      </c>
      <c r="B1365" t="s">
        <v>7493</v>
      </c>
      <c r="C1365" t="s">
        <v>7493</v>
      </c>
    </row>
    <row r="1366" spans="1:3" x14ac:dyDescent="0.25">
      <c r="A1366">
        <v>1689</v>
      </c>
      <c r="B1366" t="s">
        <v>7494</v>
      </c>
      <c r="C1366" t="s">
        <v>7494</v>
      </c>
    </row>
    <row r="1367" spans="1:3" x14ac:dyDescent="0.25">
      <c r="A1367">
        <v>1690</v>
      </c>
      <c r="B1367" t="s">
        <v>7495</v>
      </c>
      <c r="C1367" t="s">
        <v>7495</v>
      </c>
    </row>
    <row r="1368" spans="1:3" x14ac:dyDescent="0.25">
      <c r="A1368">
        <v>1692</v>
      </c>
      <c r="B1368" t="s">
        <v>7496</v>
      </c>
      <c r="C1368" t="s">
        <v>7496</v>
      </c>
    </row>
    <row r="1369" spans="1:3" x14ac:dyDescent="0.25">
      <c r="A1369">
        <v>1675</v>
      </c>
      <c r="B1369" t="s">
        <v>7497</v>
      </c>
      <c r="C1369" t="s">
        <v>7497</v>
      </c>
    </row>
    <row r="1370" spans="1:3" x14ac:dyDescent="0.25">
      <c r="A1370">
        <v>1676</v>
      </c>
      <c r="B1370" t="s">
        <v>7498</v>
      </c>
      <c r="C1370" t="s">
        <v>7499</v>
      </c>
    </row>
    <row r="1371" spans="1:3" x14ac:dyDescent="0.25">
      <c r="A1371">
        <v>256</v>
      </c>
      <c r="B1371" t="s">
        <v>7500</v>
      </c>
      <c r="C1371" t="s">
        <v>7500</v>
      </c>
    </row>
    <row r="1372" spans="1:3" x14ac:dyDescent="0.25">
      <c r="A1372">
        <v>258</v>
      </c>
      <c r="B1372" t="s">
        <v>7501</v>
      </c>
      <c r="C1372" t="s">
        <v>7501</v>
      </c>
    </row>
    <row r="1373" spans="1:3" x14ac:dyDescent="0.25">
      <c r="A1373">
        <v>295</v>
      </c>
      <c r="B1373" t="s">
        <v>7502</v>
      </c>
      <c r="C1373" t="s">
        <v>7502</v>
      </c>
    </row>
    <row r="1374" spans="1:3" x14ac:dyDescent="0.25">
      <c r="A1374">
        <v>1515</v>
      </c>
      <c r="B1374" t="s">
        <v>7503</v>
      </c>
      <c r="C1374" t="s">
        <v>7504</v>
      </c>
    </row>
    <row r="1375" spans="1:3" x14ac:dyDescent="0.25">
      <c r="A1375">
        <v>1669</v>
      </c>
      <c r="B1375" t="s">
        <v>7505</v>
      </c>
      <c r="C1375" t="s">
        <v>7506</v>
      </c>
    </row>
    <row r="1376" spans="1:3" x14ac:dyDescent="0.25">
      <c r="A1376">
        <v>1670</v>
      </c>
      <c r="B1376" t="s">
        <v>7507</v>
      </c>
      <c r="C1376" t="s">
        <v>7508</v>
      </c>
    </row>
    <row r="1377" spans="1:3" x14ac:dyDescent="0.25">
      <c r="A1377">
        <v>1672</v>
      </c>
      <c r="B1377" t="s">
        <v>7509</v>
      </c>
      <c r="C1377" t="s">
        <v>7510</v>
      </c>
    </row>
    <row r="1378" spans="1:3" x14ac:dyDescent="0.25">
      <c r="A1378">
        <v>1671</v>
      </c>
      <c r="B1378" t="s">
        <v>7511</v>
      </c>
      <c r="C1378" t="s">
        <v>7512</v>
      </c>
    </row>
    <row r="1379" spans="1:3" x14ac:dyDescent="0.25">
      <c r="A1379">
        <v>1522</v>
      </c>
      <c r="B1379" t="s">
        <v>7513</v>
      </c>
      <c r="C1379" t="s">
        <v>7514</v>
      </c>
    </row>
    <row r="1380" spans="1:3" x14ac:dyDescent="0.25">
      <c r="A1380">
        <v>1523</v>
      </c>
      <c r="B1380" t="s">
        <v>7515</v>
      </c>
      <c r="C1380" t="s">
        <v>7516</v>
      </c>
    </row>
    <row r="1381" spans="1:3" x14ac:dyDescent="0.25">
      <c r="A1381">
        <v>1524</v>
      </c>
      <c r="B1381" t="s">
        <v>7517</v>
      </c>
      <c r="C1381" t="s">
        <v>7518</v>
      </c>
    </row>
    <row r="1382" spans="1:3" x14ac:dyDescent="0.25">
      <c r="A1382">
        <v>391</v>
      </c>
      <c r="B1382" t="s">
        <v>7519</v>
      </c>
      <c r="C1382" t="s">
        <v>7519</v>
      </c>
    </row>
    <row r="1383" spans="1:3" x14ac:dyDescent="0.25">
      <c r="A1383">
        <v>426</v>
      </c>
      <c r="B1383" t="s">
        <v>7520</v>
      </c>
      <c r="C1383" t="s">
        <v>7520</v>
      </c>
    </row>
    <row r="1384" spans="1:3" x14ac:dyDescent="0.25">
      <c r="A1384">
        <v>1530</v>
      </c>
      <c r="B1384" t="s">
        <v>7521</v>
      </c>
      <c r="C1384" t="s">
        <v>7522</v>
      </c>
    </row>
    <row r="1385" spans="1:3" x14ac:dyDescent="0.25">
      <c r="A1385">
        <v>1654</v>
      </c>
      <c r="B1385" t="s">
        <v>7523</v>
      </c>
      <c r="C1385" t="s">
        <v>7524</v>
      </c>
    </row>
    <row r="1386" spans="1:3" x14ac:dyDescent="0.25">
      <c r="A1386">
        <v>1531</v>
      </c>
      <c r="B1386" t="s">
        <v>7525</v>
      </c>
      <c r="C1386" t="s">
        <v>7526</v>
      </c>
    </row>
    <row r="1387" spans="1:3" x14ac:dyDescent="0.25">
      <c r="A1387">
        <v>1532</v>
      </c>
      <c r="B1387" t="s">
        <v>7527</v>
      </c>
      <c r="C1387" t="s">
        <v>7528</v>
      </c>
    </row>
    <row r="1388" spans="1:3" x14ac:dyDescent="0.25">
      <c r="A1388">
        <v>1533</v>
      </c>
      <c r="B1388" t="s">
        <v>7529</v>
      </c>
      <c r="C1388" t="s">
        <v>7530</v>
      </c>
    </row>
    <row r="1389" spans="1:3" x14ac:dyDescent="0.25">
      <c r="A1389">
        <v>1534</v>
      </c>
      <c r="B1389" t="s">
        <v>7531</v>
      </c>
      <c r="C1389" t="s">
        <v>7532</v>
      </c>
    </row>
    <row r="1390" spans="1:3" x14ac:dyDescent="0.25">
      <c r="A1390">
        <v>1535</v>
      </c>
      <c r="B1390" t="s">
        <v>7533</v>
      </c>
      <c r="C1390" t="s">
        <v>7534</v>
      </c>
    </row>
    <row r="1391" spans="1:3" x14ac:dyDescent="0.25">
      <c r="A1391">
        <v>1521</v>
      </c>
      <c r="B1391" t="s">
        <v>7535</v>
      </c>
      <c r="C1391" t="s">
        <v>7536</v>
      </c>
    </row>
    <row r="1392" spans="1:3" x14ac:dyDescent="0.25">
      <c r="A1392">
        <v>1520</v>
      </c>
      <c r="B1392" t="s">
        <v>7537</v>
      </c>
      <c r="C1392" t="s">
        <v>7538</v>
      </c>
    </row>
    <row r="1393" spans="1:3" x14ac:dyDescent="0.25">
      <c r="A1393">
        <v>1536</v>
      </c>
      <c r="B1393" t="s">
        <v>7539</v>
      </c>
      <c r="C1393" t="s">
        <v>7540</v>
      </c>
    </row>
    <row r="1394" spans="1:3" x14ac:dyDescent="0.25">
      <c r="A1394">
        <v>1537</v>
      </c>
      <c r="B1394" t="s">
        <v>7541</v>
      </c>
      <c r="C1394" t="s">
        <v>7542</v>
      </c>
    </row>
    <row r="1395" spans="1:3" x14ac:dyDescent="0.25">
      <c r="A1395">
        <v>1538</v>
      </c>
      <c r="B1395" t="s">
        <v>7543</v>
      </c>
      <c r="C1395" t="s">
        <v>7544</v>
      </c>
    </row>
    <row r="1396" spans="1:3" x14ac:dyDescent="0.25">
      <c r="A1396">
        <v>1539</v>
      </c>
      <c r="B1396" t="s">
        <v>7545</v>
      </c>
      <c r="C1396" t="s">
        <v>7546</v>
      </c>
    </row>
    <row r="1397" spans="1:3" x14ac:dyDescent="0.25">
      <c r="A1397">
        <v>658</v>
      </c>
      <c r="B1397" t="s">
        <v>7547</v>
      </c>
      <c r="C1397" t="s">
        <v>7548</v>
      </c>
    </row>
    <row r="1398" spans="1:3" x14ac:dyDescent="0.25">
      <c r="A1398">
        <v>657</v>
      </c>
      <c r="B1398" t="s">
        <v>7549</v>
      </c>
      <c r="C1398" t="s">
        <v>7549</v>
      </c>
    </row>
    <row r="1399" spans="1:3" x14ac:dyDescent="0.25">
      <c r="A1399">
        <v>1552</v>
      </c>
      <c r="B1399" t="s">
        <v>7550</v>
      </c>
      <c r="C1399" t="s">
        <v>7551</v>
      </c>
    </row>
    <row r="1400" spans="1:3" x14ac:dyDescent="0.25">
      <c r="A1400">
        <v>1693</v>
      </c>
      <c r="B1400" t="s">
        <v>7552</v>
      </c>
      <c r="C1400" t="s">
        <v>7552</v>
      </c>
    </row>
    <row r="1401" spans="1:3" x14ac:dyDescent="0.25">
      <c r="A1401">
        <v>1540</v>
      </c>
      <c r="B1401" t="s">
        <v>7553</v>
      </c>
      <c r="C1401" t="s">
        <v>7554</v>
      </c>
    </row>
    <row r="1402" spans="1:3" x14ac:dyDescent="0.25">
      <c r="A1402">
        <v>1541</v>
      </c>
      <c r="B1402" t="s">
        <v>7555</v>
      </c>
      <c r="C1402" t="s">
        <v>7556</v>
      </c>
    </row>
    <row r="1403" spans="1:3" x14ac:dyDescent="0.25">
      <c r="A1403">
        <v>1627</v>
      </c>
      <c r="B1403" t="s">
        <v>7557</v>
      </c>
      <c r="C1403" t="s">
        <v>7558</v>
      </c>
    </row>
    <row r="1404" spans="1:3" x14ac:dyDescent="0.25">
      <c r="A1404">
        <v>1625</v>
      </c>
      <c r="B1404" t="s">
        <v>7559</v>
      </c>
      <c r="C1404" t="s">
        <v>7560</v>
      </c>
    </row>
    <row r="1405" spans="1:3" x14ac:dyDescent="0.25">
      <c r="A1405">
        <v>762</v>
      </c>
      <c r="B1405" t="s">
        <v>7561</v>
      </c>
      <c r="C1405" t="s">
        <v>7561</v>
      </c>
    </row>
    <row r="1406" spans="1:3" x14ac:dyDescent="0.25">
      <c r="A1406">
        <v>1544</v>
      </c>
      <c r="B1406" t="s">
        <v>7562</v>
      </c>
      <c r="C1406" t="s">
        <v>7563</v>
      </c>
    </row>
    <row r="1407" spans="1:3" x14ac:dyDescent="0.25">
      <c r="A1407">
        <v>1543</v>
      </c>
      <c r="B1407" t="s">
        <v>7564</v>
      </c>
      <c r="C1407" t="s">
        <v>7565</v>
      </c>
    </row>
    <row r="1408" spans="1:3" x14ac:dyDescent="0.25">
      <c r="A1408">
        <v>767</v>
      </c>
      <c r="B1408" t="s">
        <v>7566</v>
      </c>
      <c r="C1408" t="s">
        <v>7567</v>
      </c>
    </row>
    <row r="1409" spans="1:3" x14ac:dyDescent="0.25">
      <c r="A1409">
        <v>1545</v>
      </c>
      <c r="B1409" t="s">
        <v>7568</v>
      </c>
      <c r="C1409" t="s">
        <v>7569</v>
      </c>
    </row>
    <row r="1410" spans="1:3" x14ac:dyDescent="0.25">
      <c r="A1410">
        <v>1512</v>
      </c>
      <c r="B1410" t="s">
        <v>7570</v>
      </c>
      <c r="C1410" t="s">
        <v>7570</v>
      </c>
    </row>
    <row r="1411" spans="1:3" x14ac:dyDescent="0.25">
      <c r="A1411">
        <v>1546</v>
      </c>
      <c r="B1411" t="s">
        <v>7571</v>
      </c>
      <c r="C1411" t="s">
        <v>7572</v>
      </c>
    </row>
    <row r="1412" spans="1:3" x14ac:dyDescent="0.25">
      <c r="A1412">
        <v>1571</v>
      </c>
      <c r="B1412" t="s">
        <v>7573</v>
      </c>
      <c r="C1412" t="s">
        <v>7574</v>
      </c>
    </row>
    <row r="1413" spans="1:3" x14ac:dyDescent="0.25">
      <c r="A1413">
        <v>676</v>
      </c>
      <c r="B1413" t="s">
        <v>7575</v>
      </c>
      <c r="C1413" t="s">
        <v>7576</v>
      </c>
    </row>
    <row r="1414" spans="1:3" x14ac:dyDescent="0.25">
      <c r="A1414">
        <v>612</v>
      </c>
      <c r="B1414" t="s">
        <v>7577</v>
      </c>
      <c r="C1414" t="s">
        <v>7578</v>
      </c>
    </row>
    <row r="1415" spans="1:3" x14ac:dyDescent="0.25">
      <c r="A1415">
        <v>311</v>
      </c>
      <c r="B1415" t="s">
        <v>7579</v>
      </c>
      <c r="C1415" t="s">
        <v>7580</v>
      </c>
    </row>
    <row r="1416" spans="1:3" x14ac:dyDescent="0.25">
      <c r="A1416">
        <v>559</v>
      </c>
      <c r="B1416" t="s">
        <v>7581</v>
      </c>
      <c r="C1416" t="s">
        <v>7582</v>
      </c>
    </row>
    <row r="1417" spans="1:3" x14ac:dyDescent="0.25">
      <c r="A1417">
        <v>789</v>
      </c>
      <c r="B1417" t="s">
        <v>7583</v>
      </c>
      <c r="C1417" t="s">
        <v>7584</v>
      </c>
    </row>
    <row r="1418" spans="1:3" x14ac:dyDescent="0.25">
      <c r="A1418">
        <v>1288</v>
      </c>
      <c r="B1418" t="s">
        <v>7585</v>
      </c>
      <c r="C1418" t="s">
        <v>3030</v>
      </c>
    </row>
    <row r="1419" spans="1:3" x14ac:dyDescent="0.25">
      <c r="A1419">
        <v>501</v>
      </c>
      <c r="B1419" t="s">
        <v>7586</v>
      </c>
      <c r="C1419" t="s">
        <v>7587</v>
      </c>
    </row>
    <row r="1420" spans="1:3" x14ac:dyDescent="0.25">
      <c r="A1420">
        <v>181</v>
      </c>
      <c r="B1420" t="s">
        <v>7588</v>
      </c>
      <c r="C1420" t="s">
        <v>7589</v>
      </c>
    </row>
    <row r="1421" spans="1:3" x14ac:dyDescent="0.25">
      <c r="A1421">
        <v>493</v>
      </c>
      <c r="B1421" t="s">
        <v>7590</v>
      </c>
      <c r="C1421" t="s">
        <v>7591</v>
      </c>
    </row>
    <row r="1422" spans="1:3" x14ac:dyDescent="0.25">
      <c r="A1422">
        <v>1684</v>
      </c>
      <c r="B1422" t="s">
        <v>7592</v>
      </c>
      <c r="C1422" t="s">
        <v>7593</v>
      </c>
    </row>
    <row r="1423" spans="1:3" x14ac:dyDescent="0.25">
      <c r="A1423">
        <v>851</v>
      </c>
      <c r="B1423" t="s">
        <v>7594</v>
      </c>
      <c r="C1423" t="s">
        <v>524</v>
      </c>
    </row>
    <row r="1424" spans="1:3" x14ac:dyDescent="0.25">
      <c r="A1424">
        <v>990</v>
      </c>
      <c r="B1424" t="s">
        <v>7595</v>
      </c>
      <c r="C1424" t="s">
        <v>250</v>
      </c>
    </row>
    <row r="1425" spans="1:3" x14ac:dyDescent="0.25">
      <c r="A1425">
        <v>703</v>
      </c>
      <c r="B1425" t="s">
        <v>7596</v>
      </c>
      <c r="C1425" t="s">
        <v>7597</v>
      </c>
    </row>
    <row r="1426" spans="1:3" x14ac:dyDescent="0.25">
      <c r="A1426">
        <v>100</v>
      </c>
      <c r="B1426" t="s">
        <v>7598</v>
      </c>
      <c r="C1426" t="s">
        <v>7599</v>
      </c>
    </row>
    <row r="1427" spans="1:3" x14ac:dyDescent="0.25">
      <c r="A1427">
        <v>866</v>
      </c>
      <c r="B1427" t="s">
        <v>7600</v>
      </c>
      <c r="C1427" t="s">
        <v>7601</v>
      </c>
    </row>
    <row r="1428" spans="1:3" x14ac:dyDescent="0.25">
      <c r="A1428">
        <v>1319</v>
      </c>
      <c r="B1428" t="s">
        <v>7602</v>
      </c>
      <c r="C1428" t="s">
        <v>7603</v>
      </c>
    </row>
    <row r="1429" spans="1:3" x14ac:dyDescent="0.25">
      <c r="A1429">
        <v>157</v>
      </c>
      <c r="B1429" t="s">
        <v>7604</v>
      </c>
      <c r="C1429" t="s">
        <v>4126</v>
      </c>
    </row>
    <row r="1430" spans="1:3" x14ac:dyDescent="0.25">
      <c r="A1430">
        <v>319</v>
      </c>
      <c r="B1430" t="s">
        <v>7605</v>
      </c>
      <c r="C1430" t="s">
        <v>7606</v>
      </c>
    </row>
    <row r="1431" spans="1:3" x14ac:dyDescent="0.25">
      <c r="A1431">
        <v>200</v>
      </c>
      <c r="B1431" t="s">
        <v>7607</v>
      </c>
      <c r="C1431" t="s">
        <v>7608</v>
      </c>
    </row>
    <row r="1432" spans="1:3" x14ac:dyDescent="0.25">
      <c r="A1432">
        <v>384</v>
      </c>
      <c r="B1432" t="s">
        <v>7609</v>
      </c>
      <c r="C1432" t="s">
        <v>7610</v>
      </c>
    </row>
    <row r="1433" spans="1:3" x14ac:dyDescent="0.25">
      <c r="A1433">
        <v>961</v>
      </c>
      <c r="B1433" t="s">
        <v>7611</v>
      </c>
      <c r="C1433" t="s">
        <v>515</v>
      </c>
    </row>
    <row r="1434" spans="1:3" x14ac:dyDescent="0.25">
      <c r="A1434">
        <v>915</v>
      </c>
      <c r="B1434" t="s">
        <v>7612</v>
      </c>
      <c r="C1434" t="s">
        <v>7613</v>
      </c>
    </row>
    <row r="1435" spans="1:3" x14ac:dyDescent="0.25">
      <c r="A1435">
        <v>1573</v>
      </c>
      <c r="B1435" t="s">
        <v>7614</v>
      </c>
      <c r="C1435" t="s">
        <v>7615</v>
      </c>
    </row>
    <row r="1436" spans="1:3" x14ac:dyDescent="0.25">
      <c r="A1436">
        <v>736</v>
      </c>
      <c r="B1436" t="s">
        <v>7616</v>
      </c>
      <c r="C1436" t="s">
        <v>7617</v>
      </c>
    </row>
    <row r="1437" spans="1:3" x14ac:dyDescent="0.25">
      <c r="A1437">
        <v>238</v>
      </c>
      <c r="B1437" t="s">
        <v>7618</v>
      </c>
      <c r="C1437" t="s">
        <v>7619</v>
      </c>
    </row>
    <row r="1438" spans="1:3" x14ac:dyDescent="0.25">
      <c r="A1438">
        <v>563</v>
      </c>
      <c r="B1438" t="s">
        <v>7620</v>
      </c>
      <c r="C1438" t="s">
        <v>7621</v>
      </c>
    </row>
    <row r="1439" spans="1:3" x14ac:dyDescent="0.25">
      <c r="A1439">
        <v>1457</v>
      </c>
      <c r="B1439" t="s">
        <v>7622</v>
      </c>
      <c r="C1439" t="s">
        <v>7623</v>
      </c>
    </row>
    <row r="1440" spans="1:3" x14ac:dyDescent="0.25">
      <c r="A1440">
        <v>951</v>
      </c>
      <c r="B1440" t="s">
        <v>7624</v>
      </c>
      <c r="C1440" t="s">
        <v>7625</v>
      </c>
    </row>
    <row r="1441" spans="1:3" x14ac:dyDescent="0.25">
      <c r="A1441">
        <v>836</v>
      </c>
      <c r="B1441" t="s">
        <v>7626</v>
      </c>
      <c r="C1441" t="s">
        <v>7627</v>
      </c>
    </row>
    <row r="1442" spans="1:3" x14ac:dyDescent="0.25">
      <c r="A1442">
        <v>40</v>
      </c>
      <c r="B1442" t="s">
        <v>7628</v>
      </c>
      <c r="C1442" t="s">
        <v>7629</v>
      </c>
    </row>
    <row r="1443" spans="1:3" x14ac:dyDescent="0.25">
      <c r="A1443">
        <v>655</v>
      </c>
      <c r="B1443" t="s">
        <v>7630</v>
      </c>
      <c r="C1443" t="s">
        <v>7631</v>
      </c>
    </row>
    <row r="1444" spans="1:3" x14ac:dyDescent="0.25">
      <c r="A1444">
        <v>1716</v>
      </c>
      <c r="B1444" t="s">
        <v>7632</v>
      </c>
      <c r="C1444" t="s">
        <v>7633</v>
      </c>
    </row>
    <row r="1445" spans="1:3" x14ac:dyDescent="0.25">
      <c r="A1445">
        <v>867</v>
      </c>
      <c r="B1445" t="s">
        <v>7634</v>
      </c>
      <c r="C1445" t="s">
        <v>2920</v>
      </c>
    </row>
    <row r="1446" spans="1:3" x14ac:dyDescent="0.25">
      <c r="A1446">
        <v>1205</v>
      </c>
      <c r="B1446" t="s">
        <v>7635</v>
      </c>
      <c r="C1446" t="s">
        <v>7636</v>
      </c>
    </row>
    <row r="1447" spans="1:3" x14ac:dyDescent="0.25">
      <c r="A1447">
        <v>1347</v>
      </c>
      <c r="B1447" t="s">
        <v>7637</v>
      </c>
      <c r="C1447" t="s">
        <v>7638</v>
      </c>
    </row>
    <row r="1448" spans="1:3" x14ac:dyDescent="0.25">
      <c r="A1448">
        <v>1478</v>
      </c>
      <c r="B1448" t="s">
        <v>7639</v>
      </c>
      <c r="C1448" t="s">
        <v>7640</v>
      </c>
    </row>
    <row r="1449" spans="1:3" x14ac:dyDescent="0.25">
      <c r="A1449">
        <v>1263</v>
      </c>
      <c r="B1449" t="s">
        <v>7641</v>
      </c>
      <c r="C1449" t="s">
        <v>7642</v>
      </c>
    </row>
    <row r="1450" spans="1:3" x14ac:dyDescent="0.25">
      <c r="A1450">
        <v>113</v>
      </c>
      <c r="B1450" t="s">
        <v>7643</v>
      </c>
      <c r="C1450" t="s">
        <v>7644</v>
      </c>
    </row>
    <row r="1451" spans="1:3" x14ac:dyDescent="0.25">
      <c r="A1451">
        <v>1144</v>
      </c>
      <c r="B1451" t="s">
        <v>7645</v>
      </c>
      <c r="C1451" t="s">
        <v>1666</v>
      </c>
    </row>
    <row r="1452" spans="1:3" x14ac:dyDescent="0.25">
      <c r="A1452">
        <v>1294</v>
      </c>
      <c r="B1452" t="s">
        <v>7646</v>
      </c>
      <c r="C1452" t="s">
        <v>7647</v>
      </c>
    </row>
    <row r="1453" spans="1:3" x14ac:dyDescent="0.25">
      <c r="A1453">
        <v>1398</v>
      </c>
      <c r="B1453" t="s">
        <v>7648</v>
      </c>
      <c r="C1453" t="s">
        <v>7649</v>
      </c>
    </row>
    <row r="1454" spans="1:3" x14ac:dyDescent="0.25">
      <c r="A1454">
        <v>1295</v>
      </c>
      <c r="B1454" t="s">
        <v>7650</v>
      </c>
      <c r="C1454" t="s">
        <v>7651</v>
      </c>
    </row>
    <row r="1455" spans="1:3" x14ac:dyDescent="0.25">
      <c r="A1455">
        <v>1282</v>
      </c>
      <c r="B1455" t="s">
        <v>7652</v>
      </c>
      <c r="C1455" t="s">
        <v>4289</v>
      </c>
    </row>
    <row r="1456" spans="1:3" x14ac:dyDescent="0.25">
      <c r="A1456">
        <v>1393</v>
      </c>
      <c r="B1456" t="s">
        <v>7653</v>
      </c>
      <c r="C1456" t="s">
        <v>7654</v>
      </c>
    </row>
    <row r="1457" spans="1:3" x14ac:dyDescent="0.25">
      <c r="A1457">
        <v>1148</v>
      </c>
      <c r="B1457" t="s">
        <v>7655</v>
      </c>
      <c r="C1457" t="s">
        <v>7656</v>
      </c>
    </row>
    <row r="1458" spans="1:3" x14ac:dyDescent="0.25">
      <c r="A1458">
        <v>1138</v>
      </c>
      <c r="B1458" t="s">
        <v>7657</v>
      </c>
      <c r="C1458" t="s">
        <v>1692</v>
      </c>
    </row>
    <row r="1459" spans="1:3" x14ac:dyDescent="0.25">
      <c r="A1459">
        <v>1727</v>
      </c>
      <c r="B1459" t="s">
        <v>7658</v>
      </c>
      <c r="C1459" t="s">
        <v>7659</v>
      </c>
    </row>
    <row r="1460" spans="1:3" x14ac:dyDescent="0.25">
      <c r="A1460">
        <v>749</v>
      </c>
      <c r="B1460" t="s">
        <v>7660</v>
      </c>
      <c r="C1460" t="s">
        <v>7661</v>
      </c>
    </row>
    <row r="1461" spans="1:3" x14ac:dyDescent="0.25">
      <c r="A1461">
        <v>806</v>
      </c>
      <c r="B1461" t="s">
        <v>7662</v>
      </c>
      <c r="C1461" t="s">
        <v>819</v>
      </c>
    </row>
    <row r="1462" spans="1:3" x14ac:dyDescent="0.25">
      <c r="A1462">
        <v>1216</v>
      </c>
      <c r="B1462" t="s">
        <v>7663</v>
      </c>
      <c r="C1462" t="s">
        <v>2355</v>
      </c>
    </row>
    <row r="1463" spans="1:3" x14ac:dyDescent="0.25">
      <c r="A1463">
        <v>1108</v>
      </c>
      <c r="B1463" t="s">
        <v>7664</v>
      </c>
      <c r="C1463" t="s">
        <v>73</v>
      </c>
    </row>
    <row r="1464" spans="1:3" x14ac:dyDescent="0.25">
      <c r="A1464">
        <v>928</v>
      </c>
      <c r="B1464" t="s">
        <v>7665</v>
      </c>
      <c r="C1464" t="s">
        <v>7666</v>
      </c>
    </row>
    <row r="1465" spans="1:3" x14ac:dyDescent="0.25">
      <c r="A1465">
        <v>1651</v>
      </c>
      <c r="B1465" t="s">
        <v>7667</v>
      </c>
      <c r="C1465" t="s">
        <v>7668</v>
      </c>
    </row>
    <row r="1466" spans="1:3" x14ac:dyDescent="0.25">
      <c r="A1466">
        <v>1495</v>
      </c>
      <c r="B1466" t="s">
        <v>7669</v>
      </c>
      <c r="C1466" t="s">
        <v>7670</v>
      </c>
    </row>
    <row r="1467" spans="1:3" x14ac:dyDescent="0.25">
      <c r="A1467">
        <v>852</v>
      </c>
      <c r="B1467" t="s">
        <v>7671</v>
      </c>
      <c r="C1467" t="s">
        <v>7672</v>
      </c>
    </row>
    <row r="1468" spans="1:3" x14ac:dyDescent="0.25">
      <c r="A1468">
        <v>756</v>
      </c>
      <c r="B1468" t="s">
        <v>7673</v>
      </c>
      <c r="C1468" t="s">
        <v>7674</v>
      </c>
    </row>
    <row r="1469" spans="1:3" x14ac:dyDescent="0.25">
      <c r="A1469">
        <v>55</v>
      </c>
      <c r="B1469" t="s">
        <v>7675</v>
      </c>
      <c r="C1469" t="s">
        <v>7676</v>
      </c>
    </row>
    <row r="1470" spans="1:3" x14ac:dyDescent="0.25">
      <c r="A1470">
        <v>206</v>
      </c>
      <c r="B1470" t="s">
        <v>7677</v>
      </c>
      <c r="C1470" t="s">
        <v>7678</v>
      </c>
    </row>
    <row r="1471" spans="1:3" x14ac:dyDescent="0.25">
      <c r="A1471">
        <v>1487</v>
      </c>
      <c r="B1471" t="s">
        <v>7679</v>
      </c>
      <c r="C1471" t="s">
        <v>7680</v>
      </c>
    </row>
    <row r="1472" spans="1:3" x14ac:dyDescent="0.25">
      <c r="A1472">
        <v>1060</v>
      </c>
      <c r="B1472" t="s">
        <v>7681</v>
      </c>
      <c r="C1472" t="s">
        <v>3986</v>
      </c>
    </row>
    <row r="1473" spans="1:3" x14ac:dyDescent="0.25">
      <c r="A1473">
        <v>571</v>
      </c>
      <c r="B1473" t="s">
        <v>7682</v>
      </c>
      <c r="C1473" t="s">
        <v>7683</v>
      </c>
    </row>
    <row r="1474" spans="1:3" x14ac:dyDescent="0.25">
      <c r="A1474">
        <v>118</v>
      </c>
      <c r="B1474" t="s">
        <v>7684</v>
      </c>
      <c r="C1474" t="s">
        <v>7685</v>
      </c>
    </row>
    <row r="1475" spans="1:3" x14ac:dyDescent="0.25">
      <c r="A1475">
        <v>331</v>
      </c>
      <c r="B1475" t="s">
        <v>7686</v>
      </c>
      <c r="C1475" t="s">
        <v>7687</v>
      </c>
    </row>
    <row r="1476" spans="1:3" x14ac:dyDescent="0.25">
      <c r="A1476">
        <v>910</v>
      </c>
      <c r="B1476" t="s">
        <v>7688</v>
      </c>
      <c r="C1476" t="s">
        <v>7689</v>
      </c>
    </row>
    <row r="1477" spans="1:3" x14ac:dyDescent="0.25">
      <c r="A1477">
        <v>568</v>
      </c>
      <c r="B1477" t="s">
        <v>7690</v>
      </c>
      <c r="C1477" t="s">
        <v>7691</v>
      </c>
    </row>
    <row r="1478" spans="1:3" x14ac:dyDescent="0.25">
      <c r="A1478">
        <v>304</v>
      </c>
      <c r="B1478" t="s">
        <v>7692</v>
      </c>
      <c r="C1478" t="s">
        <v>2389</v>
      </c>
    </row>
    <row r="1479" spans="1:3" x14ac:dyDescent="0.25">
      <c r="A1479">
        <v>1425</v>
      </c>
      <c r="B1479" t="s">
        <v>7693</v>
      </c>
      <c r="C1479" t="s">
        <v>7694</v>
      </c>
    </row>
    <row r="1480" spans="1:3" x14ac:dyDescent="0.25">
      <c r="A1480">
        <v>1244</v>
      </c>
      <c r="B1480" t="s">
        <v>7695</v>
      </c>
      <c r="C1480" t="s">
        <v>2225</v>
      </c>
    </row>
    <row r="1481" spans="1:3" x14ac:dyDescent="0.25">
      <c r="A1481">
        <v>783</v>
      </c>
      <c r="B1481" t="s">
        <v>7696</v>
      </c>
      <c r="C1481" t="s">
        <v>7697</v>
      </c>
    </row>
    <row r="1482" spans="1:3" x14ac:dyDescent="0.25">
      <c r="A1482">
        <v>504</v>
      </c>
      <c r="B1482" t="s">
        <v>7698</v>
      </c>
      <c r="C1482" t="s">
        <v>7699</v>
      </c>
    </row>
    <row r="1483" spans="1:3" x14ac:dyDescent="0.25">
      <c r="A1483">
        <v>436</v>
      </c>
      <c r="B1483" t="s">
        <v>7700</v>
      </c>
      <c r="C1483" t="s">
        <v>7701</v>
      </c>
    </row>
    <row r="1484" spans="1:3" x14ac:dyDescent="0.25">
      <c r="A1484">
        <v>945</v>
      </c>
      <c r="B1484" t="s">
        <v>7702</v>
      </c>
      <c r="C1484" t="s">
        <v>7703</v>
      </c>
    </row>
    <row r="1485" spans="1:3" x14ac:dyDescent="0.25">
      <c r="A1485">
        <v>376</v>
      </c>
      <c r="B1485" t="s">
        <v>7704</v>
      </c>
      <c r="C1485" t="s">
        <v>7705</v>
      </c>
    </row>
    <row r="1486" spans="1:3" x14ac:dyDescent="0.25">
      <c r="A1486">
        <v>424</v>
      </c>
      <c r="B1486" t="s">
        <v>7706</v>
      </c>
      <c r="C1486" t="s">
        <v>7707</v>
      </c>
    </row>
    <row r="1487" spans="1:3" x14ac:dyDescent="0.25">
      <c r="A1487">
        <v>420</v>
      </c>
      <c r="B1487" t="s">
        <v>7708</v>
      </c>
      <c r="C1487" t="s">
        <v>7709</v>
      </c>
    </row>
    <row r="1488" spans="1:3" x14ac:dyDescent="0.25">
      <c r="A1488">
        <v>1000</v>
      </c>
      <c r="B1488" t="s">
        <v>7710</v>
      </c>
      <c r="C1488" t="s">
        <v>4732</v>
      </c>
    </row>
    <row r="1489" spans="1:3" x14ac:dyDescent="0.25">
      <c r="A1489">
        <v>689</v>
      </c>
      <c r="B1489" t="s">
        <v>7711</v>
      </c>
      <c r="C1489" t="s">
        <v>7712</v>
      </c>
    </row>
    <row r="1490" spans="1:3" x14ac:dyDescent="0.25">
      <c r="A1490">
        <v>110</v>
      </c>
      <c r="B1490" t="s">
        <v>7713</v>
      </c>
      <c r="C1490" t="s">
        <v>7714</v>
      </c>
    </row>
    <row r="1491" spans="1:3" x14ac:dyDescent="0.25">
      <c r="A1491">
        <v>1407</v>
      </c>
      <c r="B1491" t="s">
        <v>7715</v>
      </c>
      <c r="C1491" t="s">
        <v>7716</v>
      </c>
    </row>
    <row r="1492" spans="1:3" x14ac:dyDescent="0.25">
      <c r="A1492">
        <v>1415</v>
      </c>
      <c r="B1492" t="s">
        <v>7717</v>
      </c>
      <c r="C1492" t="s">
        <v>7718</v>
      </c>
    </row>
    <row r="1493" spans="1:3" x14ac:dyDescent="0.25">
      <c r="A1493">
        <v>1229</v>
      </c>
      <c r="B1493" t="s">
        <v>7719</v>
      </c>
      <c r="C1493" t="s">
        <v>7720</v>
      </c>
    </row>
    <row r="1494" spans="1:3" x14ac:dyDescent="0.25">
      <c r="A1494">
        <v>872</v>
      </c>
      <c r="B1494" t="s">
        <v>7721</v>
      </c>
      <c r="C1494" t="s">
        <v>7722</v>
      </c>
    </row>
    <row r="1495" spans="1:3" x14ac:dyDescent="0.25">
      <c r="A1495">
        <v>602</v>
      </c>
      <c r="B1495" t="s">
        <v>7723</v>
      </c>
      <c r="C1495" t="s">
        <v>7724</v>
      </c>
    </row>
    <row r="1496" spans="1:3" x14ac:dyDescent="0.25">
      <c r="A1496">
        <v>476</v>
      </c>
      <c r="B1496" t="s">
        <v>7725</v>
      </c>
      <c r="C1496" t="s">
        <v>7726</v>
      </c>
    </row>
    <row r="1497" spans="1:3" x14ac:dyDescent="0.25">
      <c r="A1497">
        <v>371</v>
      </c>
      <c r="B1497" t="s">
        <v>7727</v>
      </c>
      <c r="C1497" t="s">
        <v>7728</v>
      </c>
    </row>
    <row r="1498" spans="1:3" x14ac:dyDescent="0.25">
      <c r="A1498">
        <v>355</v>
      </c>
      <c r="B1498" t="s">
        <v>7729</v>
      </c>
      <c r="C1498" t="s">
        <v>7730</v>
      </c>
    </row>
    <row r="1499" spans="1:3" x14ac:dyDescent="0.25">
      <c r="A1499">
        <v>579</v>
      </c>
      <c r="B1499" t="s">
        <v>7731</v>
      </c>
      <c r="C1499" t="s">
        <v>7732</v>
      </c>
    </row>
    <row r="1500" spans="1:3" x14ac:dyDescent="0.25">
      <c r="A1500">
        <v>510</v>
      </c>
      <c r="B1500" t="s">
        <v>7733</v>
      </c>
      <c r="C1500" t="s">
        <v>7734</v>
      </c>
    </row>
    <row r="1501" spans="1:3" x14ac:dyDescent="0.25">
      <c r="A1501">
        <v>1394</v>
      </c>
      <c r="B1501" t="s">
        <v>7735</v>
      </c>
      <c r="C1501" t="s">
        <v>7736</v>
      </c>
    </row>
    <row r="1502" spans="1:3" x14ac:dyDescent="0.25">
      <c r="A1502">
        <v>1432</v>
      </c>
      <c r="B1502" t="s">
        <v>7737</v>
      </c>
      <c r="C1502" t="s">
        <v>7738</v>
      </c>
    </row>
    <row r="1503" spans="1:3" x14ac:dyDescent="0.25">
      <c r="A1503">
        <v>279</v>
      </c>
      <c r="B1503" t="s">
        <v>7739</v>
      </c>
      <c r="C1503" t="s">
        <v>7740</v>
      </c>
    </row>
    <row r="1504" spans="1:3" x14ac:dyDescent="0.25">
      <c r="A1504">
        <v>199</v>
      </c>
      <c r="B1504" t="s">
        <v>7741</v>
      </c>
      <c r="C1504" t="s">
        <v>7742</v>
      </c>
    </row>
    <row r="1505" spans="1:3" x14ac:dyDescent="0.25">
      <c r="A1505">
        <v>135</v>
      </c>
      <c r="B1505" t="s">
        <v>7743</v>
      </c>
      <c r="C1505" t="s">
        <v>7744</v>
      </c>
    </row>
    <row r="1506" spans="1:3" x14ac:dyDescent="0.25">
      <c r="A1506">
        <v>1591</v>
      </c>
      <c r="B1506" t="s">
        <v>7745</v>
      </c>
      <c r="C1506" t="s">
        <v>7746</v>
      </c>
    </row>
    <row r="1507" spans="1:3" x14ac:dyDescent="0.25">
      <c r="A1507">
        <v>788</v>
      </c>
      <c r="B1507" t="s">
        <v>7747</v>
      </c>
      <c r="C1507" t="s">
        <v>7748</v>
      </c>
    </row>
    <row r="1508" spans="1:3" x14ac:dyDescent="0.25">
      <c r="A1508">
        <v>515</v>
      </c>
      <c r="B1508" t="s">
        <v>7749</v>
      </c>
      <c r="C1508" t="s">
        <v>7750</v>
      </c>
    </row>
    <row r="1509" spans="1:3" x14ac:dyDescent="0.25">
      <c r="A1509">
        <v>916</v>
      </c>
      <c r="B1509" t="s">
        <v>7751</v>
      </c>
      <c r="C1509" t="s">
        <v>7752</v>
      </c>
    </row>
    <row r="1510" spans="1:3" x14ac:dyDescent="0.25">
      <c r="A1510">
        <v>175</v>
      </c>
      <c r="B1510" t="s">
        <v>7753</v>
      </c>
      <c r="C1510" t="s">
        <v>7754</v>
      </c>
    </row>
    <row r="1511" spans="1:3" x14ac:dyDescent="0.25">
      <c r="A1511">
        <v>44</v>
      </c>
      <c r="B1511" t="s">
        <v>7755</v>
      </c>
      <c r="C1511" t="s">
        <v>7756</v>
      </c>
    </row>
    <row r="1512" spans="1:3" x14ac:dyDescent="0.25">
      <c r="A1512">
        <v>738</v>
      </c>
      <c r="B1512" t="s">
        <v>7757</v>
      </c>
      <c r="C1512" t="s">
        <v>7758</v>
      </c>
    </row>
    <row r="1513" spans="1:3" x14ac:dyDescent="0.25">
      <c r="A1513">
        <v>318</v>
      </c>
      <c r="B1513" t="s">
        <v>7759</v>
      </c>
      <c r="C1513" t="s">
        <v>7760</v>
      </c>
    </row>
    <row r="1514" spans="1:3" x14ac:dyDescent="0.25">
      <c r="A1514">
        <v>286</v>
      </c>
      <c r="B1514" t="s">
        <v>7761</v>
      </c>
      <c r="C1514" t="s">
        <v>7762</v>
      </c>
    </row>
    <row r="1515" spans="1:3" x14ac:dyDescent="0.25">
      <c r="A1515">
        <v>291</v>
      </c>
      <c r="B1515" t="s">
        <v>7763</v>
      </c>
      <c r="C1515" t="s">
        <v>7764</v>
      </c>
    </row>
    <row r="1516" spans="1:3" x14ac:dyDescent="0.25">
      <c r="A1516">
        <v>1475</v>
      </c>
      <c r="B1516" t="s">
        <v>7765</v>
      </c>
      <c r="C1516" t="s">
        <v>7766</v>
      </c>
    </row>
    <row r="1517" spans="1:3" x14ac:dyDescent="0.25">
      <c r="A1517">
        <v>1472</v>
      </c>
      <c r="B1517" t="s">
        <v>7767</v>
      </c>
      <c r="C1517" t="s">
        <v>7768</v>
      </c>
    </row>
    <row r="1518" spans="1:3" x14ac:dyDescent="0.25">
      <c r="A1518">
        <v>1461</v>
      </c>
      <c r="B1518" t="s">
        <v>7769</v>
      </c>
      <c r="C1518" t="s">
        <v>7770</v>
      </c>
    </row>
    <row r="1519" spans="1:3" x14ac:dyDescent="0.25">
      <c r="A1519">
        <v>1145</v>
      </c>
      <c r="B1519" t="s">
        <v>7771</v>
      </c>
      <c r="C1519" t="s">
        <v>1678</v>
      </c>
    </row>
    <row r="1520" spans="1:3" x14ac:dyDescent="0.25">
      <c r="A1520">
        <v>684</v>
      </c>
      <c r="B1520" t="s">
        <v>7772</v>
      </c>
      <c r="C1520" t="s">
        <v>7773</v>
      </c>
    </row>
    <row r="1521" spans="1:3" x14ac:dyDescent="0.25">
      <c r="A1521">
        <v>565</v>
      </c>
      <c r="B1521" t="s">
        <v>7774</v>
      </c>
      <c r="C1521" t="s">
        <v>7775</v>
      </c>
    </row>
    <row r="1522" spans="1:3" x14ac:dyDescent="0.25">
      <c r="A1522">
        <v>327</v>
      </c>
      <c r="B1522" t="s">
        <v>7776</v>
      </c>
      <c r="C1522" t="s">
        <v>7777</v>
      </c>
    </row>
    <row r="1523" spans="1:3" x14ac:dyDescent="0.25">
      <c r="A1523">
        <v>989</v>
      </c>
      <c r="B1523" t="s">
        <v>7778</v>
      </c>
      <c r="C1523" t="s">
        <v>3061</v>
      </c>
    </row>
    <row r="1524" spans="1:3" x14ac:dyDescent="0.25">
      <c r="A1524">
        <v>509</v>
      </c>
      <c r="B1524" t="s">
        <v>7779</v>
      </c>
      <c r="C1524" t="s">
        <v>7780</v>
      </c>
    </row>
    <row r="1525" spans="1:3" x14ac:dyDescent="0.25">
      <c r="A1525">
        <v>1131</v>
      </c>
      <c r="B1525" t="s">
        <v>7781</v>
      </c>
      <c r="C1525" t="s">
        <v>7782</v>
      </c>
    </row>
    <row r="1526" spans="1:3" x14ac:dyDescent="0.25">
      <c r="A1526">
        <v>906</v>
      </c>
      <c r="B1526" t="s">
        <v>7783</v>
      </c>
      <c r="C1526" t="s">
        <v>7784</v>
      </c>
    </row>
    <row r="1527" spans="1:3" x14ac:dyDescent="0.25">
      <c r="A1527">
        <v>1001</v>
      </c>
      <c r="B1527" t="s">
        <v>7785</v>
      </c>
      <c r="C1527" t="s">
        <v>7786</v>
      </c>
    </row>
    <row r="1528" spans="1:3" x14ac:dyDescent="0.25">
      <c r="A1528">
        <v>439</v>
      </c>
      <c r="B1528" t="s">
        <v>7787</v>
      </c>
      <c r="C1528" t="s">
        <v>7788</v>
      </c>
    </row>
    <row r="1529" spans="1:3" x14ac:dyDescent="0.25">
      <c r="A1529">
        <v>240</v>
      </c>
      <c r="B1529" t="s">
        <v>7789</v>
      </c>
      <c r="C1529" t="s">
        <v>7790</v>
      </c>
    </row>
    <row r="1530" spans="1:3" x14ac:dyDescent="0.25">
      <c r="A1530">
        <v>507</v>
      </c>
      <c r="B1530" t="s">
        <v>7791</v>
      </c>
      <c r="C1530" t="s">
        <v>7792</v>
      </c>
    </row>
    <row r="1531" spans="1:3" x14ac:dyDescent="0.25">
      <c r="A1531">
        <v>631</v>
      </c>
      <c r="B1531" t="s">
        <v>7793</v>
      </c>
      <c r="C1531" t="s">
        <v>1011</v>
      </c>
    </row>
    <row r="1532" spans="1:3" x14ac:dyDescent="0.25">
      <c r="A1532">
        <v>494</v>
      </c>
      <c r="B1532" t="s">
        <v>7794</v>
      </c>
      <c r="C1532" t="s">
        <v>7795</v>
      </c>
    </row>
    <row r="1533" spans="1:3" x14ac:dyDescent="0.25">
      <c r="A1533">
        <v>1330</v>
      </c>
      <c r="B1533" t="s">
        <v>7796</v>
      </c>
      <c r="C1533" t="s">
        <v>7797</v>
      </c>
    </row>
    <row r="1534" spans="1:3" x14ac:dyDescent="0.25">
      <c r="A1534">
        <v>386</v>
      </c>
      <c r="B1534" t="s">
        <v>7798</v>
      </c>
      <c r="C1534" t="s">
        <v>7799</v>
      </c>
    </row>
    <row r="1535" spans="1:3" x14ac:dyDescent="0.25">
      <c r="A1535">
        <v>1322</v>
      </c>
      <c r="B1535" t="s">
        <v>7800</v>
      </c>
      <c r="C1535" t="s">
        <v>7801</v>
      </c>
    </row>
    <row r="1536" spans="1:3" x14ac:dyDescent="0.25">
      <c r="A1536">
        <v>1132</v>
      </c>
      <c r="B1536" t="s">
        <v>7802</v>
      </c>
      <c r="C1536" t="s">
        <v>7803</v>
      </c>
    </row>
    <row r="1537" spans="1:3" x14ac:dyDescent="0.25">
      <c r="A1537">
        <v>198</v>
      </c>
      <c r="B1537" t="s">
        <v>7804</v>
      </c>
      <c r="C1537" t="s">
        <v>7805</v>
      </c>
    </row>
    <row r="1538" spans="1:3" x14ac:dyDescent="0.25">
      <c r="A1538">
        <v>120</v>
      </c>
      <c r="B1538" t="s">
        <v>7806</v>
      </c>
      <c r="C1538" t="s">
        <v>7807</v>
      </c>
    </row>
    <row r="1539" spans="1:3" x14ac:dyDescent="0.25">
      <c r="A1539">
        <v>894</v>
      </c>
      <c r="B1539" t="s">
        <v>7808</v>
      </c>
      <c r="C1539" t="s">
        <v>7809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2502-82FF-48B6-9A0E-112877ECC4DE}">
  <dimension ref="A1:E988"/>
  <sheetViews>
    <sheetView workbookViewId="0"/>
  </sheetViews>
  <sheetFormatPr defaultRowHeight="15" x14ac:dyDescent="0.25"/>
  <cols>
    <col min="1" max="1" width="200" bestFit="1" customWidth="1"/>
    <col min="2" max="2" width="2" bestFit="1" customWidth="1"/>
    <col min="3" max="3" width="53.140625" bestFit="1" customWidth="1"/>
    <col min="4" max="4" width="2" bestFit="1" customWidth="1"/>
    <col min="5" max="5" width="6.140625" bestFit="1" customWidth="1"/>
  </cols>
  <sheetData>
    <row r="1" spans="1:5" x14ac:dyDescent="0.25">
      <c r="A1" t="s">
        <v>4</v>
      </c>
      <c r="B1" t="s">
        <v>7890</v>
      </c>
      <c r="C1" t="s">
        <v>458</v>
      </c>
      <c r="D1" t="s">
        <v>7890</v>
      </c>
      <c r="E1" t="s">
        <v>7867</v>
      </c>
    </row>
    <row r="2" spans="1:5" x14ac:dyDescent="0.25">
      <c r="A2" t="s">
        <v>6</v>
      </c>
      <c r="B2" t="s">
        <v>7890</v>
      </c>
      <c r="C2" t="s">
        <v>7659</v>
      </c>
      <c r="D2" t="s">
        <v>7890</v>
      </c>
      <c r="E2" t="s">
        <v>7867</v>
      </c>
    </row>
    <row r="3" spans="1:5" x14ac:dyDescent="0.25">
      <c r="A3" t="s">
        <v>20</v>
      </c>
      <c r="B3" t="s">
        <v>7890</v>
      </c>
      <c r="C3" t="s">
        <v>139</v>
      </c>
      <c r="D3" t="s">
        <v>7890</v>
      </c>
      <c r="E3" t="s">
        <v>7867</v>
      </c>
    </row>
    <row r="4" spans="1:5" x14ac:dyDescent="0.25">
      <c r="A4" t="s">
        <v>27</v>
      </c>
      <c r="B4" t="s">
        <v>7890</v>
      </c>
      <c r="C4" t="s">
        <v>92</v>
      </c>
      <c r="D4" t="s">
        <v>7890</v>
      </c>
      <c r="E4" t="s">
        <v>7867</v>
      </c>
    </row>
    <row r="5" spans="1:5" x14ac:dyDescent="0.25">
      <c r="A5" t="s">
        <v>31</v>
      </c>
      <c r="B5" t="s">
        <v>7890</v>
      </c>
      <c r="C5" t="s">
        <v>1153</v>
      </c>
      <c r="D5" t="s">
        <v>7890</v>
      </c>
      <c r="E5" t="s">
        <v>7867</v>
      </c>
    </row>
    <row r="6" spans="1:5" x14ac:dyDescent="0.25">
      <c r="A6" t="s">
        <v>35</v>
      </c>
      <c r="B6" t="s">
        <v>7890</v>
      </c>
      <c r="C6" t="s">
        <v>2375</v>
      </c>
      <c r="D6" t="s">
        <v>7890</v>
      </c>
      <c r="E6" t="s">
        <v>7867</v>
      </c>
    </row>
    <row r="7" spans="1:5" x14ac:dyDescent="0.25">
      <c r="A7" t="s">
        <v>38</v>
      </c>
      <c r="B7" t="s">
        <v>7890</v>
      </c>
      <c r="C7" t="s">
        <v>92</v>
      </c>
      <c r="D7" t="s">
        <v>7890</v>
      </c>
      <c r="E7" t="s">
        <v>7867</v>
      </c>
    </row>
    <row r="8" spans="1:5" x14ac:dyDescent="0.25">
      <c r="A8" t="s">
        <v>41</v>
      </c>
      <c r="B8" t="s">
        <v>7890</v>
      </c>
      <c r="C8" t="s">
        <v>1153</v>
      </c>
      <c r="D8" t="s">
        <v>7890</v>
      </c>
      <c r="E8" t="s">
        <v>7867</v>
      </c>
    </row>
    <row r="9" spans="1:5" x14ac:dyDescent="0.25">
      <c r="A9" t="s">
        <v>43</v>
      </c>
      <c r="B9" t="s">
        <v>7890</v>
      </c>
      <c r="C9" t="s">
        <v>2375</v>
      </c>
      <c r="D9" t="s">
        <v>7890</v>
      </c>
      <c r="E9" t="s">
        <v>7867</v>
      </c>
    </row>
    <row r="10" spans="1:5" x14ac:dyDescent="0.25">
      <c r="A10" t="s">
        <v>46</v>
      </c>
      <c r="B10" t="s">
        <v>7890</v>
      </c>
      <c r="C10" t="s">
        <v>7877</v>
      </c>
      <c r="D10" t="s">
        <v>7890</v>
      </c>
      <c r="E10" t="s">
        <v>7867</v>
      </c>
    </row>
    <row r="11" spans="1:5" x14ac:dyDescent="0.25">
      <c r="A11" t="s">
        <v>56</v>
      </c>
      <c r="B11" t="s">
        <v>7890</v>
      </c>
      <c r="C11" t="s">
        <v>2062</v>
      </c>
      <c r="D11" t="s">
        <v>7890</v>
      </c>
      <c r="E11" t="s">
        <v>7867</v>
      </c>
    </row>
    <row r="12" spans="1:5" x14ac:dyDescent="0.25">
      <c r="A12" t="s">
        <v>76</v>
      </c>
      <c r="B12" t="s">
        <v>7890</v>
      </c>
      <c r="C12" t="s">
        <v>212</v>
      </c>
      <c r="D12" t="s">
        <v>7890</v>
      </c>
      <c r="E12" t="s">
        <v>7867</v>
      </c>
    </row>
    <row r="13" spans="1:5" x14ac:dyDescent="0.25">
      <c r="A13" t="s">
        <v>82</v>
      </c>
      <c r="B13" t="s">
        <v>7890</v>
      </c>
      <c r="C13" t="s">
        <v>2062</v>
      </c>
      <c r="D13" t="s">
        <v>7890</v>
      </c>
      <c r="E13" t="s">
        <v>7867</v>
      </c>
    </row>
    <row r="14" spans="1:5" x14ac:dyDescent="0.25">
      <c r="A14" t="s">
        <v>93</v>
      </c>
      <c r="B14" t="s">
        <v>7890</v>
      </c>
      <c r="C14" t="s">
        <v>139</v>
      </c>
      <c r="D14" t="s">
        <v>7890</v>
      </c>
      <c r="E14" t="s">
        <v>7867</v>
      </c>
    </row>
    <row r="15" spans="1:5" x14ac:dyDescent="0.25">
      <c r="A15" t="s">
        <v>95</v>
      </c>
      <c r="B15" t="s">
        <v>7890</v>
      </c>
      <c r="C15" t="s">
        <v>507</v>
      </c>
      <c r="D15" t="s">
        <v>7890</v>
      </c>
      <c r="E15" t="s">
        <v>7867</v>
      </c>
    </row>
    <row r="16" spans="1:5" x14ac:dyDescent="0.25">
      <c r="A16" t="s">
        <v>101</v>
      </c>
      <c r="B16" t="s">
        <v>7890</v>
      </c>
      <c r="C16" t="s">
        <v>903</v>
      </c>
      <c r="D16" t="s">
        <v>7890</v>
      </c>
      <c r="E16" t="s">
        <v>7867</v>
      </c>
    </row>
    <row r="17" spans="1:5" x14ac:dyDescent="0.25">
      <c r="A17" t="s">
        <v>110</v>
      </c>
      <c r="B17" t="s">
        <v>7890</v>
      </c>
      <c r="C17" t="s">
        <v>5083</v>
      </c>
      <c r="D17" t="s">
        <v>7890</v>
      </c>
      <c r="E17" t="s">
        <v>7867</v>
      </c>
    </row>
    <row r="18" spans="1:5" x14ac:dyDescent="0.25">
      <c r="A18" t="s">
        <v>117</v>
      </c>
      <c r="B18" t="s">
        <v>7890</v>
      </c>
      <c r="C18" t="s">
        <v>903</v>
      </c>
      <c r="D18" t="s">
        <v>7890</v>
      </c>
      <c r="E18" t="s">
        <v>7867</v>
      </c>
    </row>
    <row r="19" spans="1:5" x14ac:dyDescent="0.25">
      <c r="A19" t="s">
        <v>119</v>
      </c>
      <c r="B19" t="s">
        <v>7890</v>
      </c>
      <c r="C19" t="s">
        <v>1222</v>
      </c>
      <c r="D19" t="s">
        <v>7890</v>
      </c>
      <c r="E19" t="s">
        <v>7867</v>
      </c>
    </row>
    <row r="20" spans="1:5" x14ac:dyDescent="0.25">
      <c r="A20" t="s">
        <v>121</v>
      </c>
      <c r="B20" t="s">
        <v>7890</v>
      </c>
      <c r="C20" t="s">
        <v>2931</v>
      </c>
      <c r="D20" t="s">
        <v>7890</v>
      </c>
      <c r="E20" t="s">
        <v>7867</v>
      </c>
    </row>
    <row r="21" spans="1:5" x14ac:dyDescent="0.25">
      <c r="A21" t="s">
        <v>135</v>
      </c>
      <c r="B21" t="s">
        <v>7890</v>
      </c>
      <c r="C21" t="s">
        <v>19</v>
      </c>
      <c r="D21" t="s">
        <v>7890</v>
      </c>
      <c r="E21" t="s">
        <v>7867</v>
      </c>
    </row>
    <row r="22" spans="1:5" x14ac:dyDescent="0.25">
      <c r="A22" t="s">
        <v>141</v>
      </c>
      <c r="B22" t="s">
        <v>7890</v>
      </c>
      <c r="C22" t="s">
        <v>19</v>
      </c>
      <c r="D22" t="s">
        <v>7890</v>
      </c>
      <c r="E22" t="s">
        <v>7867</v>
      </c>
    </row>
    <row r="23" spans="1:5" x14ac:dyDescent="0.25">
      <c r="A23" t="s">
        <v>167</v>
      </c>
      <c r="B23" t="s">
        <v>7890</v>
      </c>
      <c r="C23" t="s">
        <v>5448</v>
      </c>
      <c r="D23" t="s">
        <v>7890</v>
      </c>
      <c r="E23" t="s">
        <v>7867</v>
      </c>
    </row>
    <row r="24" spans="1:5" x14ac:dyDescent="0.25">
      <c r="A24" t="s">
        <v>180</v>
      </c>
      <c r="B24" t="s">
        <v>7890</v>
      </c>
      <c r="C24" t="s">
        <v>30</v>
      </c>
      <c r="D24" t="s">
        <v>7890</v>
      </c>
      <c r="E24" t="s">
        <v>7867</v>
      </c>
    </row>
    <row r="25" spans="1:5" x14ac:dyDescent="0.25">
      <c r="A25" t="s">
        <v>189</v>
      </c>
      <c r="B25" t="s">
        <v>7890</v>
      </c>
      <c r="C25" t="s">
        <v>1244</v>
      </c>
      <c r="D25" t="s">
        <v>7890</v>
      </c>
      <c r="E25" t="s">
        <v>7867</v>
      </c>
    </row>
    <row r="26" spans="1:5" x14ac:dyDescent="0.25">
      <c r="A26" t="s">
        <v>191</v>
      </c>
      <c r="B26" t="s">
        <v>7890</v>
      </c>
      <c r="C26" t="s">
        <v>458</v>
      </c>
      <c r="D26" t="s">
        <v>7890</v>
      </c>
      <c r="E26" t="s">
        <v>7867</v>
      </c>
    </row>
    <row r="27" spans="1:5" x14ac:dyDescent="0.25">
      <c r="A27" t="s">
        <v>196</v>
      </c>
      <c r="B27" t="s">
        <v>7890</v>
      </c>
      <c r="C27" t="s">
        <v>7659</v>
      </c>
      <c r="D27" t="s">
        <v>7890</v>
      </c>
      <c r="E27" t="s">
        <v>7867</v>
      </c>
    </row>
    <row r="28" spans="1:5" x14ac:dyDescent="0.25">
      <c r="A28" t="s">
        <v>200</v>
      </c>
      <c r="B28" t="s">
        <v>7890</v>
      </c>
      <c r="C28" t="s">
        <v>1222</v>
      </c>
      <c r="D28" t="s">
        <v>7890</v>
      </c>
      <c r="E28" t="s">
        <v>7867</v>
      </c>
    </row>
    <row r="29" spans="1:5" x14ac:dyDescent="0.25">
      <c r="A29" t="s">
        <v>206</v>
      </c>
      <c r="B29" t="s">
        <v>7890</v>
      </c>
      <c r="C29" t="s">
        <v>903</v>
      </c>
      <c r="D29" t="s">
        <v>7890</v>
      </c>
      <c r="E29" t="s">
        <v>7867</v>
      </c>
    </row>
    <row r="30" spans="1:5" x14ac:dyDescent="0.25">
      <c r="A30" t="s">
        <v>209</v>
      </c>
      <c r="B30" t="s">
        <v>7890</v>
      </c>
      <c r="C30" t="s">
        <v>277</v>
      </c>
      <c r="D30" t="s">
        <v>7890</v>
      </c>
      <c r="E30" t="s">
        <v>7867</v>
      </c>
    </row>
    <row r="31" spans="1:5" x14ac:dyDescent="0.25">
      <c r="A31" t="s">
        <v>222</v>
      </c>
      <c r="B31" t="s">
        <v>7890</v>
      </c>
      <c r="C31" t="s">
        <v>641</v>
      </c>
      <c r="D31" t="s">
        <v>7890</v>
      </c>
      <c r="E31" t="s">
        <v>7867</v>
      </c>
    </row>
    <row r="32" spans="1:5" x14ac:dyDescent="0.25">
      <c r="A32" t="s">
        <v>231</v>
      </c>
      <c r="B32" t="s">
        <v>7890</v>
      </c>
      <c r="C32" t="s">
        <v>1153</v>
      </c>
      <c r="D32" t="s">
        <v>7890</v>
      </c>
      <c r="E32" t="s">
        <v>7867</v>
      </c>
    </row>
    <row r="33" spans="1:5" x14ac:dyDescent="0.25">
      <c r="A33" t="s">
        <v>243</v>
      </c>
      <c r="B33" t="s">
        <v>7890</v>
      </c>
      <c r="C33" t="s">
        <v>429</v>
      </c>
      <c r="D33" t="s">
        <v>7890</v>
      </c>
      <c r="E33" t="s">
        <v>7867</v>
      </c>
    </row>
    <row r="34" spans="1:5" x14ac:dyDescent="0.25">
      <c r="A34" t="s">
        <v>245</v>
      </c>
      <c r="B34" t="s">
        <v>7890</v>
      </c>
      <c r="C34" t="s">
        <v>6134</v>
      </c>
      <c r="D34" t="s">
        <v>7890</v>
      </c>
      <c r="E34" t="s">
        <v>7867</v>
      </c>
    </row>
    <row r="35" spans="1:5" x14ac:dyDescent="0.25">
      <c r="A35" t="s">
        <v>247</v>
      </c>
      <c r="B35" t="s">
        <v>7890</v>
      </c>
      <c r="C35" t="s">
        <v>2062</v>
      </c>
      <c r="D35" t="s">
        <v>7890</v>
      </c>
      <c r="E35" t="s">
        <v>7867</v>
      </c>
    </row>
    <row r="36" spans="1:5" x14ac:dyDescent="0.25">
      <c r="A36" t="s">
        <v>251</v>
      </c>
      <c r="B36" t="s">
        <v>7890</v>
      </c>
      <c r="C36" t="s">
        <v>5083</v>
      </c>
      <c r="D36" t="s">
        <v>7890</v>
      </c>
      <c r="E36" t="s">
        <v>7867</v>
      </c>
    </row>
    <row r="37" spans="1:5" x14ac:dyDescent="0.25">
      <c r="A37" t="s">
        <v>294</v>
      </c>
      <c r="B37" t="s">
        <v>7890</v>
      </c>
      <c r="C37" t="s">
        <v>2931</v>
      </c>
      <c r="D37" t="s">
        <v>7890</v>
      </c>
      <c r="E37" t="s">
        <v>7867</v>
      </c>
    </row>
    <row r="38" spans="1:5" x14ac:dyDescent="0.25">
      <c r="A38" t="s">
        <v>314</v>
      </c>
      <c r="B38" t="s">
        <v>7890</v>
      </c>
      <c r="C38" t="s">
        <v>1153</v>
      </c>
      <c r="D38" t="s">
        <v>7890</v>
      </c>
      <c r="E38" t="s">
        <v>7867</v>
      </c>
    </row>
    <row r="39" spans="1:5" x14ac:dyDescent="0.25">
      <c r="A39" t="s">
        <v>319</v>
      </c>
      <c r="B39" t="s">
        <v>7890</v>
      </c>
      <c r="C39" t="s">
        <v>1244</v>
      </c>
      <c r="D39" t="s">
        <v>7890</v>
      </c>
      <c r="E39" t="s">
        <v>7867</v>
      </c>
    </row>
    <row r="40" spans="1:5" x14ac:dyDescent="0.25">
      <c r="A40" t="s">
        <v>332</v>
      </c>
      <c r="B40" t="s">
        <v>7890</v>
      </c>
      <c r="C40" t="s">
        <v>903</v>
      </c>
      <c r="D40" t="s">
        <v>7890</v>
      </c>
      <c r="E40" t="s">
        <v>7867</v>
      </c>
    </row>
    <row r="41" spans="1:5" x14ac:dyDescent="0.25">
      <c r="A41" t="s">
        <v>353</v>
      </c>
      <c r="B41" t="s">
        <v>7890</v>
      </c>
      <c r="C41" t="s">
        <v>139</v>
      </c>
      <c r="D41" t="s">
        <v>7890</v>
      </c>
      <c r="E41" t="s">
        <v>7867</v>
      </c>
    </row>
    <row r="42" spans="1:5" x14ac:dyDescent="0.25">
      <c r="A42" t="s">
        <v>366</v>
      </c>
      <c r="B42" t="s">
        <v>7890</v>
      </c>
      <c r="C42" t="s">
        <v>903</v>
      </c>
      <c r="D42" t="s">
        <v>7890</v>
      </c>
      <c r="E42" t="s">
        <v>7867</v>
      </c>
    </row>
    <row r="43" spans="1:5" x14ac:dyDescent="0.25">
      <c r="A43" t="s">
        <v>368</v>
      </c>
      <c r="B43" t="s">
        <v>7890</v>
      </c>
      <c r="C43" t="s">
        <v>7879</v>
      </c>
      <c r="D43" t="s">
        <v>7890</v>
      </c>
      <c r="E43" t="s">
        <v>7867</v>
      </c>
    </row>
    <row r="44" spans="1:5" x14ac:dyDescent="0.25">
      <c r="A44" t="s">
        <v>373</v>
      </c>
      <c r="B44" t="s">
        <v>7890</v>
      </c>
      <c r="C44" t="s">
        <v>2375</v>
      </c>
      <c r="D44" t="s">
        <v>7890</v>
      </c>
      <c r="E44" t="s">
        <v>7867</v>
      </c>
    </row>
    <row r="45" spans="1:5" x14ac:dyDescent="0.25">
      <c r="A45" t="s">
        <v>391</v>
      </c>
      <c r="B45" t="s">
        <v>7890</v>
      </c>
      <c r="C45" t="s">
        <v>2931</v>
      </c>
      <c r="D45" t="s">
        <v>7890</v>
      </c>
      <c r="E45" t="s">
        <v>7867</v>
      </c>
    </row>
    <row r="46" spans="1:5" x14ac:dyDescent="0.25">
      <c r="A46" t="s">
        <v>398</v>
      </c>
      <c r="B46" t="s">
        <v>7890</v>
      </c>
      <c r="C46" t="s">
        <v>3962</v>
      </c>
      <c r="D46" t="s">
        <v>7890</v>
      </c>
      <c r="E46" t="s">
        <v>7867</v>
      </c>
    </row>
    <row r="47" spans="1:5" x14ac:dyDescent="0.25">
      <c r="A47" t="s">
        <v>403</v>
      </c>
      <c r="B47" t="s">
        <v>7890</v>
      </c>
      <c r="C47" t="s">
        <v>2375</v>
      </c>
      <c r="D47" t="s">
        <v>7890</v>
      </c>
      <c r="E47" t="s">
        <v>7867</v>
      </c>
    </row>
    <row r="48" spans="1:5" x14ac:dyDescent="0.25">
      <c r="A48" t="s">
        <v>407</v>
      </c>
      <c r="B48" t="s">
        <v>7890</v>
      </c>
      <c r="C48" t="s">
        <v>170</v>
      </c>
      <c r="D48" t="s">
        <v>7890</v>
      </c>
      <c r="E48" t="s">
        <v>7867</v>
      </c>
    </row>
    <row r="49" spans="1:5" x14ac:dyDescent="0.25">
      <c r="A49" t="s">
        <v>409</v>
      </c>
      <c r="B49" t="s">
        <v>7890</v>
      </c>
      <c r="C49" t="s">
        <v>573</v>
      </c>
      <c r="D49" t="s">
        <v>7890</v>
      </c>
      <c r="E49" t="s">
        <v>7867</v>
      </c>
    </row>
    <row r="50" spans="1:5" x14ac:dyDescent="0.25">
      <c r="A50" t="s">
        <v>414</v>
      </c>
      <c r="B50" t="s">
        <v>7890</v>
      </c>
      <c r="C50" t="s">
        <v>1244</v>
      </c>
      <c r="D50" t="s">
        <v>7890</v>
      </c>
      <c r="E50" t="s">
        <v>7867</v>
      </c>
    </row>
    <row r="51" spans="1:5" x14ac:dyDescent="0.25">
      <c r="A51" t="s">
        <v>421</v>
      </c>
      <c r="B51" t="s">
        <v>7890</v>
      </c>
      <c r="C51" t="s">
        <v>7879</v>
      </c>
      <c r="D51" t="s">
        <v>7890</v>
      </c>
      <c r="E51" t="s">
        <v>7867</v>
      </c>
    </row>
    <row r="52" spans="1:5" x14ac:dyDescent="0.25">
      <c r="A52" t="s">
        <v>423</v>
      </c>
      <c r="B52" t="s">
        <v>7890</v>
      </c>
      <c r="C52" t="s">
        <v>92</v>
      </c>
      <c r="D52" t="s">
        <v>7890</v>
      </c>
      <c r="E52" t="s">
        <v>7867</v>
      </c>
    </row>
    <row r="53" spans="1:5" x14ac:dyDescent="0.25">
      <c r="A53" t="s">
        <v>425</v>
      </c>
      <c r="B53" t="s">
        <v>7890</v>
      </c>
      <c r="C53" t="s">
        <v>471</v>
      </c>
      <c r="D53" t="s">
        <v>7890</v>
      </c>
      <c r="E53" t="s">
        <v>7867</v>
      </c>
    </row>
    <row r="54" spans="1:5" x14ac:dyDescent="0.25">
      <c r="A54" t="s">
        <v>432</v>
      </c>
      <c r="B54" t="s">
        <v>7890</v>
      </c>
      <c r="C54" t="s">
        <v>1222</v>
      </c>
      <c r="D54" t="s">
        <v>7890</v>
      </c>
      <c r="E54" t="s">
        <v>7867</v>
      </c>
    </row>
    <row r="55" spans="1:5" x14ac:dyDescent="0.25">
      <c r="A55" t="s">
        <v>437</v>
      </c>
      <c r="B55" t="s">
        <v>7890</v>
      </c>
      <c r="C55" t="s">
        <v>7659</v>
      </c>
      <c r="D55" t="s">
        <v>7890</v>
      </c>
      <c r="E55" t="s">
        <v>7867</v>
      </c>
    </row>
    <row r="56" spans="1:5" x14ac:dyDescent="0.25">
      <c r="A56" t="s">
        <v>438</v>
      </c>
      <c r="B56" t="s">
        <v>7890</v>
      </c>
      <c r="C56" t="s">
        <v>73</v>
      </c>
      <c r="D56" t="s">
        <v>7890</v>
      </c>
      <c r="E56" t="s">
        <v>7867</v>
      </c>
    </row>
    <row r="57" spans="1:5" x14ac:dyDescent="0.25">
      <c r="A57" t="s">
        <v>440</v>
      </c>
      <c r="B57" t="s">
        <v>7890</v>
      </c>
      <c r="C57" t="s">
        <v>458</v>
      </c>
      <c r="D57" t="s">
        <v>7890</v>
      </c>
      <c r="E57" t="s">
        <v>7867</v>
      </c>
    </row>
    <row r="58" spans="1:5" x14ac:dyDescent="0.25">
      <c r="A58" t="s">
        <v>442</v>
      </c>
      <c r="B58" t="s">
        <v>7890</v>
      </c>
      <c r="C58" t="s">
        <v>419</v>
      </c>
      <c r="D58" t="s">
        <v>7890</v>
      </c>
      <c r="E58" t="s">
        <v>7867</v>
      </c>
    </row>
    <row r="59" spans="1:5" x14ac:dyDescent="0.25">
      <c r="A59" t="s">
        <v>444</v>
      </c>
      <c r="B59" t="s">
        <v>7890</v>
      </c>
      <c r="C59" t="s">
        <v>19</v>
      </c>
      <c r="D59" t="s">
        <v>7890</v>
      </c>
      <c r="E59" t="s">
        <v>7867</v>
      </c>
    </row>
    <row r="60" spans="1:5" x14ac:dyDescent="0.25">
      <c r="A60" t="s">
        <v>446</v>
      </c>
      <c r="B60" t="s">
        <v>7890</v>
      </c>
      <c r="C60" t="s">
        <v>13</v>
      </c>
      <c r="D60" t="s">
        <v>7890</v>
      </c>
      <c r="E60" t="s">
        <v>7867</v>
      </c>
    </row>
    <row r="61" spans="1:5" x14ac:dyDescent="0.25">
      <c r="A61" t="s">
        <v>448</v>
      </c>
      <c r="B61" t="s">
        <v>7890</v>
      </c>
      <c r="C61" t="s">
        <v>15</v>
      </c>
      <c r="D61" t="s">
        <v>7890</v>
      </c>
      <c r="E61" t="s">
        <v>7867</v>
      </c>
    </row>
    <row r="62" spans="1:5" x14ac:dyDescent="0.25">
      <c r="A62" t="s">
        <v>456</v>
      </c>
      <c r="B62" t="s">
        <v>7890</v>
      </c>
      <c r="C62" t="s">
        <v>903</v>
      </c>
      <c r="D62" t="s">
        <v>7890</v>
      </c>
      <c r="E62" t="s">
        <v>7867</v>
      </c>
    </row>
    <row r="63" spans="1:5" x14ac:dyDescent="0.25">
      <c r="A63" t="s">
        <v>462</v>
      </c>
      <c r="B63" t="s">
        <v>7890</v>
      </c>
      <c r="C63" t="s">
        <v>2931</v>
      </c>
      <c r="D63" t="s">
        <v>7890</v>
      </c>
      <c r="E63" t="s">
        <v>7867</v>
      </c>
    </row>
    <row r="64" spans="1:5" x14ac:dyDescent="0.25">
      <c r="A64" t="s">
        <v>472</v>
      </c>
      <c r="B64" t="s">
        <v>7890</v>
      </c>
      <c r="C64" t="s">
        <v>266</v>
      </c>
      <c r="D64" t="s">
        <v>7890</v>
      </c>
      <c r="E64" t="s">
        <v>7867</v>
      </c>
    </row>
    <row r="65" spans="1:5" x14ac:dyDescent="0.25">
      <c r="A65" t="s">
        <v>493</v>
      </c>
      <c r="B65" t="s">
        <v>7890</v>
      </c>
      <c r="C65" t="s">
        <v>133</v>
      </c>
      <c r="D65" t="s">
        <v>7890</v>
      </c>
      <c r="E65" t="s">
        <v>7867</v>
      </c>
    </row>
    <row r="66" spans="1:5" x14ac:dyDescent="0.25">
      <c r="A66" t="s">
        <v>496</v>
      </c>
      <c r="B66" t="s">
        <v>7890</v>
      </c>
      <c r="C66" t="s">
        <v>1153</v>
      </c>
      <c r="D66" t="s">
        <v>7890</v>
      </c>
      <c r="E66" t="s">
        <v>7867</v>
      </c>
    </row>
    <row r="67" spans="1:5" x14ac:dyDescent="0.25">
      <c r="A67" t="s">
        <v>499</v>
      </c>
      <c r="B67" t="s">
        <v>7890</v>
      </c>
      <c r="C67" t="s">
        <v>3962</v>
      </c>
      <c r="D67" t="s">
        <v>7890</v>
      </c>
      <c r="E67" t="s">
        <v>7867</v>
      </c>
    </row>
    <row r="68" spans="1:5" x14ac:dyDescent="0.25">
      <c r="A68" t="s">
        <v>503</v>
      </c>
      <c r="B68" t="s">
        <v>7890</v>
      </c>
      <c r="C68" t="s">
        <v>3962</v>
      </c>
      <c r="D68" t="s">
        <v>7890</v>
      </c>
      <c r="E68" t="s">
        <v>7867</v>
      </c>
    </row>
    <row r="69" spans="1:5" x14ac:dyDescent="0.25">
      <c r="A69" t="s">
        <v>505</v>
      </c>
      <c r="B69" t="s">
        <v>7890</v>
      </c>
      <c r="C69" t="s">
        <v>5083</v>
      </c>
      <c r="D69" t="s">
        <v>7890</v>
      </c>
      <c r="E69" t="s">
        <v>7867</v>
      </c>
    </row>
    <row r="70" spans="1:5" x14ac:dyDescent="0.25">
      <c r="A70" t="s">
        <v>542</v>
      </c>
      <c r="B70" t="s">
        <v>7890</v>
      </c>
      <c r="C70" t="s">
        <v>6806</v>
      </c>
      <c r="D70" t="s">
        <v>7890</v>
      </c>
      <c r="E70" t="s">
        <v>7867</v>
      </c>
    </row>
    <row r="71" spans="1:5" x14ac:dyDescent="0.25">
      <c r="A71" t="s">
        <v>544</v>
      </c>
      <c r="B71" t="s">
        <v>7890</v>
      </c>
      <c r="C71" t="s">
        <v>266</v>
      </c>
      <c r="D71" t="s">
        <v>7890</v>
      </c>
      <c r="E71" t="s">
        <v>7867</v>
      </c>
    </row>
    <row r="72" spans="1:5" x14ac:dyDescent="0.25">
      <c r="A72" t="s">
        <v>546</v>
      </c>
      <c r="B72" t="s">
        <v>7890</v>
      </c>
      <c r="C72" t="s">
        <v>471</v>
      </c>
      <c r="D72" t="s">
        <v>7890</v>
      </c>
      <c r="E72" t="s">
        <v>7867</v>
      </c>
    </row>
    <row r="73" spans="1:5" x14ac:dyDescent="0.25">
      <c r="A73" t="s">
        <v>551</v>
      </c>
      <c r="B73" t="s">
        <v>7890</v>
      </c>
      <c r="C73" t="s">
        <v>2931</v>
      </c>
      <c r="D73" t="s">
        <v>7890</v>
      </c>
      <c r="E73" t="s">
        <v>7867</v>
      </c>
    </row>
    <row r="74" spans="1:5" x14ac:dyDescent="0.25">
      <c r="A74" t="s">
        <v>558</v>
      </c>
      <c r="B74" t="s">
        <v>7890</v>
      </c>
      <c r="C74" t="s">
        <v>1222</v>
      </c>
      <c r="D74" t="s">
        <v>7890</v>
      </c>
      <c r="E74" t="s">
        <v>7867</v>
      </c>
    </row>
    <row r="75" spans="1:5" x14ac:dyDescent="0.25">
      <c r="A75" t="s">
        <v>611</v>
      </c>
      <c r="B75" t="s">
        <v>7890</v>
      </c>
      <c r="C75" t="s">
        <v>2931</v>
      </c>
      <c r="D75" t="s">
        <v>7890</v>
      </c>
      <c r="E75" t="s">
        <v>7867</v>
      </c>
    </row>
    <row r="76" spans="1:5" x14ac:dyDescent="0.25">
      <c r="A76" t="s">
        <v>614</v>
      </c>
      <c r="B76" t="s">
        <v>7890</v>
      </c>
      <c r="C76" t="s">
        <v>1222</v>
      </c>
      <c r="D76" t="s">
        <v>7890</v>
      </c>
      <c r="E76" t="s">
        <v>7867</v>
      </c>
    </row>
    <row r="77" spans="1:5" x14ac:dyDescent="0.25">
      <c r="A77" t="s">
        <v>621</v>
      </c>
      <c r="B77" t="s">
        <v>7890</v>
      </c>
      <c r="C77" t="s">
        <v>53</v>
      </c>
      <c r="D77" t="s">
        <v>7890</v>
      </c>
      <c r="E77" t="s">
        <v>7871</v>
      </c>
    </row>
    <row r="78" spans="1:5" x14ac:dyDescent="0.25">
      <c r="A78" t="s">
        <v>625</v>
      </c>
      <c r="B78" t="s">
        <v>7890</v>
      </c>
      <c r="C78" t="s">
        <v>2062</v>
      </c>
      <c r="D78" t="s">
        <v>7890</v>
      </c>
      <c r="E78" t="s">
        <v>7867</v>
      </c>
    </row>
    <row r="79" spans="1:5" x14ac:dyDescent="0.25">
      <c r="A79" t="s">
        <v>629</v>
      </c>
      <c r="B79" t="s">
        <v>7890</v>
      </c>
      <c r="C79" t="s">
        <v>1153</v>
      </c>
      <c r="D79" t="s">
        <v>7890</v>
      </c>
      <c r="E79" t="s">
        <v>7867</v>
      </c>
    </row>
    <row r="80" spans="1:5" x14ac:dyDescent="0.25">
      <c r="A80" t="s">
        <v>633</v>
      </c>
      <c r="B80" t="s">
        <v>7890</v>
      </c>
      <c r="C80" t="s">
        <v>1153</v>
      </c>
      <c r="D80" t="s">
        <v>7890</v>
      </c>
      <c r="E80" t="s">
        <v>7867</v>
      </c>
    </row>
    <row r="81" spans="1:5" x14ac:dyDescent="0.25">
      <c r="A81" t="s">
        <v>635</v>
      </c>
      <c r="B81" t="s">
        <v>7890</v>
      </c>
      <c r="C81" t="s">
        <v>429</v>
      </c>
      <c r="D81" t="s">
        <v>7890</v>
      </c>
      <c r="E81" t="s">
        <v>7867</v>
      </c>
    </row>
    <row r="82" spans="1:5" x14ac:dyDescent="0.25">
      <c r="A82" t="s">
        <v>639</v>
      </c>
      <c r="B82" t="s">
        <v>7890</v>
      </c>
      <c r="C82" t="s">
        <v>2931</v>
      </c>
      <c r="D82" t="s">
        <v>7890</v>
      </c>
      <c r="E82" t="s">
        <v>7867</v>
      </c>
    </row>
    <row r="83" spans="1:5" x14ac:dyDescent="0.25">
      <c r="A83" t="s">
        <v>646</v>
      </c>
      <c r="B83" t="s">
        <v>7890</v>
      </c>
      <c r="C83" t="s">
        <v>2375</v>
      </c>
      <c r="D83" t="s">
        <v>7890</v>
      </c>
      <c r="E83" t="s">
        <v>7867</v>
      </c>
    </row>
    <row r="84" spans="1:5" x14ac:dyDescent="0.25">
      <c r="A84" t="s">
        <v>650</v>
      </c>
      <c r="B84" t="s">
        <v>7890</v>
      </c>
      <c r="C84" t="s">
        <v>266</v>
      </c>
      <c r="D84" t="s">
        <v>7890</v>
      </c>
      <c r="E84" t="s">
        <v>7867</v>
      </c>
    </row>
    <row r="85" spans="1:5" x14ac:dyDescent="0.25">
      <c r="A85" t="s">
        <v>658</v>
      </c>
      <c r="B85" t="s">
        <v>7890</v>
      </c>
      <c r="C85" t="s">
        <v>2062</v>
      </c>
      <c r="D85" t="s">
        <v>7890</v>
      </c>
      <c r="E85" t="s">
        <v>7867</v>
      </c>
    </row>
    <row r="86" spans="1:5" x14ac:dyDescent="0.25">
      <c r="A86" t="s">
        <v>666</v>
      </c>
      <c r="B86" t="s">
        <v>7890</v>
      </c>
      <c r="C86" t="s">
        <v>2062</v>
      </c>
      <c r="D86" t="s">
        <v>7890</v>
      </c>
      <c r="E86" t="s">
        <v>7871</v>
      </c>
    </row>
    <row r="87" spans="1:5" x14ac:dyDescent="0.25">
      <c r="A87" t="s">
        <v>674</v>
      </c>
      <c r="B87" t="s">
        <v>7890</v>
      </c>
      <c r="C87" t="s">
        <v>1222</v>
      </c>
      <c r="D87" t="s">
        <v>7890</v>
      </c>
      <c r="E87" t="s">
        <v>7867</v>
      </c>
    </row>
    <row r="88" spans="1:5" x14ac:dyDescent="0.25">
      <c r="A88" t="s">
        <v>698</v>
      </c>
      <c r="B88" t="s">
        <v>7890</v>
      </c>
      <c r="C88" t="s">
        <v>5448</v>
      </c>
      <c r="D88" t="s">
        <v>7890</v>
      </c>
      <c r="E88" t="s">
        <v>7867</v>
      </c>
    </row>
    <row r="89" spans="1:5" x14ac:dyDescent="0.25">
      <c r="A89" t="s">
        <v>712</v>
      </c>
      <c r="B89" t="s">
        <v>7890</v>
      </c>
      <c r="C89" t="s">
        <v>479</v>
      </c>
      <c r="D89" t="s">
        <v>7890</v>
      </c>
      <c r="E89" t="s">
        <v>7867</v>
      </c>
    </row>
    <row r="90" spans="1:5" x14ac:dyDescent="0.25">
      <c r="A90" t="s">
        <v>714</v>
      </c>
      <c r="B90" t="s">
        <v>7890</v>
      </c>
      <c r="C90" t="s">
        <v>139</v>
      </c>
      <c r="D90" t="s">
        <v>7890</v>
      </c>
      <c r="E90" t="s">
        <v>7871</v>
      </c>
    </row>
    <row r="91" spans="1:5" x14ac:dyDescent="0.25">
      <c r="A91" t="s">
        <v>723</v>
      </c>
      <c r="B91" t="s">
        <v>7890</v>
      </c>
      <c r="C91" t="s">
        <v>3962</v>
      </c>
      <c r="D91" t="s">
        <v>7890</v>
      </c>
      <c r="E91" t="s">
        <v>7871</v>
      </c>
    </row>
    <row r="92" spans="1:5" x14ac:dyDescent="0.25">
      <c r="A92" t="s">
        <v>728</v>
      </c>
      <c r="B92" t="s">
        <v>7890</v>
      </c>
      <c r="C92" t="s">
        <v>1244</v>
      </c>
      <c r="D92" t="s">
        <v>7890</v>
      </c>
      <c r="E92" t="s">
        <v>7867</v>
      </c>
    </row>
    <row r="93" spans="1:5" x14ac:dyDescent="0.25">
      <c r="A93" t="s">
        <v>754</v>
      </c>
      <c r="B93" t="s">
        <v>7890</v>
      </c>
      <c r="C93" t="s">
        <v>1222</v>
      </c>
      <c r="D93" t="s">
        <v>7890</v>
      </c>
      <c r="E93" t="s">
        <v>7867</v>
      </c>
    </row>
    <row r="94" spans="1:5" x14ac:dyDescent="0.25">
      <c r="A94" t="s">
        <v>755</v>
      </c>
      <c r="B94" t="s">
        <v>7890</v>
      </c>
      <c r="C94" t="s">
        <v>1244</v>
      </c>
      <c r="D94" t="s">
        <v>7890</v>
      </c>
      <c r="E94" t="s">
        <v>7867</v>
      </c>
    </row>
    <row r="95" spans="1:5" x14ac:dyDescent="0.25">
      <c r="A95" t="s">
        <v>760</v>
      </c>
      <c r="B95" t="s">
        <v>7890</v>
      </c>
      <c r="C95" t="s">
        <v>84</v>
      </c>
      <c r="D95" t="s">
        <v>7890</v>
      </c>
      <c r="E95" t="s">
        <v>7871</v>
      </c>
    </row>
    <row r="96" spans="1:5" x14ac:dyDescent="0.25">
      <c r="A96" t="s">
        <v>763</v>
      </c>
      <c r="B96" t="s">
        <v>7890</v>
      </c>
      <c r="C96" t="s">
        <v>7659</v>
      </c>
      <c r="D96" t="s">
        <v>7890</v>
      </c>
      <c r="E96" t="s">
        <v>7867</v>
      </c>
    </row>
    <row r="97" spans="1:5" x14ac:dyDescent="0.25">
      <c r="A97" t="s">
        <v>768</v>
      </c>
      <c r="B97" t="s">
        <v>7890</v>
      </c>
      <c r="C97" t="s">
        <v>133</v>
      </c>
      <c r="D97" t="s">
        <v>7890</v>
      </c>
      <c r="E97" t="s">
        <v>7871</v>
      </c>
    </row>
    <row r="98" spans="1:5" x14ac:dyDescent="0.25">
      <c r="A98" t="s">
        <v>794</v>
      </c>
      <c r="B98" t="s">
        <v>7890</v>
      </c>
      <c r="C98" t="s">
        <v>100</v>
      </c>
      <c r="D98" t="s">
        <v>7890</v>
      </c>
      <c r="E98" t="s">
        <v>7871</v>
      </c>
    </row>
    <row r="99" spans="1:5" x14ac:dyDescent="0.25">
      <c r="A99" t="s">
        <v>796</v>
      </c>
      <c r="B99" t="s">
        <v>7890</v>
      </c>
      <c r="C99" t="s">
        <v>139</v>
      </c>
      <c r="D99" t="s">
        <v>7890</v>
      </c>
      <c r="E99" t="s">
        <v>7871</v>
      </c>
    </row>
    <row r="100" spans="1:5" x14ac:dyDescent="0.25">
      <c r="A100" t="s">
        <v>806</v>
      </c>
      <c r="B100" t="s">
        <v>7890</v>
      </c>
      <c r="C100" t="s">
        <v>2931</v>
      </c>
      <c r="D100" t="s">
        <v>7890</v>
      </c>
      <c r="E100" t="s">
        <v>7867</v>
      </c>
    </row>
    <row r="101" spans="1:5" x14ac:dyDescent="0.25">
      <c r="A101" t="s">
        <v>808</v>
      </c>
      <c r="B101" t="s">
        <v>7890</v>
      </c>
      <c r="C101" t="s">
        <v>53</v>
      </c>
      <c r="D101" t="s">
        <v>7890</v>
      </c>
      <c r="E101" t="s">
        <v>7871</v>
      </c>
    </row>
    <row r="102" spans="1:5" x14ac:dyDescent="0.25">
      <c r="A102" t="s">
        <v>813</v>
      </c>
      <c r="B102" t="s">
        <v>7890</v>
      </c>
      <c r="C102" t="s">
        <v>2062</v>
      </c>
      <c r="D102" t="s">
        <v>7890</v>
      </c>
      <c r="E102" t="s">
        <v>7867</v>
      </c>
    </row>
    <row r="103" spans="1:5" x14ac:dyDescent="0.25">
      <c r="A103" t="s">
        <v>821</v>
      </c>
      <c r="B103" t="s">
        <v>7890</v>
      </c>
      <c r="C103" t="s">
        <v>556</v>
      </c>
      <c r="D103" t="s">
        <v>7890</v>
      </c>
      <c r="E103" t="s">
        <v>7867</v>
      </c>
    </row>
    <row r="104" spans="1:5" x14ac:dyDescent="0.25">
      <c r="A104" t="s">
        <v>823</v>
      </c>
      <c r="B104" t="s">
        <v>7890</v>
      </c>
      <c r="C104" t="s">
        <v>3983</v>
      </c>
      <c r="D104" t="s">
        <v>7890</v>
      </c>
      <c r="E104" t="s">
        <v>7867</v>
      </c>
    </row>
    <row r="105" spans="1:5" x14ac:dyDescent="0.25">
      <c r="A105" t="s">
        <v>825</v>
      </c>
      <c r="B105" t="s">
        <v>7890</v>
      </c>
      <c r="C105" t="s">
        <v>84</v>
      </c>
      <c r="D105" t="s">
        <v>7890</v>
      </c>
      <c r="E105" t="s">
        <v>7871</v>
      </c>
    </row>
    <row r="106" spans="1:5" x14ac:dyDescent="0.25">
      <c r="A106" t="s">
        <v>829</v>
      </c>
      <c r="B106" t="s">
        <v>7890</v>
      </c>
      <c r="C106" t="s">
        <v>233</v>
      </c>
      <c r="D106" t="s">
        <v>7890</v>
      </c>
      <c r="E106" t="s">
        <v>7871</v>
      </c>
    </row>
    <row r="107" spans="1:5" x14ac:dyDescent="0.25">
      <c r="A107" t="s">
        <v>831</v>
      </c>
      <c r="B107" t="s">
        <v>7890</v>
      </c>
      <c r="C107" t="s">
        <v>139</v>
      </c>
      <c r="D107" t="s">
        <v>7890</v>
      </c>
      <c r="E107" t="s">
        <v>7867</v>
      </c>
    </row>
    <row r="108" spans="1:5" x14ac:dyDescent="0.25">
      <c r="A108" t="s">
        <v>833</v>
      </c>
      <c r="B108" t="s">
        <v>7890</v>
      </c>
      <c r="C108" t="s">
        <v>498</v>
      </c>
      <c r="D108" t="s">
        <v>7890</v>
      </c>
      <c r="E108" t="s">
        <v>7871</v>
      </c>
    </row>
    <row r="109" spans="1:5" x14ac:dyDescent="0.25">
      <c r="A109" t="s">
        <v>835</v>
      </c>
      <c r="B109" t="s">
        <v>7890</v>
      </c>
      <c r="C109" t="s">
        <v>139</v>
      </c>
      <c r="D109" t="s">
        <v>7890</v>
      </c>
      <c r="E109" t="s">
        <v>7867</v>
      </c>
    </row>
    <row r="110" spans="1:5" x14ac:dyDescent="0.25">
      <c r="A110" t="s">
        <v>836</v>
      </c>
      <c r="B110" t="s">
        <v>7890</v>
      </c>
      <c r="C110" t="s">
        <v>6019</v>
      </c>
      <c r="D110" t="s">
        <v>7890</v>
      </c>
      <c r="E110" t="s">
        <v>7867</v>
      </c>
    </row>
    <row r="111" spans="1:5" x14ac:dyDescent="0.25">
      <c r="A111" t="s">
        <v>838</v>
      </c>
      <c r="B111" t="s">
        <v>7890</v>
      </c>
      <c r="C111" t="s">
        <v>507</v>
      </c>
      <c r="D111" t="s">
        <v>7890</v>
      </c>
      <c r="E111" t="s">
        <v>7867</v>
      </c>
    </row>
    <row r="112" spans="1:5" x14ac:dyDescent="0.25">
      <c r="A112" t="s">
        <v>840</v>
      </c>
      <c r="B112" t="s">
        <v>7890</v>
      </c>
      <c r="C112" t="s">
        <v>903</v>
      </c>
      <c r="D112" t="s">
        <v>7890</v>
      </c>
      <c r="E112" t="s">
        <v>7871</v>
      </c>
    </row>
    <row r="113" spans="1:5" x14ac:dyDescent="0.25">
      <c r="A113" t="s">
        <v>844</v>
      </c>
      <c r="B113" t="s">
        <v>7890</v>
      </c>
      <c r="C113" t="s">
        <v>92</v>
      </c>
      <c r="D113" t="s">
        <v>7890</v>
      </c>
      <c r="E113" t="s">
        <v>7871</v>
      </c>
    </row>
    <row r="114" spans="1:5" x14ac:dyDescent="0.25">
      <c r="A114" t="s">
        <v>846</v>
      </c>
      <c r="B114" t="s">
        <v>7890</v>
      </c>
      <c r="C114" t="s">
        <v>1153</v>
      </c>
      <c r="D114" t="s">
        <v>7890</v>
      </c>
      <c r="E114" t="s">
        <v>7867</v>
      </c>
    </row>
    <row r="115" spans="1:5" x14ac:dyDescent="0.25">
      <c r="A115" t="s">
        <v>848</v>
      </c>
      <c r="B115" t="s">
        <v>7890</v>
      </c>
      <c r="C115" t="s">
        <v>498</v>
      </c>
      <c r="D115" t="s">
        <v>7890</v>
      </c>
      <c r="E115" t="s">
        <v>7871</v>
      </c>
    </row>
    <row r="116" spans="1:5" x14ac:dyDescent="0.25">
      <c r="A116" t="s">
        <v>849</v>
      </c>
      <c r="B116" t="s">
        <v>7890</v>
      </c>
      <c r="C116" t="s">
        <v>507</v>
      </c>
      <c r="D116" t="s">
        <v>7890</v>
      </c>
      <c r="E116" t="s">
        <v>7867</v>
      </c>
    </row>
    <row r="117" spans="1:5" x14ac:dyDescent="0.25">
      <c r="A117" t="s">
        <v>854</v>
      </c>
      <c r="B117" t="s">
        <v>7890</v>
      </c>
      <c r="C117" t="s">
        <v>1222</v>
      </c>
      <c r="D117" t="s">
        <v>7890</v>
      </c>
      <c r="E117" t="s">
        <v>7867</v>
      </c>
    </row>
    <row r="118" spans="1:5" x14ac:dyDescent="0.25">
      <c r="A118" t="s">
        <v>859</v>
      </c>
      <c r="B118" t="s">
        <v>7890</v>
      </c>
      <c r="C118" t="s">
        <v>7145</v>
      </c>
      <c r="D118" t="s">
        <v>7890</v>
      </c>
      <c r="E118" t="s">
        <v>7867</v>
      </c>
    </row>
    <row r="119" spans="1:5" x14ac:dyDescent="0.25">
      <c r="A119" t="s">
        <v>891</v>
      </c>
      <c r="B119" t="s">
        <v>7890</v>
      </c>
      <c r="C119" t="s">
        <v>419</v>
      </c>
      <c r="D119" t="s">
        <v>7890</v>
      </c>
      <c r="E119" t="s">
        <v>7867</v>
      </c>
    </row>
    <row r="120" spans="1:5" x14ac:dyDescent="0.25">
      <c r="A120" t="s">
        <v>900</v>
      </c>
      <c r="B120" t="s">
        <v>7890</v>
      </c>
      <c r="C120" t="s">
        <v>458</v>
      </c>
      <c r="D120" t="s">
        <v>7890</v>
      </c>
      <c r="E120" t="s">
        <v>7867</v>
      </c>
    </row>
    <row r="121" spans="1:5" x14ac:dyDescent="0.25">
      <c r="A121" t="s">
        <v>906</v>
      </c>
      <c r="B121" t="s">
        <v>7890</v>
      </c>
      <c r="C121" t="s">
        <v>2375</v>
      </c>
      <c r="D121" t="s">
        <v>7890</v>
      </c>
      <c r="E121" t="s">
        <v>7871</v>
      </c>
    </row>
    <row r="122" spans="1:5" x14ac:dyDescent="0.25">
      <c r="A122" t="s">
        <v>929</v>
      </c>
      <c r="B122" t="s">
        <v>7890</v>
      </c>
      <c r="C122" t="s">
        <v>5083</v>
      </c>
      <c r="D122" t="s">
        <v>7890</v>
      </c>
      <c r="E122" t="s">
        <v>7867</v>
      </c>
    </row>
    <row r="123" spans="1:5" x14ac:dyDescent="0.25">
      <c r="A123" t="s">
        <v>934</v>
      </c>
      <c r="B123" t="s">
        <v>7890</v>
      </c>
      <c r="C123" t="s">
        <v>383</v>
      </c>
      <c r="D123" t="s">
        <v>7890</v>
      </c>
      <c r="E123" t="s">
        <v>7867</v>
      </c>
    </row>
    <row r="124" spans="1:5" x14ac:dyDescent="0.25">
      <c r="A124" t="s">
        <v>938</v>
      </c>
      <c r="B124" t="s">
        <v>7890</v>
      </c>
      <c r="C124" t="s">
        <v>2931</v>
      </c>
      <c r="D124" t="s">
        <v>7890</v>
      </c>
      <c r="E124" t="s">
        <v>7867</v>
      </c>
    </row>
    <row r="125" spans="1:5" x14ac:dyDescent="0.25">
      <c r="A125" t="s">
        <v>944</v>
      </c>
      <c r="B125" t="s">
        <v>7890</v>
      </c>
      <c r="C125" t="s">
        <v>1222</v>
      </c>
      <c r="D125" t="s">
        <v>7890</v>
      </c>
      <c r="E125" t="s">
        <v>7867</v>
      </c>
    </row>
    <row r="126" spans="1:5" x14ac:dyDescent="0.25">
      <c r="A126" t="s">
        <v>951</v>
      </c>
      <c r="B126" t="s">
        <v>7890</v>
      </c>
      <c r="C126" t="s">
        <v>1153</v>
      </c>
      <c r="D126" t="s">
        <v>7890</v>
      </c>
      <c r="E126" t="s">
        <v>7867</v>
      </c>
    </row>
    <row r="127" spans="1:5" x14ac:dyDescent="0.25">
      <c r="A127" t="s">
        <v>953</v>
      </c>
      <c r="B127" t="s">
        <v>7890</v>
      </c>
      <c r="C127" t="s">
        <v>1153</v>
      </c>
      <c r="D127" t="s">
        <v>7890</v>
      </c>
      <c r="E127" t="s">
        <v>7871</v>
      </c>
    </row>
    <row r="128" spans="1:5" x14ac:dyDescent="0.25">
      <c r="A128" t="s">
        <v>957</v>
      </c>
      <c r="B128" t="s">
        <v>7890</v>
      </c>
      <c r="C128" t="s">
        <v>2062</v>
      </c>
      <c r="D128" t="s">
        <v>7890</v>
      </c>
      <c r="E128" t="s">
        <v>7867</v>
      </c>
    </row>
    <row r="129" spans="1:5" x14ac:dyDescent="0.25">
      <c r="A129" t="s">
        <v>959</v>
      </c>
      <c r="B129" t="s">
        <v>7890</v>
      </c>
      <c r="C129" t="s">
        <v>90</v>
      </c>
      <c r="D129" t="s">
        <v>7890</v>
      </c>
      <c r="E129" t="s">
        <v>7867</v>
      </c>
    </row>
    <row r="130" spans="1:5" x14ac:dyDescent="0.25">
      <c r="A130" t="s">
        <v>969</v>
      </c>
      <c r="B130" t="s">
        <v>7890</v>
      </c>
      <c r="C130" t="s">
        <v>2062</v>
      </c>
      <c r="D130" t="s">
        <v>7890</v>
      </c>
      <c r="E130" t="s">
        <v>7867</v>
      </c>
    </row>
    <row r="131" spans="1:5" x14ac:dyDescent="0.25">
      <c r="A131" t="s">
        <v>973</v>
      </c>
      <c r="B131" t="s">
        <v>7890</v>
      </c>
      <c r="C131" t="s">
        <v>75</v>
      </c>
      <c r="D131" t="s">
        <v>7890</v>
      </c>
      <c r="E131" t="s">
        <v>7871</v>
      </c>
    </row>
    <row r="132" spans="1:5" x14ac:dyDescent="0.25">
      <c r="A132" t="s">
        <v>983</v>
      </c>
      <c r="B132" t="s">
        <v>7890</v>
      </c>
      <c r="C132" t="s">
        <v>7876</v>
      </c>
      <c r="D132" t="s">
        <v>7890</v>
      </c>
      <c r="E132" t="s">
        <v>7867</v>
      </c>
    </row>
    <row r="133" spans="1:5" x14ac:dyDescent="0.25">
      <c r="A133" t="s">
        <v>985</v>
      </c>
      <c r="B133" t="s">
        <v>7890</v>
      </c>
      <c r="C133" t="s">
        <v>73</v>
      </c>
      <c r="D133" t="s">
        <v>7890</v>
      </c>
      <c r="E133" t="s">
        <v>7867</v>
      </c>
    </row>
    <row r="134" spans="1:5" x14ac:dyDescent="0.25">
      <c r="A134" t="s">
        <v>987</v>
      </c>
      <c r="B134" t="s">
        <v>7890</v>
      </c>
      <c r="C134" t="s">
        <v>579</v>
      </c>
      <c r="D134" t="s">
        <v>7890</v>
      </c>
      <c r="E134" t="s">
        <v>7867</v>
      </c>
    </row>
    <row r="135" spans="1:5" x14ac:dyDescent="0.25">
      <c r="A135" t="s">
        <v>998</v>
      </c>
      <c r="B135" t="s">
        <v>7890</v>
      </c>
      <c r="C135" t="s">
        <v>5974</v>
      </c>
      <c r="D135" t="s">
        <v>7890</v>
      </c>
      <c r="E135" t="s">
        <v>7867</v>
      </c>
    </row>
    <row r="136" spans="1:5" x14ac:dyDescent="0.25">
      <c r="A136" t="s">
        <v>1002</v>
      </c>
      <c r="B136" t="s">
        <v>7890</v>
      </c>
      <c r="C136" t="s">
        <v>1881</v>
      </c>
      <c r="D136" t="s">
        <v>7890</v>
      </c>
      <c r="E136" t="s">
        <v>7867</v>
      </c>
    </row>
    <row r="137" spans="1:5" x14ac:dyDescent="0.25">
      <c r="A137" t="s">
        <v>1009</v>
      </c>
      <c r="B137" t="s">
        <v>7890</v>
      </c>
      <c r="C137" t="s">
        <v>1244</v>
      </c>
      <c r="D137" t="s">
        <v>7890</v>
      </c>
      <c r="E137" t="s">
        <v>7867</v>
      </c>
    </row>
    <row r="138" spans="1:5" x14ac:dyDescent="0.25">
      <c r="A138" t="s">
        <v>1027</v>
      </c>
      <c r="B138" t="s">
        <v>7890</v>
      </c>
      <c r="C138" t="s">
        <v>7461</v>
      </c>
      <c r="D138" t="s">
        <v>7890</v>
      </c>
      <c r="E138" t="s">
        <v>7867</v>
      </c>
    </row>
    <row r="139" spans="1:5" x14ac:dyDescent="0.25">
      <c r="A139" t="s">
        <v>1033</v>
      </c>
      <c r="B139" t="s">
        <v>7890</v>
      </c>
      <c r="C139" t="s">
        <v>2375</v>
      </c>
      <c r="D139" t="s">
        <v>7890</v>
      </c>
      <c r="E139" t="s">
        <v>7867</v>
      </c>
    </row>
    <row r="140" spans="1:5" x14ac:dyDescent="0.25">
      <c r="A140" t="s">
        <v>1044</v>
      </c>
      <c r="B140" t="s">
        <v>7890</v>
      </c>
      <c r="C140" t="s">
        <v>7659</v>
      </c>
      <c r="D140" t="s">
        <v>7890</v>
      </c>
      <c r="E140" t="s">
        <v>7867</v>
      </c>
    </row>
    <row r="141" spans="1:5" x14ac:dyDescent="0.25">
      <c r="A141" t="s">
        <v>1050</v>
      </c>
      <c r="B141" t="s">
        <v>7890</v>
      </c>
      <c r="C141" t="s">
        <v>1228</v>
      </c>
      <c r="D141" t="s">
        <v>7890</v>
      </c>
      <c r="E141" t="s">
        <v>7867</v>
      </c>
    </row>
    <row r="142" spans="1:5" x14ac:dyDescent="0.25">
      <c r="A142" t="s">
        <v>1062</v>
      </c>
      <c r="B142" t="s">
        <v>7890</v>
      </c>
      <c r="C142" t="s">
        <v>139</v>
      </c>
      <c r="D142" t="s">
        <v>7890</v>
      </c>
      <c r="E142" t="s">
        <v>7867</v>
      </c>
    </row>
    <row r="143" spans="1:5" x14ac:dyDescent="0.25">
      <c r="A143" t="s">
        <v>1089</v>
      </c>
      <c r="B143" t="s">
        <v>7890</v>
      </c>
      <c r="C143" t="s">
        <v>6460</v>
      </c>
      <c r="D143" t="s">
        <v>7890</v>
      </c>
      <c r="E143" t="s">
        <v>7867</v>
      </c>
    </row>
    <row r="144" spans="1:5" x14ac:dyDescent="0.25">
      <c r="A144" t="s">
        <v>1106</v>
      </c>
      <c r="B144" t="s">
        <v>7890</v>
      </c>
      <c r="C144" t="s">
        <v>2931</v>
      </c>
      <c r="D144" t="s">
        <v>7890</v>
      </c>
      <c r="E144" t="s">
        <v>7867</v>
      </c>
    </row>
    <row r="145" spans="1:5" x14ac:dyDescent="0.25">
      <c r="A145" t="s">
        <v>1108</v>
      </c>
      <c r="B145" t="s">
        <v>7890</v>
      </c>
      <c r="C145" t="s">
        <v>53</v>
      </c>
      <c r="D145" t="s">
        <v>7890</v>
      </c>
      <c r="E145" t="s">
        <v>7867</v>
      </c>
    </row>
    <row r="146" spans="1:5" x14ac:dyDescent="0.25">
      <c r="A146" t="s">
        <v>1112</v>
      </c>
      <c r="B146" t="s">
        <v>7890</v>
      </c>
      <c r="C146" t="s">
        <v>1153</v>
      </c>
      <c r="D146" t="s">
        <v>7890</v>
      </c>
      <c r="E146" t="s">
        <v>7871</v>
      </c>
    </row>
    <row r="147" spans="1:5" x14ac:dyDescent="0.25">
      <c r="A147" t="s">
        <v>1115</v>
      </c>
      <c r="B147" t="s">
        <v>7890</v>
      </c>
      <c r="C147" t="s">
        <v>1153</v>
      </c>
      <c r="D147" t="s">
        <v>7890</v>
      </c>
      <c r="E147" t="s">
        <v>7871</v>
      </c>
    </row>
    <row r="148" spans="1:5" x14ac:dyDescent="0.25">
      <c r="A148" t="s">
        <v>1117</v>
      </c>
      <c r="B148" t="s">
        <v>7890</v>
      </c>
      <c r="C148" t="s">
        <v>61</v>
      </c>
      <c r="D148" t="s">
        <v>7890</v>
      </c>
      <c r="E148" t="s">
        <v>7871</v>
      </c>
    </row>
    <row r="149" spans="1:5" x14ac:dyDescent="0.25">
      <c r="A149" t="s">
        <v>1120</v>
      </c>
      <c r="B149" t="s">
        <v>7890</v>
      </c>
      <c r="C149" t="s">
        <v>266</v>
      </c>
      <c r="D149" t="s">
        <v>7890</v>
      </c>
      <c r="E149" t="s">
        <v>7871</v>
      </c>
    </row>
    <row r="150" spans="1:5" x14ac:dyDescent="0.25">
      <c r="A150" t="s">
        <v>1122</v>
      </c>
      <c r="B150" t="s">
        <v>7890</v>
      </c>
      <c r="C150" t="s">
        <v>61</v>
      </c>
      <c r="D150" t="s">
        <v>7890</v>
      </c>
      <c r="E150" t="s">
        <v>7871</v>
      </c>
    </row>
    <row r="151" spans="1:5" x14ac:dyDescent="0.25">
      <c r="A151" t="s">
        <v>1136</v>
      </c>
      <c r="B151" t="s">
        <v>7890</v>
      </c>
      <c r="C151" t="s">
        <v>2062</v>
      </c>
      <c r="D151" t="s">
        <v>7890</v>
      </c>
      <c r="E151" t="s">
        <v>7867</v>
      </c>
    </row>
    <row r="152" spans="1:5" x14ac:dyDescent="0.25">
      <c r="A152" t="s">
        <v>1138</v>
      </c>
      <c r="B152" t="s">
        <v>7890</v>
      </c>
      <c r="C152" t="s">
        <v>2062</v>
      </c>
      <c r="D152" t="s">
        <v>7890</v>
      </c>
      <c r="E152" t="s">
        <v>7867</v>
      </c>
    </row>
    <row r="153" spans="1:5" x14ac:dyDescent="0.25">
      <c r="A153" t="s">
        <v>1139</v>
      </c>
      <c r="B153" t="s">
        <v>7890</v>
      </c>
      <c r="C153" t="s">
        <v>266</v>
      </c>
      <c r="D153" t="s">
        <v>7890</v>
      </c>
      <c r="E153" t="s">
        <v>7867</v>
      </c>
    </row>
    <row r="154" spans="1:5" x14ac:dyDescent="0.25">
      <c r="A154" t="s">
        <v>1140</v>
      </c>
      <c r="B154" t="s">
        <v>7890</v>
      </c>
      <c r="C154" t="s">
        <v>1222</v>
      </c>
      <c r="D154" t="s">
        <v>7890</v>
      </c>
      <c r="E154" t="s">
        <v>7867</v>
      </c>
    </row>
    <row r="155" spans="1:5" x14ac:dyDescent="0.25">
      <c r="A155" t="s">
        <v>1150</v>
      </c>
      <c r="B155" t="s">
        <v>7890</v>
      </c>
      <c r="C155" t="s">
        <v>53</v>
      </c>
      <c r="D155" t="s">
        <v>7890</v>
      </c>
      <c r="E155" t="s">
        <v>7867</v>
      </c>
    </row>
    <row r="156" spans="1:5" x14ac:dyDescent="0.25">
      <c r="A156" t="s">
        <v>1158</v>
      </c>
      <c r="B156" t="s">
        <v>7890</v>
      </c>
      <c r="C156" t="s">
        <v>2931</v>
      </c>
      <c r="D156" t="s">
        <v>7890</v>
      </c>
      <c r="E156" t="s">
        <v>7867</v>
      </c>
    </row>
    <row r="157" spans="1:5" x14ac:dyDescent="0.25">
      <c r="A157" t="s">
        <v>1172</v>
      </c>
      <c r="B157" t="s">
        <v>7890</v>
      </c>
      <c r="C157" t="s">
        <v>266</v>
      </c>
      <c r="D157" t="s">
        <v>7890</v>
      </c>
      <c r="E157" t="s">
        <v>7867</v>
      </c>
    </row>
    <row r="158" spans="1:5" x14ac:dyDescent="0.25">
      <c r="A158" t="s">
        <v>1176</v>
      </c>
      <c r="B158" t="s">
        <v>7890</v>
      </c>
      <c r="C158" t="s">
        <v>1177</v>
      </c>
      <c r="D158" t="s">
        <v>7890</v>
      </c>
      <c r="E158" t="s">
        <v>7867</v>
      </c>
    </row>
    <row r="159" spans="1:5" x14ac:dyDescent="0.25">
      <c r="A159" t="s">
        <v>1183</v>
      </c>
      <c r="B159" t="s">
        <v>7890</v>
      </c>
      <c r="C159" t="s">
        <v>903</v>
      </c>
      <c r="D159" t="s">
        <v>7890</v>
      </c>
      <c r="E159" t="s">
        <v>7867</v>
      </c>
    </row>
    <row r="160" spans="1:5" x14ac:dyDescent="0.25">
      <c r="A160" t="s">
        <v>1208</v>
      </c>
      <c r="B160" t="s">
        <v>7890</v>
      </c>
      <c r="C160" t="s">
        <v>903</v>
      </c>
      <c r="D160" t="s">
        <v>7890</v>
      </c>
      <c r="E160" t="s">
        <v>7867</v>
      </c>
    </row>
    <row r="161" spans="1:5" x14ac:dyDescent="0.25">
      <c r="A161" t="s">
        <v>1210</v>
      </c>
      <c r="B161" t="s">
        <v>7890</v>
      </c>
      <c r="C161" t="s">
        <v>2375</v>
      </c>
      <c r="D161" t="s">
        <v>7890</v>
      </c>
      <c r="E161" t="s">
        <v>7867</v>
      </c>
    </row>
    <row r="162" spans="1:5" x14ac:dyDescent="0.25">
      <c r="A162" t="s">
        <v>1223</v>
      </c>
      <c r="B162" t="s">
        <v>7890</v>
      </c>
      <c r="C162" t="s">
        <v>1153</v>
      </c>
      <c r="D162" t="s">
        <v>7890</v>
      </c>
      <c r="E162" t="s">
        <v>7867</v>
      </c>
    </row>
    <row r="163" spans="1:5" x14ac:dyDescent="0.25">
      <c r="A163" t="s">
        <v>1225</v>
      </c>
      <c r="B163" t="s">
        <v>7890</v>
      </c>
      <c r="C163" t="s">
        <v>2375</v>
      </c>
      <c r="D163" t="s">
        <v>7890</v>
      </c>
      <c r="E163" t="s">
        <v>7867</v>
      </c>
    </row>
    <row r="164" spans="1:5" x14ac:dyDescent="0.25">
      <c r="A164" t="s">
        <v>1257</v>
      </c>
      <c r="B164" t="s">
        <v>7890</v>
      </c>
      <c r="C164" t="s">
        <v>2375</v>
      </c>
      <c r="D164" t="s">
        <v>7890</v>
      </c>
      <c r="E164" t="s">
        <v>7867</v>
      </c>
    </row>
    <row r="165" spans="1:5" x14ac:dyDescent="0.25">
      <c r="A165" t="s">
        <v>1261</v>
      </c>
      <c r="B165" t="s">
        <v>7890</v>
      </c>
      <c r="C165" t="s">
        <v>13</v>
      </c>
      <c r="D165" t="s">
        <v>7890</v>
      </c>
      <c r="E165" t="s">
        <v>7867</v>
      </c>
    </row>
    <row r="166" spans="1:5" x14ac:dyDescent="0.25">
      <c r="A166" t="s">
        <v>1263</v>
      </c>
      <c r="B166" t="s">
        <v>7890</v>
      </c>
      <c r="C166" t="s">
        <v>139</v>
      </c>
      <c r="D166" t="s">
        <v>7890</v>
      </c>
      <c r="E166" t="s">
        <v>7867</v>
      </c>
    </row>
    <row r="167" spans="1:5" x14ac:dyDescent="0.25">
      <c r="A167" t="s">
        <v>1265</v>
      </c>
      <c r="B167" t="s">
        <v>7890</v>
      </c>
      <c r="C167" t="s">
        <v>73</v>
      </c>
      <c r="D167" t="s">
        <v>7890</v>
      </c>
      <c r="E167" t="s">
        <v>7867</v>
      </c>
    </row>
    <row r="168" spans="1:5" x14ac:dyDescent="0.25">
      <c r="A168" t="s">
        <v>1274</v>
      </c>
      <c r="B168" t="s">
        <v>7890</v>
      </c>
      <c r="C168" t="s">
        <v>53</v>
      </c>
      <c r="D168" t="s">
        <v>7890</v>
      </c>
      <c r="E168" t="s">
        <v>7867</v>
      </c>
    </row>
    <row r="169" spans="1:5" x14ac:dyDescent="0.25">
      <c r="A169" t="s">
        <v>1277</v>
      </c>
      <c r="B169" t="s">
        <v>7890</v>
      </c>
      <c r="C169" t="s">
        <v>1222</v>
      </c>
      <c r="D169" t="s">
        <v>7890</v>
      </c>
      <c r="E169" t="s">
        <v>7867</v>
      </c>
    </row>
    <row r="170" spans="1:5" x14ac:dyDescent="0.25">
      <c r="A170" t="s">
        <v>1279</v>
      </c>
      <c r="B170" t="s">
        <v>7890</v>
      </c>
      <c r="C170" t="s">
        <v>170</v>
      </c>
      <c r="D170" t="s">
        <v>7890</v>
      </c>
      <c r="E170" t="s">
        <v>7867</v>
      </c>
    </row>
    <row r="171" spans="1:5" x14ac:dyDescent="0.25">
      <c r="A171" t="s">
        <v>1282</v>
      </c>
      <c r="B171" t="s">
        <v>7890</v>
      </c>
      <c r="C171" t="s">
        <v>69</v>
      </c>
      <c r="D171" t="s">
        <v>7890</v>
      </c>
      <c r="E171" t="s">
        <v>7867</v>
      </c>
    </row>
    <row r="172" spans="1:5" x14ac:dyDescent="0.25">
      <c r="A172" t="s">
        <v>1284</v>
      </c>
      <c r="B172" t="s">
        <v>7890</v>
      </c>
      <c r="C172" t="s">
        <v>13</v>
      </c>
      <c r="D172" t="s">
        <v>7890</v>
      </c>
      <c r="E172" t="s">
        <v>7867</v>
      </c>
    </row>
    <row r="173" spans="1:5" x14ac:dyDescent="0.25">
      <c r="A173" t="s">
        <v>1287</v>
      </c>
      <c r="B173" t="s">
        <v>7890</v>
      </c>
      <c r="C173" t="s">
        <v>139</v>
      </c>
      <c r="D173" t="s">
        <v>7890</v>
      </c>
      <c r="E173" t="s">
        <v>7867</v>
      </c>
    </row>
    <row r="174" spans="1:5" x14ac:dyDescent="0.25">
      <c r="A174" t="s">
        <v>1289</v>
      </c>
      <c r="B174" t="s">
        <v>7890</v>
      </c>
      <c r="C174" t="s">
        <v>73</v>
      </c>
      <c r="D174" t="s">
        <v>7890</v>
      </c>
      <c r="E174" t="s">
        <v>7867</v>
      </c>
    </row>
    <row r="175" spans="1:5" x14ac:dyDescent="0.25">
      <c r="A175" t="s">
        <v>1291</v>
      </c>
      <c r="B175" t="s">
        <v>7890</v>
      </c>
      <c r="C175" t="s">
        <v>139</v>
      </c>
      <c r="D175" t="s">
        <v>7890</v>
      </c>
      <c r="E175" t="s">
        <v>7867</v>
      </c>
    </row>
    <row r="176" spans="1:5" x14ac:dyDescent="0.25">
      <c r="A176" t="s">
        <v>1292</v>
      </c>
      <c r="B176" t="s">
        <v>7890</v>
      </c>
      <c r="C176" t="s">
        <v>567</v>
      </c>
      <c r="D176" t="s">
        <v>7890</v>
      </c>
      <c r="E176" t="s">
        <v>7867</v>
      </c>
    </row>
    <row r="177" spans="1:5" x14ac:dyDescent="0.25">
      <c r="A177" t="s">
        <v>1298</v>
      </c>
      <c r="B177" t="s">
        <v>7890</v>
      </c>
      <c r="C177" t="s">
        <v>1222</v>
      </c>
      <c r="D177" t="s">
        <v>7890</v>
      </c>
      <c r="E177" t="s">
        <v>7867</v>
      </c>
    </row>
    <row r="178" spans="1:5" x14ac:dyDescent="0.25">
      <c r="A178" t="s">
        <v>1302</v>
      </c>
      <c r="B178" t="s">
        <v>7890</v>
      </c>
      <c r="C178" t="s">
        <v>186</v>
      </c>
      <c r="D178" t="s">
        <v>7890</v>
      </c>
      <c r="E178" t="s">
        <v>7867</v>
      </c>
    </row>
    <row r="179" spans="1:5" x14ac:dyDescent="0.25">
      <c r="A179" t="s">
        <v>1311</v>
      </c>
      <c r="B179" t="s">
        <v>7890</v>
      </c>
      <c r="C179" t="s">
        <v>471</v>
      </c>
      <c r="D179" t="s">
        <v>7890</v>
      </c>
      <c r="E179" t="s">
        <v>7867</v>
      </c>
    </row>
    <row r="180" spans="1:5" x14ac:dyDescent="0.25">
      <c r="A180" t="s">
        <v>1316</v>
      </c>
      <c r="B180" t="s">
        <v>7890</v>
      </c>
      <c r="C180" t="s">
        <v>7659</v>
      </c>
      <c r="D180" t="s">
        <v>7890</v>
      </c>
      <c r="E180" t="s">
        <v>7867</v>
      </c>
    </row>
    <row r="181" spans="1:5" x14ac:dyDescent="0.25">
      <c r="A181" t="s">
        <v>1321</v>
      </c>
      <c r="B181" t="s">
        <v>7890</v>
      </c>
      <c r="C181" t="s">
        <v>15</v>
      </c>
      <c r="D181" t="s">
        <v>7890</v>
      </c>
      <c r="E181" t="s">
        <v>7867</v>
      </c>
    </row>
    <row r="182" spans="1:5" x14ac:dyDescent="0.25">
      <c r="A182" t="s">
        <v>1323</v>
      </c>
      <c r="B182" t="s">
        <v>7890</v>
      </c>
      <c r="C182" t="s">
        <v>348</v>
      </c>
      <c r="D182" t="s">
        <v>7890</v>
      </c>
      <c r="E182" t="s">
        <v>7867</v>
      </c>
    </row>
    <row r="183" spans="1:5" x14ac:dyDescent="0.25">
      <c r="A183" t="s">
        <v>1325</v>
      </c>
      <c r="B183" t="s">
        <v>7890</v>
      </c>
      <c r="C183" t="s">
        <v>177</v>
      </c>
      <c r="D183" t="s">
        <v>7890</v>
      </c>
      <c r="E183" t="s">
        <v>7867</v>
      </c>
    </row>
    <row r="184" spans="1:5" x14ac:dyDescent="0.25">
      <c r="A184" t="s">
        <v>1333</v>
      </c>
      <c r="B184" t="s">
        <v>7890</v>
      </c>
      <c r="C184" t="s">
        <v>5728</v>
      </c>
      <c r="D184" t="s">
        <v>7890</v>
      </c>
      <c r="E184" t="s">
        <v>7867</v>
      </c>
    </row>
    <row r="185" spans="1:5" x14ac:dyDescent="0.25">
      <c r="A185" t="s">
        <v>1341</v>
      </c>
      <c r="B185" t="s">
        <v>7890</v>
      </c>
      <c r="C185" t="s">
        <v>1222</v>
      </c>
      <c r="D185" t="s">
        <v>7890</v>
      </c>
      <c r="E185" t="s">
        <v>7867</v>
      </c>
    </row>
    <row r="186" spans="1:5" x14ac:dyDescent="0.25">
      <c r="A186" t="s">
        <v>1342</v>
      </c>
      <c r="B186" t="s">
        <v>7890</v>
      </c>
      <c r="C186" t="s">
        <v>1153</v>
      </c>
      <c r="D186" t="s">
        <v>7890</v>
      </c>
      <c r="E186" t="s">
        <v>7867</v>
      </c>
    </row>
    <row r="187" spans="1:5" x14ac:dyDescent="0.25">
      <c r="A187" t="s">
        <v>1354</v>
      </c>
      <c r="B187" t="s">
        <v>7890</v>
      </c>
      <c r="C187" t="s">
        <v>429</v>
      </c>
      <c r="D187" t="s">
        <v>7890</v>
      </c>
      <c r="E187" t="s">
        <v>7867</v>
      </c>
    </row>
    <row r="188" spans="1:5" x14ac:dyDescent="0.25">
      <c r="A188" t="s">
        <v>1360</v>
      </c>
      <c r="B188" t="s">
        <v>7890</v>
      </c>
      <c r="C188" t="s">
        <v>139</v>
      </c>
      <c r="D188" t="s">
        <v>7890</v>
      </c>
      <c r="E188" t="s">
        <v>7867</v>
      </c>
    </row>
    <row r="189" spans="1:5" x14ac:dyDescent="0.25">
      <c r="A189" t="s">
        <v>1370</v>
      </c>
      <c r="B189" t="s">
        <v>7890</v>
      </c>
      <c r="C189" t="s">
        <v>188</v>
      </c>
      <c r="D189" t="s">
        <v>7890</v>
      </c>
      <c r="E189" t="s">
        <v>7867</v>
      </c>
    </row>
    <row r="190" spans="1:5" x14ac:dyDescent="0.25">
      <c r="A190" t="s">
        <v>1378</v>
      </c>
      <c r="B190" t="s">
        <v>7890</v>
      </c>
      <c r="C190" t="s">
        <v>266</v>
      </c>
      <c r="D190" t="s">
        <v>7890</v>
      </c>
      <c r="E190" t="s">
        <v>7867</v>
      </c>
    </row>
    <row r="191" spans="1:5" x14ac:dyDescent="0.25">
      <c r="A191" t="s">
        <v>1380</v>
      </c>
      <c r="B191" t="s">
        <v>7890</v>
      </c>
      <c r="C191" t="s">
        <v>2931</v>
      </c>
      <c r="D191" t="s">
        <v>7890</v>
      </c>
      <c r="E191" t="s">
        <v>7867</v>
      </c>
    </row>
    <row r="192" spans="1:5" x14ac:dyDescent="0.25">
      <c r="A192" t="s">
        <v>1389</v>
      </c>
      <c r="B192" t="s">
        <v>7890</v>
      </c>
      <c r="C192" t="s">
        <v>579</v>
      </c>
      <c r="D192" t="s">
        <v>7890</v>
      </c>
      <c r="E192" t="s">
        <v>7867</v>
      </c>
    </row>
    <row r="193" spans="1:5" x14ac:dyDescent="0.25">
      <c r="A193" t="s">
        <v>1391</v>
      </c>
      <c r="B193" t="s">
        <v>7890</v>
      </c>
      <c r="C193" t="s">
        <v>183</v>
      </c>
      <c r="D193" t="s">
        <v>7890</v>
      </c>
      <c r="E193" t="s">
        <v>7867</v>
      </c>
    </row>
    <row r="194" spans="1:5" x14ac:dyDescent="0.25">
      <c r="A194" t="s">
        <v>1401</v>
      </c>
      <c r="B194" t="s">
        <v>7890</v>
      </c>
      <c r="C194" t="s">
        <v>84</v>
      </c>
      <c r="D194" t="s">
        <v>7890</v>
      </c>
      <c r="E194" t="s">
        <v>7867</v>
      </c>
    </row>
    <row r="195" spans="1:5" x14ac:dyDescent="0.25">
      <c r="A195" t="s">
        <v>1405</v>
      </c>
      <c r="B195" t="s">
        <v>7890</v>
      </c>
      <c r="C195" t="s">
        <v>1222</v>
      </c>
      <c r="D195" t="s">
        <v>7890</v>
      </c>
      <c r="E195" t="s">
        <v>7867</v>
      </c>
    </row>
    <row r="196" spans="1:5" x14ac:dyDescent="0.25">
      <c r="A196" t="s">
        <v>1410</v>
      </c>
      <c r="B196" t="s">
        <v>7890</v>
      </c>
      <c r="C196" t="s">
        <v>419</v>
      </c>
      <c r="D196" t="s">
        <v>7890</v>
      </c>
      <c r="E196" t="s">
        <v>7867</v>
      </c>
    </row>
    <row r="197" spans="1:5" x14ac:dyDescent="0.25">
      <c r="A197" t="s">
        <v>1412</v>
      </c>
      <c r="B197" t="s">
        <v>7890</v>
      </c>
      <c r="C197" t="s">
        <v>133</v>
      </c>
      <c r="D197" t="s">
        <v>7890</v>
      </c>
      <c r="E197" t="s">
        <v>7867</v>
      </c>
    </row>
    <row r="198" spans="1:5" x14ac:dyDescent="0.25">
      <c r="A198" t="s">
        <v>1414</v>
      </c>
      <c r="B198" t="s">
        <v>7890</v>
      </c>
      <c r="C198" t="s">
        <v>212</v>
      </c>
      <c r="D198" t="s">
        <v>7890</v>
      </c>
      <c r="E198" t="s">
        <v>7867</v>
      </c>
    </row>
    <row r="199" spans="1:5" x14ac:dyDescent="0.25">
      <c r="A199" t="s">
        <v>1416</v>
      </c>
      <c r="B199" t="s">
        <v>7890</v>
      </c>
      <c r="C199" t="s">
        <v>133</v>
      </c>
      <c r="D199" t="s">
        <v>7890</v>
      </c>
      <c r="E199" t="s">
        <v>7867</v>
      </c>
    </row>
    <row r="200" spans="1:5" x14ac:dyDescent="0.25">
      <c r="A200" t="s">
        <v>1420</v>
      </c>
      <c r="B200" t="s">
        <v>7890</v>
      </c>
      <c r="C200" t="s">
        <v>471</v>
      </c>
      <c r="D200" t="s">
        <v>7890</v>
      </c>
      <c r="E200" t="s">
        <v>7867</v>
      </c>
    </row>
    <row r="201" spans="1:5" x14ac:dyDescent="0.25">
      <c r="A201" t="s">
        <v>1428</v>
      </c>
      <c r="B201" t="s">
        <v>7890</v>
      </c>
      <c r="C201" t="s">
        <v>903</v>
      </c>
      <c r="D201" t="s">
        <v>7890</v>
      </c>
      <c r="E201" t="s">
        <v>7867</v>
      </c>
    </row>
    <row r="202" spans="1:5" x14ac:dyDescent="0.25">
      <c r="A202" t="s">
        <v>1432</v>
      </c>
      <c r="B202" t="s">
        <v>7890</v>
      </c>
      <c r="C202" t="s">
        <v>1153</v>
      </c>
      <c r="D202" t="s">
        <v>7890</v>
      </c>
      <c r="E202" t="s">
        <v>7867</v>
      </c>
    </row>
    <row r="203" spans="1:5" x14ac:dyDescent="0.25">
      <c r="A203" t="s">
        <v>1440</v>
      </c>
      <c r="B203" t="s">
        <v>7890</v>
      </c>
      <c r="C203" t="s">
        <v>429</v>
      </c>
      <c r="D203" t="s">
        <v>7890</v>
      </c>
      <c r="E203" t="s">
        <v>7867</v>
      </c>
    </row>
    <row r="204" spans="1:5" x14ac:dyDescent="0.25">
      <c r="A204" t="s">
        <v>1444</v>
      </c>
      <c r="B204" t="s">
        <v>7890</v>
      </c>
      <c r="C204" t="s">
        <v>1153</v>
      </c>
      <c r="D204" t="s">
        <v>7890</v>
      </c>
      <c r="E204" t="s">
        <v>7867</v>
      </c>
    </row>
    <row r="205" spans="1:5" x14ac:dyDescent="0.25">
      <c r="A205" t="s">
        <v>1451</v>
      </c>
      <c r="B205" t="s">
        <v>7890</v>
      </c>
      <c r="C205" t="s">
        <v>5083</v>
      </c>
      <c r="D205" t="s">
        <v>7890</v>
      </c>
      <c r="E205" t="s">
        <v>7867</v>
      </c>
    </row>
    <row r="206" spans="1:5" x14ac:dyDescent="0.25">
      <c r="A206" t="s">
        <v>1455</v>
      </c>
      <c r="B206" t="s">
        <v>7890</v>
      </c>
      <c r="C206" t="s">
        <v>903</v>
      </c>
      <c r="D206" t="s">
        <v>7890</v>
      </c>
      <c r="E206" t="s">
        <v>7871</v>
      </c>
    </row>
    <row r="207" spans="1:5" x14ac:dyDescent="0.25">
      <c r="A207" t="s">
        <v>1460</v>
      </c>
      <c r="B207" t="s">
        <v>7890</v>
      </c>
      <c r="C207" t="s">
        <v>1222</v>
      </c>
      <c r="D207" t="s">
        <v>7890</v>
      </c>
      <c r="E207" t="s">
        <v>7867</v>
      </c>
    </row>
    <row r="208" spans="1:5" x14ac:dyDescent="0.25">
      <c r="A208" t="s">
        <v>1469</v>
      </c>
      <c r="B208" t="s">
        <v>7890</v>
      </c>
      <c r="C208" t="s">
        <v>1177</v>
      </c>
      <c r="D208" t="s">
        <v>7890</v>
      </c>
      <c r="E208" t="s">
        <v>7867</v>
      </c>
    </row>
    <row r="209" spans="1:5" x14ac:dyDescent="0.25">
      <c r="A209" t="s">
        <v>1527</v>
      </c>
      <c r="B209" t="s">
        <v>7890</v>
      </c>
      <c r="C209" t="s">
        <v>5083</v>
      </c>
      <c r="D209" t="s">
        <v>7890</v>
      </c>
      <c r="E209" t="s">
        <v>7867</v>
      </c>
    </row>
    <row r="210" spans="1:5" x14ac:dyDescent="0.25">
      <c r="A210" t="s">
        <v>1531</v>
      </c>
      <c r="B210" t="s">
        <v>7890</v>
      </c>
      <c r="C210" t="s">
        <v>2375</v>
      </c>
      <c r="D210" t="s">
        <v>7890</v>
      </c>
      <c r="E210" t="s">
        <v>7867</v>
      </c>
    </row>
    <row r="211" spans="1:5" x14ac:dyDescent="0.25">
      <c r="A211" t="s">
        <v>1537</v>
      </c>
      <c r="B211" t="s">
        <v>7890</v>
      </c>
      <c r="C211" t="s">
        <v>1244</v>
      </c>
      <c r="D211" t="s">
        <v>7890</v>
      </c>
      <c r="E211" t="s">
        <v>7867</v>
      </c>
    </row>
    <row r="212" spans="1:5" x14ac:dyDescent="0.25">
      <c r="A212" t="s">
        <v>1543</v>
      </c>
      <c r="B212" t="s">
        <v>7890</v>
      </c>
      <c r="C212" t="s">
        <v>1222</v>
      </c>
      <c r="D212" t="s">
        <v>7890</v>
      </c>
      <c r="E212" t="s">
        <v>7867</v>
      </c>
    </row>
    <row r="213" spans="1:5" x14ac:dyDescent="0.25">
      <c r="A213" t="s">
        <v>1570</v>
      </c>
      <c r="B213" t="s">
        <v>7890</v>
      </c>
      <c r="C213" t="s">
        <v>1222</v>
      </c>
      <c r="D213" t="s">
        <v>7890</v>
      </c>
      <c r="E213" t="s">
        <v>7867</v>
      </c>
    </row>
    <row r="214" spans="1:5" x14ac:dyDescent="0.25">
      <c r="A214" t="s">
        <v>1574</v>
      </c>
      <c r="B214" t="s">
        <v>7890</v>
      </c>
      <c r="C214" t="s">
        <v>2931</v>
      </c>
      <c r="D214" t="s">
        <v>7890</v>
      </c>
      <c r="E214" t="s">
        <v>7867</v>
      </c>
    </row>
    <row r="215" spans="1:5" x14ac:dyDescent="0.25">
      <c r="A215" t="s">
        <v>1592</v>
      </c>
      <c r="B215" t="s">
        <v>7890</v>
      </c>
      <c r="C215" t="s">
        <v>1222</v>
      </c>
      <c r="D215" t="s">
        <v>7890</v>
      </c>
      <c r="E215" t="s">
        <v>7867</v>
      </c>
    </row>
    <row r="216" spans="1:5" x14ac:dyDescent="0.25">
      <c r="A216" t="s">
        <v>1606</v>
      </c>
      <c r="B216" t="s">
        <v>7890</v>
      </c>
      <c r="C216" t="s">
        <v>7659</v>
      </c>
      <c r="D216" t="s">
        <v>7890</v>
      </c>
      <c r="E216" t="s">
        <v>7867</v>
      </c>
    </row>
    <row r="217" spans="1:5" x14ac:dyDescent="0.25">
      <c r="A217" t="s">
        <v>1614</v>
      </c>
      <c r="B217" t="s">
        <v>7890</v>
      </c>
      <c r="C217" t="s">
        <v>2375</v>
      </c>
      <c r="D217" t="s">
        <v>7890</v>
      </c>
      <c r="E217" t="s">
        <v>7867</v>
      </c>
    </row>
    <row r="218" spans="1:5" x14ac:dyDescent="0.25">
      <c r="A218" t="s">
        <v>1621</v>
      </c>
      <c r="B218" t="s">
        <v>7890</v>
      </c>
      <c r="C218" t="s">
        <v>1244</v>
      </c>
      <c r="D218" t="s">
        <v>7890</v>
      </c>
      <c r="E218" t="s">
        <v>7867</v>
      </c>
    </row>
    <row r="219" spans="1:5" x14ac:dyDescent="0.25">
      <c r="A219" t="s">
        <v>1635</v>
      </c>
      <c r="B219" t="s">
        <v>7890</v>
      </c>
      <c r="C219" t="s">
        <v>903</v>
      </c>
      <c r="D219" t="s">
        <v>7890</v>
      </c>
      <c r="E219" t="s">
        <v>7867</v>
      </c>
    </row>
    <row r="220" spans="1:5" x14ac:dyDescent="0.25">
      <c r="A220" t="s">
        <v>1639</v>
      </c>
      <c r="B220" t="s">
        <v>7890</v>
      </c>
      <c r="C220" t="s">
        <v>7461</v>
      </c>
      <c r="D220" t="s">
        <v>7890</v>
      </c>
      <c r="E220" t="s">
        <v>7867</v>
      </c>
    </row>
    <row r="221" spans="1:5" x14ac:dyDescent="0.25">
      <c r="A221" t="s">
        <v>1641</v>
      </c>
      <c r="B221" t="s">
        <v>7890</v>
      </c>
      <c r="C221" t="s">
        <v>2375</v>
      </c>
      <c r="D221" t="s">
        <v>7890</v>
      </c>
      <c r="E221" t="s">
        <v>7867</v>
      </c>
    </row>
    <row r="222" spans="1:5" x14ac:dyDescent="0.25">
      <c r="A222" t="s">
        <v>1650</v>
      </c>
      <c r="B222" t="s">
        <v>7890</v>
      </c>
      <c r="C222" t="s">
        <v>2931</v>
      </c>
      <c r="D222" t="s">
        <v>7890</v>
      </c>
      <c r="E222" t="s">
        <v>7867</v>
      </c>
    </row>
    <row r="223" spans="1:5" x14ac:dyDescent="0.25">
      <c r="A223" t="s">
        <v>1657</v>
      </c>
      <c r="B223" t="s">
        <v>7890</v>
      </c>
      <c r="C223" t="s">
        <v>1177</v>
      </c>
      <c r="D223" t="s">
        <v>7890</v>
      </c>
      <c r="E223" t="s">
        <v>7867</v>
      </c>
    </row>
    <row r="224" spans="1:5" x14ac:dyDescent="0.25">
      <c r="A224" t="s">
        <v>1676</v>
      </c>
      <c r="B224" t="s">
        <v>7890</v>
      </c>
      <c r="C224" t="s">
        <v>1222</v>
      </c>
      <c r="D224" t="s">
        <v>7890</v>
      </c>
      <c r="E224" t="s">
        <v>7867</v>
      </c>
    </row>
    <row r="225" spans="1:5" x14ac:dyDescent="0.25">
      <c r="A225" t="s">
        <v>1703</v>
      </c>
      <c r="B225" t="s">
        <v>7890</v>
      </c>
      <c r="C225" t="s">
        <v>1228</v>
      </c>
      <c r="D225" t="s">
        <v>7890</v>
      </c>
      <c r="E225" t="s">
        <v>7867</v>
      </c>
    </row>
    <row r="226" spans="1:5" x14ac:dyDescent="0.25">
      <c r="A226" t="s">
        <v>1709</v>
      </c>
      <c r="B226" t="s">
        <v>7890</v>
      </c>
      <c r="C226" t="s">
        <v>1222</v>
      </c>
      <c r="D226" t="s">
        <v>7890</v>
      </c>
      <c r="E226" t="s">
        <v>7867</v>
      </c>
    </row>
    <row r="227" spans="1:5" x14ac:dyDescent="0.25">
      <c r="A227" t="s">
        <v>1710</v>
      </c>
      <c r="B227" t="s">
        <v>7890</v>
      </c>
      <c r="C227" t="s">
        <v>903</v>
      </c>
      <c r="D227" t="s">
        <v>7890</v>
      </c>
      <c r="E227" t="s">
        <v>7867</v>
      </c>
    </row>
    <row r="228" spans="1:5" x14ac:dyDescent="0.25">
      <c r="A228" t="s">
        <v>1715</v>
      </c>
      <c r="B228" t="s">
        <v>7890</v>
      </c>
      <c r="C228" t="s">
        <v>7659</v>
      </c>
      <c r="D228" t="s">
        <v>7890</v>
      </c>
      <c r="E228" t="s">
        <v>7867</v>
      </c>
    </row>
    <row r="229" spans="1:5" x14ac:dyDescent="0.25">
      <c r="A229" t="s">
        <v>1724</v>
      </c>
      <c r="B229" t="s">
        <v>7890</v>
      </c>
      <c r="C229" t="s">
        <v>2931</v>
      </c>
      <c r="D229" t="s">
        <v>7890</v>
      </c>
      <c r="E229" t="s">
        <v>7867</v>
      </c>
    </row>
    <row r="230" spans="1:5" x14ac:dyDescent="0.25">
      <c r="A230" t="s">
        <v>1738</v>
      </c>
      <c r="B230" t="s">
        <v>7890</v>
      </c>
      <c r="C230" t="s">
        <v>2375</v>
      </c>
      <c r="D230" t="s">
        <v>7890</v>
      </c>
      <c r="E230" t="s">
        <v>7867</v>
      </c>
    </row>
    <row r="231" spans="1:5" x14ac:dyDescent="0.25">
      <c r="A231" t="s">
        <v>1743</v>
      </c>
      <c r="B231" t="s">
        <v>7890</v>
      </c>
      <c r="C231" t="s">
        <v>1222</v>
      </c>
      <c r="D231" t="s">
        <v>7890</v>
      </c>
      <c r="E231" t="s">
        <v>7867</v>
      </c>
    </row>
    <row r="232" spans="1:5" x14ac:dyDescent="0.25">
      <c r="A232" t="s">
        <v>1761</v>
      </c>
      <c r="B232" t="s">
        <v>7890</v>
      </c>
      <c r="C232" t="s">
        <v>1153</v>
      </c>
      <c r="D232" t="s">
        <v>7890</v>
      </c>
      <c r="E232" t="s">
        <v>7867</v>
      </c>
    </row>
    <row r="233" spans="1:5" x14ac:dyDescent="0.25">
      <c r="A233" t="s">
        <v>1762</v>
      </c>
      <c r="B233" t="s">
        <v>7890</v>
      </c>
      <c r="C233" t="s">
        <v>507</v>
      </c>
      <c r="D233" t="s">
        <v>7890</v>
      </c>
      <c r="E233" t="s">
        <v>7867</v>
      </c>
    </row>
    <row r="234" spans="1:5" x14ac:dyDescent="0.25">
      <c r="A234" t="s">
        <v>1773</v>
      </c>
      <c r="B234" t="s">
        <v>7890</v>
      </c>
      <c r="C234" t="s">
        <v>5083</v>
      </c>
      <c r="D234" t="s">
        <v>7890</v>
      </c>
      <c r="E234" t="s">
        <v>7867</v>
      </c>
    </row>
    <row r="235" spans="1:5" x14ac:dyDescent="0.25">
      <c r="A235" t="s">
        <v>1774</v>
      </c>
      <c r="B235" t="s">
        <v>7890</v>
      </c>
      <c r="C235" t="s">
        <v>2062</v>
      </c>
      <c r="D235" t="s">
        <v>7890</v>
      </c>
      <c r="E235" t="s">
        <v>7867</v>
      </c>
    </row>
    <row r="236" spans="1:5" x14ac:dyDescent="0.25">
      <c r="A236" t="s">
        <v>1781</v>
      </c>
      <c r="B236" t="s">
        <v>7890</v>
      </c>
      <c r="C236" t="s">
        <v>158</v>
      </c>
      <c r="D236" t="s">
        <v>7890</v>
      </c>
      <c r="E236" t="s">
        <v>7867</v>
      </c>
    </row>
    <row r="237" spans="1:5" x14ac:dyDescent="0.25">
      <c r="A237" t="s">
        <v>1800</v>
      </c>
      <c r="B237" t="s">
        <v>7890</v>
      </c>
      <c r="C237" t="s">
        <v>6933</v>
      </c>
      <c r="D237" t="s">
        <v>7890</v>
      </c>
      <c r="E237" t="s">
        <v>7867</v>
      </c>
    </row>
    <row r="238" spans="1:5" x14ac:dyDescent="0.25">
      <c r="A238" t="s">
        <v>1805</v>
      </c>
      <c r="B238" t="s">
        <v>7890</v>
      </c>
      <c r="C238" t="s">
        <v>1222</v>
      </c>
      <c r="D238" t="s">
        <v>7890</v>
      </c>
      <c r="E238" t="s">
        <v>7867</v>
      </c>
    </row>
    <row r="239" spans="1:5" x14ac:dyDescent="0.25">
      <c r="A239" t="s">
        <v>1829</v>
      </c>
      <c r="B239" t="s">
        <v>7890</v>
      </c>
      <c r="C239" t="s">
        <v>7879</v>
      </c>
      <c r="D239" t="s">
        <v>7890</v>
      </c>
      <c r="E239" t="s">
        <v>7867</v>
      </c>
    </row>
    <row r="240" spans="1:5" x14ac:dyDescent="0.25">
      <c r="A240" t="s">
        <v>1836</v>
      </c>
      <c r="B240" t="s">
        <v>7890</v>
      </c>
      <c r="C240" t="s">
        <v>5083</v>
      </c>
      <c r="D240" t="s">
        <v>7890</v>
      </c>
      <c r="E240" t="s">
        <v>7867</v>
      </c>
    </row>
    <row r="241" spans="1:5" x14ac:dyDescent="0.25">
      <c r="A241" t="s">
        <v>1848</v>
      </c>
      <c r="B241" t="s">
        <v>7890</v>
      </c>
      <c r="C241" t="s">
        <v>903</v>
      </c>
      <c r="D241" t="s">
        <v>7890</v>
      </c>
      <c r="E241" t="s">
        <v>7867</v>
      </c>
    </row>
    <row r="242" spans="1:5" x14ac:dyDescent="0.25">
      <c r="A242" t="s">
        <v>1854</v>
      </c>
      <c r="B242" t="s">
        <v>7890</v>
      </c>
      <c r="C242" t="s">
        <v>1228</v>
      </c>
      <c r="D242" t="s">
        <v>7890</v>
      </c>
      <c r="E242" t="s">
        <v>7867</v>
      </c>
    </row>
    <row r="243" spans="1:5" x14ac:dyDescent="0.25">
      <c r="A243" t="s">
        <v>1860</v>
      </c>
      <c r="B243" t="s">
        <v>7890</v>
      </c>
      <c r="C243" t="s">
        <v>429</v>
      </c>
      <c r="D243" t="s">
        <v>7890</v>
      </c>
      <c r="E243" t="s">
        <v>7867</v>
      </c>
    </row>
    <row r="244" spans="1:5" x14ac:dyDescent="0.25">
      <c r="A244" t="s">
        <v>1878</v>
      </c>
      <c r="B244" t="s">
        <v>7890</v>
      </c>
      <c r="C244" t="s">
        <v>1222</v>
      </c>
      <c r="D244" t="s">
        <v>7890</v>
      </c>
      <c r="E244" t="s">
        <v>7867</v>
      </c>
    </row>
    <row r="245" spans="1:5" x14ac:dyDescent="0.25">
      <c r="A245" t="s">
        <v>1879</v>
      </c>
      <c r="B245" t="s">
        <v>7890</v>
      </c>
      <c r="C245" t="s">
        <v>903</v>
      </c>
      <c r="D245" t="s">
        <v>7890</v>
      </c>
      <c r="E245" t="s">
        <v>7867</v>
      </c>
    </row>
    <row r="246" spans="1:5" x14ac:dyDescent="0.25">
      <c r="A246" t="s">
        <v>1885</v>
      </c>
      <c r="B246" t="s">
        <v>7890</v>
      </c>
      <c r="C246" t="s">
        <v>2375</v>
      </c>
      <c r="D246" t="s">
        <v>7890</v>
      </c>
      <c r="E246" t="s">
        <v>7867</v>
      </c>
    </row>
    <row r="247" spans="1:5" x14ac:dyDescent="0.25">
      <c r="A247" t="s">
        <v>1888</v>
      </c>
      <c r="B247" t="s">
        <v>7890</v>
      </c>
      <c r="C247" t="s">
        <v>2931</v>
      </c>
      <c r="D247" t="s">
        <v>7890</v>
      </c>
      <c r="E247" t="s">
        <v>7867</v>
      </c>
    </row>
    <row r="248" spans="1:5" x14ac:dyDescent="0.25">
      <c r="A248" t="s">
        <v>1891</v>
      </c>
      <c r="B248" t="s">
        <v>7890</v>
      </c>
      <c r="C248" t="s">
        <v>461</v>
      </c>
      <c r="D248" t="s">
        <v>7890</v>
      </c>
      <c r="E248" t="s">
        <v>7867</v>
      </c>
    </row>
    <row r="249" spans="1:5" x14ac:dyDescent="0.25">
      <c r="A249" t="s">
        <v>1907</v>
      </c>
      <c r="B249" t="s">
        <v>7890</v>
      </c>
      <c r="C249" t="s">
        <v>1153</v>
      </c>
      <c r="D249" t="s">
        <v>7890</v>
      </c>
      <c r="E249" t="s">
        <v>7871</v>
      </c>
    </row>
    <row r="250" spans="1:5" x14ac:dyDescent="0.25">
      <c r="A250" t="s">
        <v>1924</v>
      </c>
      <c r="B250" t="s">
        <v>7890</v>
      </c>
      <c r="C250" t="s">
        <v>15</v>
      </c>
      <c r="D250" t="s">
        <v>7890</v>
      </c>
      <c r="E250" t="s">
        <v>7867</v>
      </c>
    </row>
    <row r="251" spans="1:5" x14ac:dyDescent="0.25">
      <c r="A251" t="s">
        <v>1930</v>
      </c>
      <c r="B251" t="s">
        <v>7890</v>
      </c>
      <c r="C251" t="s">
        <v>458</v>
      </c>
      <c r="D251" t="s">
        <v>7890</v>
      </c>
      <c r="E251" t="s">
        <v>7867</v>
      </c>
    </row>
    <row r="252" spans="1:5" x14ac:dyDescent="0.25">
      <c r="A252" t="s">
        <v>1937</v>
      </c>
      <c r="B252" t="s">
        <v>7890</v>
      </c>
      <c r="C252" t="s">
        <v>2931</v>
      </c>
      <c r="D252" t="s">
        <v>7890</v>
      </c>
      <c r="E252" t="s">
        <v>7867</v>
      </c>
    </row>
    <row r="253" spans="1:5" x14ac:dyDescent="0.25">
      <c r="A253" t="s">
        <v>1947</v>
      </c>
      <c r="B253" t="s">
        <v>7890</v>
      </c>
      <c r="C253" t="s">
        <v>1153</v>
      </c>
      <c r="D253" t="s">
        <v>7890</v>
      </c>
      <c r="E253" t="s">
        <v>7867</v>
      </c>
    </row>
    <row r="254" spans="1:5" x14ac:dyDescent="0.25">
      <c r="A254" t="s">
        <v>1951</v>
      </c>
      <c r="B254" t="s">
        <v>7890</v>
      </c>
      <c r="C254" t="s">
        <v>1153</v>
      </c>
      <c r="D254" t="s">
        <v>7890</v>
      </c>
      <c r="E254" t="s">
        <v>7867</v>
      </c>
    </row>
    <row r="255" spans="1:5" x14ac:dyDescent="0.25">
      <c r="A255" t="s">
        <v>1977</v>
      </c>
      <c r="B255" t="s">
        <v>7890</v>
      </c>
      <c r="C255" t="s">
        <v>2375</v>
      </c>
      <c r="D255" t="s">
        <v>7890</v>
      </c>
      <c r="E255" t="s">
        <v>7867</v>
      </c>
    </row>
    <row r="256" spans="1:5" x14ac:dyDescent="0.25">
      <c r="A256" t="s">
        <v>1982</v>
      </c>
      <c r="B256" t="s">
        <v>7890</v>
      </c>
      <c r="C256" t="s">
        <v>156</v>
      </c>
      <c r="D256" t="s">
        <v>7890</v>
      </c>
      <c r="E256" t="s">
        <v>7867</v>
      </c>
    </row>
    <row r="257" spans="1:5" x14ac:dyDescent="0.25">
      <c r="A257" t="s">
        <v>1991</v>
      </c>
      <c r="B257" t="s">
        <v>7890</v>
      </c>
      <c r="C257" t="s">
        <v>1382</v>
      </c>
      <c r="D257" t="s">
        <v>7890</v>
      </c>
      <c r="E257" t="s">
        <v>7867</v>
      </c>
    </row>
    <row r="258" spans="1:5" x14ac:dyDescent="0.25">
      <c r="A258" t="s">
        <v>1993</v>
      </c>
      <c r="B258" t="s">
        <v>7890</v>
      </c>
      <c r="C258" t="s">
        <v>61</v>
      </c>
      <c r="D258" t="s">
        <v>7890</v>
      </c>
      <c r="E258" t="s">
        <v>7867</v>
      </c>
    </row>
    <row r="259" spans="1:5" x14ac:dyDescent="0.25">
      <c r="A259" t="s">
        <v>1995</v>
      </c>
      <c r="B259" t="s">
        <v>7890</v>
      </c>
      <c r="C259" t="s">
        <v>63</v>
      </c>
      <c r="D259" t="s">
        <v>7890</v>
      </c>
      <c r="E259" t="s">
        <v>7867</v>
      </c>
    </row>
    <row r="260" spans="1:5" x14ac:dyDescent="0.25">
      <c r="A260" t="s">
        <v>1997</v>
      </c>
      <c r="B260" t="s">
        <v>7890</v>
      </c>
      <c r="C260" t="s">
        <v>2062</v>
      </c>
      <c r="D260" t="s">
        <v>7890</v>
      </c>
      <c r="E260" t="s">
        <v>7867</v>
      </c>
    </row>
    <row r="261" spans="1:5" x14ac:dyDescent="0.25">
      <c r="A261" t="s">
        <v>2001</v>
      </c>
      <c r="B261" t="s">
        <v>7890</v>
      </c>
      <c r="C261" t="s">
        <v>53</v>
      </c>
      <c r="D261" t="s">
        <v>7890</v>
      </c>
      <c r="E261" t="s">
        <v>7867</v>
      </c>
    </row>
    <row r="262" spans="1:5" x14ac:dyDescent="0.25">
      <c r="A262" t="s">
        <v>2004</v>
      </c>
      <c r="B262" t="s">
        <v>7890</v>
      </c>
      <c r="C262" t="s">
        <v>389</v>
      </c>
      <c r="D262" t="s">
        <v>7890</v>
      </c>
      <c r="E262" t="s">
        <v>7867</v>
      </c>
    </row>
    <row r="263" spans="1:5" x14ac:dyDescent="0.25">
      <c r="A263" t="s">
        <v>2006</v>
      </c>
      <c r="B263" t="s">
        <v>7890</v>
      </c>
      <c r="C263" t="s">
        <v>100</v>
      </c>
      <c r="D263" t="s">
        <v>7890</v>
      </c>
      <c r="E263" t="s">
        <v>7867</v>
      </c>
    </row>
    <row r="264" spans="1:5" x14ac:dyDescent="0.25">
      <c r="A264" t="s">
        <v>2008</v>
      </c>
      <c r="B264" t="s">
        <v>7890</v>
      </c>
      <c r="C264" t="s">
        <v>389</v>
      </c>
      <c r="D264" t="s">
        <v>7890</v>
      </c>
      <c r="E264" t="s">
        <v>7867</v>
      </c>
    </row>
    <row r="265" spans="1:5" x14ac:dyDescent="0.25">
      <c r="A265" t="s">
        <v>2009</v>
      </c>
      <c r="B265" t="s">
        <v>7890</v>
      </c>
      <c r="C265" t="s">
        <v>73</v>
      </c>
      <c r="D265" t="s">
        <v>7890</v>
      </c>
      <c r="E265" t="s">
        <v>7867</v>
      </c>
    </row>
    <row r="266" spans="1:5" x14ac:dyDescent="0.25">
      <c r="A266" t="s">
        <v>2011</v>
      </c>
      <c r="B266" t="s">
        <v>7890</v>
      </c>
      <c r="C266" t="s">
        <v>51</v>
      </c>
      <c r="D266" t="s">
        <v>7890</v>
      </c>
      <c r="E266" t="s">
        <v>7867</v>
      </c>
    </row>
    <row r="267" spans="1:5" x14ac:dyDescent="0.25">
      <c r="A267" t="s">
        <v>2013</v>
      </c>
      <c r="B267" t="s">
        <v>7890</v>
      </c>
      <c r="C267" t="s">
        <v>88</v>
      </c>
      <c r="D267" t="s">
        <v>7890</v>
      </c>
      <c r="E267" t="s">
        <v>7867</v>
      </c>
    </row>
    <row r="268" spans="1:5" x14ac:dyDescent="0.25">
      <c r="A268" t="s">
        <v>2016</v>
      </c>
      <c r="B268" t="s">
        <v>7890</v>
      </c>
      <c r="C268" t="s">
        <v>2931</v>
      </c>
      <c r="D268" t="s">
        <v>7890</v>
      </c>
      <c r="E268" t="s">
        <v>7867</v>
      </c>
    </row>
    <row r="269" spans="1:5" x14ac:dyDescent="0.25">
      <c r="A269" t="s">
        <v>2031</v>
      </c>
      <c r="B269" t="s">
        <v>7890</v>
      </c>
      <c r="C269" t="s">
        <v>130</v>
      </c>
      <c r="D269" t="s">
        <v>7890</v>
      </c>
      <c r="E269" t="s">
        <v>7867</v>
      </c>
    </row>
    <row r="270" spans="1:5" x14ac:dyDescent="0.25">
      <c r="A270" t="s">
        <v>2034</v>
      </c>
      <c r="B270" t="s">
        <v>7890</v>
      </c>
      <c r="C270" t="s">
        <v>2062</v>
      </c>
      <c r="D270" t="s">
        <v>7890</v>
      </c>
      <c r="E270" t="s">
        <v>7867</v>
      </c>
    </row>
    <row r="271" spans="1:5" x14ac:dyDescent="0.25">
      <c r="A271" t="s">
        <v>2035</v>
      </c>
      <c r="B271" t="s">
        <v>7890</v>
      </c>
      <c r="C271" t="s">
        <v>579</v>
      </c>
      <c r="D271" t="s">
        <v>7890</v>
      </c>
      <c r="E271" t="s">
        <v>7867</v>
      </c>
    </row>
    <row r="272" spans="1:5" x14ac:dyDescent="0.25">
      <c r="A272" t="s">
        <v>2046</v>
      </c>
      <c r="B272" t="s">
        <v>7890</v>
      </c>
      <c r="C272" t="s">
        <v>139</v>
      </c>
      <c r="D272" t="s">
        <v>7890</v>
      </c>
      <c r="E272" t="s">
        <v>7867</v>
      </c>
    </row>
    <row r="273" spans="1:5" x14ac:dyDescent="0.25">
      <c r="A273" t="s">
        <v>2056</v>
      </c>
      <c r="B273" t="s">
        <v>7890</v>
      </c>
      <c r="C273" t="s">
        <v>903</v>
      </c>
      <c r="D273" t="s">
        <v>7890</v>
      </c>
      <c r="E273" t="s">
        <v>7867</v>
      </c>
    </row>
    <row r="274" spans="1:5" x14ac:dyDescent="0.25">
      <c r="A274" t="s">
        <v>2057</v>
      </c>
      <c r="B274" t="s">
        <v>7890</v>
      </c>
      <c r="C274" t="s">
        <v>4235</v>
      </c>
      <c r="D274" t="s">
        <v>7890</v>
      </c>
      <c r="E274" t="s">
        <v>7867</v>
      </c>
    </row>
    <row r="275" spans="1:5" x14ac:dyDescent="0.25">
      <c r="A275" t="s">
        <v>2063</v>
      </c>
      <c r="B275" t="s">
        <v>7890</v>
      </c>
      <c r="C275" t="s">
        <v>1153</v>
      </c>
      <c r="D275" t="s">
        <v>7890</v>
      </c>
      <c r="E275" t="s">
        <v>7867</v>
      </c>
    </row>
    <row r="276" spans="1:5" x14ac:dyDescent="0.25">
      <c r="A276" t="s">
        <v>2064</v>
      </c>
      <c r="B276" t="s">
        <v>7890</v>
      </c>
      <c r="C276" t="s">
        <v>6509</v>
      </c>
      <c r="D276" t="s">
        <v>7890</v>
      </c>
      <c r="E276" t="s">
        <v>7867</v>
      </c>
    </row>
    <row r="277" spans="1:5" x14ac:dyDescent="0.25">
      <c r="A277" t="s">
        <v>2067</v>
      </c>
      <c r="B277" t="s">
        <v>7890</v>
      </c>
      <c r="C277" t="s">
        <v>1153</v>
      </c>
      <c r="D277" t="s">
        <v>7890</v>
      </c>
      <c r="E277" t="s">
        <v>7867</v>
      </c>
    </row>
    <row r="278" spans="1:5" x14ac:dyDescent="0.25">
      <c r="A278" t="s">
        <v>2070</v>
      </c>
      <c r="B278" t="s">
        <v>7890</v>
      </c>
      <c r="C278" t="s">
        <v>429</v>
      </c>
      <c r="D278" t="s">
        <v>7890</v>
      </c>
      <c r="E278" t="s">
        <v>7867</v>
      </c>
    </row>
    <row r="279" spans="1:5" x14ac:dyDescent="0.25">
      <c r="A279" t="s">
        <v>2077</v>
      </c>
      <c r="B279" t="s">
        <v>7890</v>
      </c>
      <c r="C279" t="s">
        <v>139</v>
      </c>
      <c r="D279" t="s">
        <v>7890</v>
      </c>
      <c r="E279" t="s">
        <v>7867</v>
      </c>
    </row>
    <row r="280" spans="1:5" x14ac:dyDescent="0.25">
      <c r="A280" t="s">
        <v>2082</v>
      </c>
      <c r="B280" t="s">
        <v>7890</v>
      </c>
      <c r="C280" t="s">
        <v>1222</v>
      </c>
      <c r="D280" t="s">
        <v>7890</v>
      </c>
      <c r="E280" t="s">
        <v>7867</v>
      </c>
    </row>
    <row r="281" spans="1:5" x14ac:dyDescent="0.25">
      <c r="A281" t="s">
        <v>2108</v>
      </c>
      <c r="B281" t="s">
        <v>7890</v>
      </c>
      <c r="C281" t="s">
        <v>215</v>
      </c>
      <c r="D281" t="s">
        <v>7890</v>
      </c>
      <c r="E281" t="s">
        <v>7867</v>
      </c>
    </row>
    <row r="282" spans="1:5" x14ac:dyDescent="0.25">
      <c r="A282" t="s">
        <v>2132</v>
      </c>
      <c r="B282" t="s">
        <v>7890</v>
      </c>
      <c r="C282" t="s">
        <v>15</v>
      </c>
      <c r="D282" t="s">
        <v>7890</v>
      </c>
      <c r="E282" t="s">
        <v>7867</v>
      </c>
    </row>
    <row r="283" spans="1:5" x14ac:dyDescent="0.25">
      <c r="A283" t="s">
        <v>2137</v>
      </c>
      <c r="B283" t="s">
        <v>7890</v>
      </c>
      <c r="C283" t="s">
        <v>148</v>
      </c>
      <c r="D283" t="s">
        <v>7890</v>
      </c>
      <c r="E283" t="s">
        <v>7867</v>
      </c>
    </row>
    <row r="284" spans="1:5" x14ac:dyDescent="0.25">
      <c r="A284" t="s">
        <v>2146</v>
      </c>
      <c r="B284" t="s">
        <v>7890</v>
      </c>
      <c r="C284" t="s">
        <v>2931</v>
      </c>
      <c r="D284" t="s">
        <v>7890</v>
      </c>
      <c r="E284" t="s">
        <v>7867</v>
      </c>
    </row>
    <row r="285" spans="1:5" x14ac:dyDescent="0.25">
      <c r="A285" t="s">
        <v>2155</v>
      </c>
      <c r="B285" t="s">
        <v>7890</v>
      </c>
      <c r="C285" t="s">
        <v>1153</v>
      </c>
      <c r="D285" t="s">
        <v>7890</v>
      </c>
      <c r="E285" t="s">
        <v>7867</v>
      </c>
    </row>
    <row r="286" spans="1:5" x14ac:dyDescent="0.25">
      <c r="A286" t="s">
        <v>2167</v>
      </c>
      <c r="B286" t="s">
        <v>7890</v>
      </c>
      <c r="C286" t="s">
        <v>1244</v>
      </c>
      <c r="D286" t="s">
        <v>7890</v>
      </c>
      <c r="E286" t="s">
        <v>7867</v>
      </c>
    </row>
    <row r="287" spans="1:5" x14ac:dyDescent="0.25">
      <c r="A287" t="s">
        <v>2169</v>
      </c>
      <c r="B287" t="s">
        <v>7890</v>
      </c>
      <c r="C287" t="s">
        <v>458</v>
      </c>
      <c r="D287" t="s">
        <v>7890</v>
      </c>
      <c r="E287" t="s">
        <v>7867</v>
      </c>
    </row>
    <row r="288" spans="1:5" x14ac:dyDescent="0.25">
      <c r="A288" t="s">
        <v>2179</v>
      </c>
      <c r="B288" t="s">
        <v>7890</v>
      </c>
      <c r="C288" t="s">
        <v>7659</v>
      </c>
      <c r="D288" t="s">
        <v>7890</v>
      </c>
      <c r="E288" t="s">
        <v>7867</v>
      </c>
    </row>
    <row r="289" spans="1:5" x14ac:dyDescent="0.25">
      <c r="A289" t="s">
        <v>2187</v>
      </c>
      <c r="B289" t="s">
        <v>7890</v>
      </c>
      <c r="C289" t="s">
        <v>92</v>
      </c>
      <c r="D289" t="s">
        <v>7890</v>
      </c>
      <c r="E289" t="s">
        <v>7867</v>
      </c>
    </row>
    <row r="290" spans="1:5" x14ac:dyDescent="0.25">
      <c r="A290" t="s">
        <v>2199</v>
      </c>
      <c r="B290" t="s">
        <v>7890</v>
      </c>
      <c r="C290" t="s">
        <v>1222</v>
      </c>
      <c r="D290" t="s">
        <v>7890</v>
      </c>
      <c r="E290" t="s">
        <v>7867</v>
      </c>
    </row>
    <row r="291" spans="1:5" x14ac:dyDescent="0.25">
      <c r="A291" t="s">
        <v>2217</v>
      </c>
      <c r="B291" t="s">
        <v>7890</v>
      </c>
      <c r="C291" t="s">
        <v>5448</v>
      </c>
      <c r="D291" t="s">
        <v>7890</v>
      </c>
      <c r="E291" t="s">
        <v>7867</v>
      </c>
    </row>
    <row r="292" spans="1:5" x14ac:dyDescent="0.25">
      <c r="A292" t="s">
        <v>2218</v>
      </c>
      <c r="B292" t="s">
        <v>7890</v>
      </c>
      <c r="C292" t="s">
        <v>6509</v>
      </c>
      <c r="D292" t="s">
        <v>7890</v>
      </c>
      <c r="E292" t="s">
        <v>7867</v>
      </c>
    </row>
    <row r="293" spans="1:5" x14ac:dyDescent="0.25">
      <c r="A293" t="s">
        <v>2220</v>
      </c>
      <c r="B293" t="s">
        <v>7890</v>
      </c>
      <c r="C293" t="s">
        <v>115</v>
      </c>
      <c r="D293" t="s">
        <v>7890</v>
      </c>
      <c r="E293" t="s">
        <v>7867</v>
      </c>
    </row>
    <row r="294" spans="1:5" x14ac:dyDescent="0.25">
      <c r="A294" t="s">
        <v>2241</v>
      </c>
      <c r="B294" t="s">
        <v>7890</v>
      </c>
      <c r="C294" t="s">
        <v>6806</v>
      </c>
      <c r="D294" t="s">
        <v>7890</v>
      </c>
      <c r="E294" t="s">
        <v>7867</v>
      </c>
    </row>
    <row r="295" spans="1:5" x14ac:dyDescent="0.25">
      <c r="A295" t="s">
        <v>2245</v>
      </c>
      <c r="B295" t="s">
        <v>7890</v>
      </c>
      <c r="C295" t="s">
        <v>2355</v>
      </c>
      <c r="D295" t="s">
        <v>7890</v>
      </c>
      <c r="E295" t="s">
        <v>7867</v>
      </c>
    </row>
    <row r="296" spans="1:5" x14ac:dyDescent="0.25">
      <c r="A296" t="s">
        <v>2248</v>
      </c>
      <c r="B296" t="s">
        <v>7890</v>
      </c>
      <c r="C296" t="s">
        <v>1222</v>
      </c>
      <c r="D296" t="s">
        <v>7890</v>
      </c>
      <c r="E296" t="s">
        <v>7867</v>
      </c>
    </row>
    <row r="297" spans="1:5" x14ac:dyDescent="0.25">
      <c r="A297" t="s">
        <v>2262</v>
      </c>
      <c r="B297" t="s">
        <v>7890</v>
      </c>
      <c r="C297" t="s">
        <v>148</v>
      </c>
      <c r="D297" t="s">
        <v>7890</v>
      </c>
      <c r="E297" t="s">
        <v>7867</v>
      </c>
    </row>
    <row r="298" spans="1:5" x14ac:dyDescent="0.25">
      <c r="A298" t="s">
        <v>2267</v>
      </c>
      <c r="B298" t="s">
        <v>7890</v>
      </c>
      <c r="C298" t="s">
        <v>1222</v>
      </c>
      <c r="D298" t="s">
        <v>7890</v>
      </c>
      <c r="E298" t="s">
        <v>7867</v>
      </c>
    </row>
    <row r="299" spans="1:5" x14ac:dyDescent="0.25">
      <c r="A299" t="s">
        <v>2277</v>
      </c>
      <c r="B299" t="s">
        <v>7890</v>
      </c>
      <c r="C299" t="s">
        <v>1177</v>
      </c>
      <c r="D299" t="s">
        <v>7890</v>
      </c>
      <c r="E299" t="s">
        <v>7871</v>
      </c>
    </row>
    <row r="300" spans="1:5" x14ac:dyDescent="0.25">
      <c r="A300" t="s">
        <v>2283</v>
      </c>
      <c r="B300" t="s">
        <v>7890</v>
      </c>
      <c r="C300" t="s">
        <v>51</v>
      </c>
      <c r="D300" t="s">
        <v>7890</v>
      </c>
      <c r="E300" t="s">
        <v>7867</v>
      </c>
    </row>
    <row r="301" spans="1:5" x14ac:dyDescent="0.25">
      <c r="A301" t="s">
        <v>2285</v>
      </c>
      <c r="B301" t="s">
        <v>7890</v>
      </c>
      <c r="C301" t="s">
        <v>164</v>
      </c>
      <c r="D301" t="s">
        <v>7890</v>
      </c>
      <c r="E301" t="s">
        <v>7867</v>
      </c>
    </row>
    <row r="302" spans="1:5" x14ac:dyDescent="0.25">
      <c r="A302" t="s">
        <v>2287</v>
      </c>
      <c r="B302" t="s">
        <v>7890</v>
      </c>
      <c r="C302" t="s">
        <v>53</v>
      </c>
      <c r="D302" t="s">
        <v>7890</v>
      </c>
      <c r="E302" t="s">
        <v>7871</v>
      </c>
    </row>
    <row r="303" spans="1:5" x14ac:dyDescent="0.25">
      <c r="A303" t="s">
        <v>2289</v>
      </c>
      <c r="B303" t="s">
        <v>7890</v>
      </c>
      <c r="C303" t="s">
        <v>55</v>
      </c>
      <c r="D303" t="s">
        <v>7890</v>
      </c>
      <c r="E303" t="s">
        <v>7867</v>
      </c>
    </row>
    <row r="304" spans="1:5" x14ac:dyDescent="0.25">
      <c r="A304" t="s">
        <v>2291</v>
      </c>
      <c r="B304" t="s">
        <v>7890</v>
      </c>
      <c r="C304" t="s">
        <v>170</v>
      </c>
      <c r="D304" t="s">
        <v>7890</v>
      </c>
      <c r="E304" t="s">
        <v>7871</v>
      </c>
    </row>
    <row r="305" spans="1:5" x14ac:dyDescent="0.25">
      <c r="A305" t="s">
        <v>2293</v>
      </c>
      <c r="B305" t="s">
        <v>7890</v>
      </c>
      <c r="C305" t="s">
        <v>2062</v>
      </c>
      <c r="D305" t="s">
        <v>7890</v>
      </c>
      <c r="E305" t="s">
        <v>7871</v>
      </c>
    </row>
    <row r="306" spans="1:5" x14ac:dyDescent="0.25">
      <c r="A306" t="s">
        <v>2295</v>
      </c>
      <c r="B306" t="s">
        <v>7890</v>
      </c>
      <c r="C306" t="s">
        <v>1177</v>
      </c>
      <c r="D306" t="s">
        <v>7890</v>
      </c>
      <c r="E306" t="s">
        <v>7871</v>
      </c>
    </row>
    <row r="307" spans="1:5" x14ac:dyDescent="0.25">
      <c r="A307" t="s">
        <v>2297</v>
      </c>
      <c r="B307" t="s">
        <v>7890</v>
      </c>
      <c r="C307" t="s">
        <v>266</v>
      </c>
      <c r="D307" t="s">
        <v>7890</v>
      </c>
      <c r="E307" t="s">
        <v>7867</v>
      </c>
    </row>
    <row r="308" spans="1:5" x14ac:dyDescent="0.25">
      <c r="A308" t="s">
        <v>2299</v>
      </c>
      <c r="B308" t="s">
        <v>7890</v>
      </c>
      <c r="C308" t="s">
        <v>75</v>
      </c>
      <c r="D308" t="s">
        <v>7890</v>
      </c>
      <c r="E308" t="s">
        <v>7871</v>
      </c>
    </row>
    <row r="309" spans="1:5" x14ac:dyDescent="0.25">
      <c r="A309" t="s">
        <v>2301</v>
      </c>
      <c r="B309" t="s">
        <v>7890</v>
      </c>
      <c r="C309" t="s">
        <v>579</v>
      </c>
      <c r="D309" t="s">
        <v>7890</v>
      </c>
      <c r="E309" t="s">
        <v>7867</v>
      </c>
    </row>
    <row r="310" spans="1:5" x14ac:dyDescent="0.25">
      <c r="A310" t="s">
        <v>2303</v>
      </c>
      <c r="B310" t="s">
        <v>7890</v>
      </c>
      <c r="C310" t="s">
        <v>323</v>
      </c>
      <c r="D310" t="s">
        <v>7890</v>
      </c>
      <c r="E310" t="s">
        <v>7867</v>
      </c>
    </row>
    <row r="311" spans="1:5" x14ac:dyDescent="0.25">
      <c r="A311" t="s">
        <v>2305</v>
      </c>
      <c r="B311" t="s">
        <v>7890</v>
      </c>
      <c r="C311" t="s">
        <v>419</v>
      </c>
      <c r="D311" t="s">
        <v>7890</v>
      </c>
      <c r="E311" t="s">
        <v>7867</v>
      </c>
    </row>
    <row r="312" spans="1:5" x14ac:dyDescent="0.25">
      <c r="A312" t="s">
        <v>2312</v>
      </c>
      <c r="B312" t="s">
        <v>7890</v>
      </c>
      <c r="C312" t="s">
        <v>139</v>
      </c>
      <c r="D312" t="s">
        <v>7890</v>
      </c>
      <c r="E312" t="s">
        <v>7871</v>
      </c>
    </row>
    <row r="313" spans="1:5" x14ac:dyDescent="0.25">
      <c r="A313" t="s">
        <v>2317</v>
      </c>
      <c r="B313" t="s">
        <v>7890</v>
      </c>
      <c r="C313" t="s">
        <v>903</v>
      </c>
      <c r="D313" t="s">
        <v>7890</v>
      </c>
      <c r="E313" t="s">
        <v>7867</v>
      </c>
    </row>
    <row r="314" spans="1:5" x14ac:dyDescent="0.25">
      <c r="A314" t="s">
        <v>2322</v>
      </c>
      <c r="B314" t="s">
        <v>7890</v>
      </c>
      <c r="C314" t="s">
        <v>1222</v>
      </c>
      <c r="D314" t="s">
        <v>7890</v>
      </c>
      <c r="E314" t="s">
        <v>7867</v>
      </c>
    </row>
    <row r="315" spans="1:5" x14ac:dyDescent="0.25">
      <c r="A315" t="s">
        <v>2325</v>
      </c>
      <c r="B315" t="s">
        <v>7890</v>
      </c>
      <c r="C315" t="s">
        <v>7659</v>
      </c>
      <c r="D315" t="s">
        <v>7890</v>
      </c>
      <c r="E315" t="s">
        <v>7867</v>
      </c>
    </row>
    <row r="316" spans="1:5" x14ac:dyDescent="0.25">
      <c r="A316" t="s">
        <v>2341</v>
      </c>
      <c r="B316" t="s">
        <v>7890</v>
      </c>
      <c r="C316" t="s">
        <v>2375</v>
      </c>
      <c r="D316" t="s">
        <v>7890</v>
      </c>
      <c r="E316" t="s">
        <v>7871</v>
      </c>
    </row>
    <row r="317" spans="1:5" x14ac:dyDescent="0.25">
      <c r="A317" t="s">
        <v>2348</v>
      </c>
      <c r="B317" t="s">
        <v>7890</v>
      </c>
      <c r="C317" t="s">
        <v>2931</v>
      </c>
      <c r="D317" t="s">
        <v>7890</v>
      </c>
      <c r="E317" t="s">
        <v>7867</v>
      </c>
    </row>
    <row r="318" spans="1:5" x14ac:dyDescent="0.25">
      <c r="A318" t="s">
        <v>2363</v>
      </c>
      <c r="B318" t="s">
        <v>7890</v>
      </c>
      <c r="C318" t="s">
        <v>6460</v>
      </c>
      <c r="D318" t="s">
        <v>7890</v>
      </c>
      <c r="E318" t="s">
        <v>7867</v>
      </c>
    </row>
    <row r="319" spans="1:5" x14ac:dyDescent="0.25">
      <c r="A319" t="s">
        <v>2377</v>
      </c>
      <c r="B319" t="s">
        <v>7890</v>
      </c>
      <c r="C319" t="s">
        <v>6933</v>
      </c>
      <c r="D319" t="s">
        <v>7890</v>
      </c>
      <c r="E319" t="s">
        <v>7867</v>
      </c>
    </row>
    <row r="320" spans="1:5" x14ac:dyDescent="0.25">
      <c r="A320" t="s">
        <v>2384</v>
      </c>
      <c r="B320" t="s">
        <v>7890</v>
      </c>
      <c r="C320" t="s">
        <v>2931</v>
      </c>
      <c r="D320" t="s">
        <v>7890</v>
      </c>
      <c r="E320" t="s">
        <v>7867</v>
      </c>
    </row>
    <row r="321" spans="1:5" x14ac:dyDescent="0.25">
      <c r="A321" t="s">
        <v>2390</v>
      </c>
      <c r="B321" t="s">
        <v>7890</v>
      </c>
      <c r="C321" t="s">
        <v>1222</v>
      </c>
      <c r="D321" t="s">
        <v>7890</v>
      </c>
      <c r="E321" t="s">
        <v>7867</v>
      </c>
    </row>
    <row r="322" spans="1:5" x14ac:dyDescent="0.25">
      <c r="A322" t="s">
        <v>2427</v>
      </c>
      <c r="B322" t="s">
        <v>7890</v>
      </c>
      <c r="C322" t="s">
        <v>1244</v>
      </c>
      <c r="D322" t="s">
        <v>7890</v>
      </c>
      <c r="E322" t="s">
        <v>7867</v>
      </c>
    </row>
    <row r="323" spans="1:5" x14ac:dyDescent="0.25">
      <c r="A323" t="s">
        <v>2435</v>
      </c>
      <c r="B323" t="s">
        <v>7890</v>
      </c>
      <c r="C323" t="s">
        <v>1222</v>
      </c>
      <c r="D323" t="s">
        <v>7890</v>
      </c>
      <c r="E323" t="s">
        <v>7867</v>
      </c>
    </row>
    <row r="324" spans="1:5" x14ac:dyDescent="0.25">
      <c r="A324" t="s">
        <v>2440</v>
      </c>
      <c r="B324" t="s">
        <v>7890</v>
      </c>
      <c r="C324" t="s">
        <v>7659</v>
      </c>
      <c r="D324" t="s">
        <v>7890</v>
      </c>
      <c r="E324" t="s">
        <v>7867</v>
      </c>
    </row>
    <row r="325" spans="1:5" x14ac:dyDescent="0.25">
      <c r="A325" t="s">
        <v>2445</v>
      </c>
      <c r="B325" t="s">
        <v>7890</v>
      </c>
      <c r="C325" t="s">
        <v>2375</v>
      </c>
      <c r="D325" t="s">
        <v>7890</v>
      </c>
      <c r="E325" t="s">
        <v>7867</v>
      </c>
    </row>
    <row r="326" spans="1:5" x14ac:dyDescent="0.25">
      <c r="A326" t="s">
        <v>2462</v>
      </c>
      <c r="B326" t="s">
        <v>7890</v>
      </c>
      <c r="C326" t="s">
        <v>1222</v>
      </c>
      <c r="D326" t="s">
        <v>7890</v>
      </c>
      <c r="E326" t="s">
        <v>7867</v>
      </c>
    </row>
    <row r="327" spans="1:5" x14ac:dyDescent="0.25">
      <c r="A327" t="s">
        <v>2463</v>
      </c>
      <c r="B327" t="s">
        <v>7890</v>
      </c>
      <c r="C327" t="s">
        <v>2931</v>
      </c>
      <c r="D327" t="s">
        <v>7890</v>
      </c>
      <c r="E327" t="s">
        <v>7867</v>
      </c>
    </row>
    <row r="328" spans="1:5" x14ac:dyDescent="0.25">
      <c r="A328" t="s">
        <v>2486</v>
      </c>
      <c r="B328" t="s">
        <v>7890</v>
      </c>
      <c r="C328" t="s">
        <v>2375</v>
      </c>
      <c r="D328" t="s">
        <v>7890</v>
      </c>
      <c r="E328" t="s">
        <v>7871</v>
      </c>
    </row>
    <row r="329" spans="1:5" x14ac:dyDescent="0.25">
      <c r="A329" t="s">
        <v>2501</v>
      </c>
      <c r="B329" t="s">
        <v>7890</v>
      </c>
      <c r="C329" t="s">
        <v>1222</v>
      </c>
      <c r="D329" t="s">
        <v>7890</v>
      </c>
      <c r="E329" t="s">
        <v>7867</v>
      </c>
    </row>
    <row r="330" spans="1:5" x14ac:dyDescent="0.25">
      <c r="A330" t="s">
        <v>2504</v>
      </c>
      <c r="B330" t="s">
        <v>7890</v>
      </c>
      <c r="C330" t="s">
        <v>2931</v>
      </c>
      <c r="D330" t="s">
        <v>7890</v>
      </c>
      <c r="E330" t="s">
        <v>7867</v>
      </c>
    </row>
    <row r="331" spans="1:5" x14ac:dyDescent="0.25">
      <c r="A331" t="s">
        <v>2513</v>
      </c>
      <c r="B331" t="s">
        <v>7890</v>
      </c>
      <c r="C331" t="s">
        <v>2375</v>
      </c>
      <c r="D331" t="s">
        <v>7890</v>
      </c>
      <c r="E331" t="s">
        <v>7867</v>
      </c>
    </row>
    <row r="332" spans="1:5" x14ac:dyDescent="0.25">
      <c r="A332" t="s">
        <v>2522</v>
      </c>
      <c r="B332" t="s">
        <v>7890</v>
      </c>
      <c r="C332" t="s">
        <v>1222</v>
      </c>
      <c r="D332" t="s">
        <v>7890</v>
      </c>
      <c r="E332" t="s">
        <v>7867</v>
      </c>
    </row>
    <row r="333" spans="1:5" x14ac:dyDescent="0.25">
      <c r="A333" t="s">
        <v>2524</v>
      </c>
      <c r="B333" t="s">
        <v>7890</v>
      </c>
      <c r="C333" t="s">
        <v>1244</v>
      </c>
      <c r="D333" t="s">
        <v>7890</v>
      </c>
      <c r="E333" t="s">
        <v>7867</v>
      </c>
    </row>
    <row r="334" spans="1:5" x14ac:dyDescent="0.25">
      <c r="A334" t="s">
        <v>2545</v>
      </c>
      <c r="B334" t="s">
        <v>7890</v>
      </c>
      <c r="C334" t="s">
        <v>7659</v>
      </c>
      <c r="D334" t="s">
        <v>7890</v>
      </c>
      <c r="E334" t="s">
        <v>7867</v>
      </c>
    </row>
    <row r="335" spans="1:5" x14ac:dyDescent="0.25">
      <c r="A335" t="s">
        <v>2551</v>
      </c>
      <c r="B335" t="s">
        <v>7890</v>
      </c>
      <c r="C335" t="s">
        <v>5083</v>
      </c>
      <c r="D335" t="s">
        <v>7890</v>
      </c>
      <c r="E335" t="s">
        <v>7867</v>
      </c>
    </row>
    <row r="336" spans="1:5" x14ac:dyDescent="0.25">
      <c r="A336" t="s">
        <v>2560</v>
      </c>
      <c r="B336" t="s">
        <v>7890</v>
      </c>
      <c r="C336" t="s">
        <v>6509</v>
      </c>
      <c r="D336" t="s">
        <v>7890</v>
      </c>
      <c r="E336" t="s">
        <v>7867</v>
      </c>
    </row>
    <row r="337" spans="1:5" x14ac:dyDescent="0.25">
      <c r="A337" t="s">
        <v>2562</v>
      </c>
      <c r="B337" t="s">
        <v>7890</v>
      </c>
      <c r="C337" t="s">
        <v>6956</v>
      </c>
      <c r="D337" t="s">
        <v>7890</v>
      </c>
      <c r="E337" t="s">
        <v>7867</v>
      </c>
    </row>
    <row r="338" spans="1:5" x14ac:dyDescent="0.25">
      <c r="A338" t="s">
        <v>2565</v>
      </c>
      <c r="B338" t="s">
        <v>7890</v>
      </c>
      <c r="C338" t="s">
        <v>1017</v>
      </c>
      <c r="D338" t="s">
        <v>7890</v>
      </c>
      <c r="E338" t="s">
        <v>7867</v>
      </c>
    </row>
    <row r="339" spans="1:5" x14ac:dyDescent="0.25">
      <c r="A339" t="s">
        <v>2567</v>
      </c>
      <c r="B339" t="s">
        <v>7890</v>
      </c>
      <c r="C339" t="s">
        <v>242</v>
      </c>
      <c r="D339" t="s">
        <v>7890</v>
      </c>
      <c r="E339" t="s">
        <v>7867</v>
      </c>
    </row>
    <row r="340" spans="1:5" x14ac:dyDescent="0.25">
      <c r="A340" t="s">
        <v>2569</v>
      </c>
      <c r="B340" t="s">
        <v>7890</v>
      </c>
      <c r="C340" t="s">
        <v>1196</v>
      </c>
      <c r="D340" t="s">
        <v>7890</v>
      </c>
      <c r="E340" t="s">
        <v>7867</v>
      </c>
    </row>
    <row r="341" spans="1:5" x14ac:dyDescent="0.25">
      <c r="A341" t="s">
        <v>2571</v>
      </c>
      <c r="B341" t="s">
        <v>7890</v>
      </c>
      <c r="C341" t="s">
        <v>81</v>
      </c>
      <c r="D341" t="s">
        <v>7890</v>
      </c>
      <c r="E341" t="s">
        <v>7867</v>
      </c>
    </row>
    <row r="342" spans="1:5" x14ac:dyDescent="0.25">
      <c r="A342" t="s">
        <v>2573</v>
      </c>
      <c r="B342" t="s">
        <v>7890</v>
      </c>
      <c r="C342" t="s">
        <v>2062</v>
      </c>
      <c r="D342" t="s">
        <v>7890</v>
      </c>
      <c r="E342" t="s">
        <v>7867</v>
      </c>
    </row>
    <row r="343" spans="1:5" x14ac:dyDescent="0.25">
      <c r="A343" t="s">
        <v>2575</v>
      </c>
      <c r="B343" t="s">
        <v>7890</v>
      </c>
      <c r="C343" t="s">
        <v>92</v>
      </c>
      <c r="D343" t="s">
        <v>7890</v>
      </c>
      <c r="E343" t="s">
        <v>7871</v>
      </c>
    </row>
    <row r="344" spans="1:5" x14ac:dyDescent="0.25">
      <c r="A344" t="s">
        <v>2577</v>
      </c>
      <c r="B344" t="s">
        <v>7890</v>
      </c>
      <c r="C344" t="s">
        <v>1153</v>
      </c>
      <c r="D344" t="s">
        <v>7890</v>
      </c>
      <c r="E344" t="s">
        <v>7867</v>
      </c>
    </row>
    <row r="345" spans="1:5" x14ac:dyDescent="0.25">
      <c r="A345" t="s">
        <v>2579</v>
      </c>
      <c r="B345" t="s">
        <v>7890</v>
      </c>
      <c r="C345" t="s">
        <v>498</v>
      </c>
      <c r="D345" t="s">
        <v>7890</v>
      </c>
      <c r="E345" t="s">
        <v>7871</v>
      </c>
    </row>
    <row r="346" spans="1:5" x14ac:dyDescent="0.25">
      <c r="A346" t="s">
        <v>2581</v>
      </c>
      <c r="B346" t="s">
        <v>7890</v>
      </c>
      <c r="C346" t="s">
        <v>4041</v>
      </c>
      <c r="D346" t="s">
        <v>7890</v>
      </c>
      <c r="E346" t="s">
        <v>7867</v>
      </c>
    </row>
    <row r="347" spans="1:5" x14ac:dyDescent="0.25">
      <c r="A347" t="s">
        <v>2583</v>
      </c>
      <c r="B347" t="s">
        <v>7890</v>
      </c>
      <c r="C347" t="s">
        <v>4235</v>
      </c>
      <c r="D347" t="s">
        <v>7890</v>
      </c>
      <c r="E347" t="s">
        <v>7867</v>
      </c>
    </row>
    <row r="348" spans="1:5" x14ac:dyDescent="0.25">
      <c r="A348" t="s">
        <v>2637</v>
      </c>
      <c r="B348" t="s">
        <v>7890</v>
      </c>
      <c r="C348" t="s">
        <v>2931</v>
      </c>
      <c r="D348" t="s">
        <v>7890</v>
      </c>
      <c r="E348" t="s">
        <v>7867</v>
      </c>
    </row>
    <row r="349" spans="1:5" x14ac:dyDescent="0.25">
      <c r="A349" t="s">
        <v>2645</v>
      </c>
      <c r="B349" t="s">
        <v>7890</v>
      </c>
      <c r="C349" t="s">
        <v>2062</v>
      </c>
      <c r="D349" t="s">
        <v>7890</v>
      </c>
      <c r="E349" t="s">
        <v>7867</v>
      </c>
    </row>
    <row r="350" spans="1:5" x14ac:dyDescent="0.25">
      <c r="A350" t="s">
        <v>2669</v>
      </c>
      <c r="B350" t="s">
        <v>7890</v>
      </c>
      <c r="C350" t="s">
        <v>1222</v>
      </c>
      <c r="D350" t="s">
        <v>7890</v>
      </c>
      <c r="E350" t="s">
        <v>7867</v>
      </c>
    </row>
    <row r="351" spans="1:5" x14ac:dyDescent="0.25">
      <c r="A351" t="s">
        <v>2679</v>
      </c>
      <c r="B351" t="s">
        <v>7890</v>
      </c>
      <c r="C351" t="s">
        <v>1244</v>
      </c>
      <c r="D351" t="s">
        <v>7890</v>
      </c>
      <c r="E351" t="s">
        <v>7867</v>
      </c>
    </row>
    <row r="352" spans="1:5" x14ac:dyDescent="0.25">
      <c r="A352" t="s">
        <v>2706</v>
      </c>
      <c r="B352" t="s">
        <v>7890</v>
      </c>
      <c r="C352" t="s">
        <v>1222</v>
      </c>
      <c r="D352" t="s">
        <v>7890</v>
      </c>
      <c r="E352" t="s">
        <v>7867</v>
      </c>
    </row>
    <row r="353" spans="1:5" x14ac:dyDescent="0.25">
      <c r="A353" t="s">
        <v>2709</v>
      </c>
      <c r="B353" t="s">
        <v>7890</v>
      </c>
      <c r="C353" t="s">
        <v>2931</v>
      </c>
      <c r="D353" t="s">
        <v>7890</v>
      </c>
      <c r="E353" t="s">
        <v>7867</v>
      </c>
    </row>
    <row r="354" spans="1:5" x14ac:dyDescent="0.25">
      <c r="A354" t="s">
        <v>2720</v>
      </c>
      <c r="B354" t="s">
        <v>7890</v>
      </c>
      <c r="C354" t="s">
        <v>1486</v>
      </c>
      <c r="D354" t="s">
        <v>7890</v>
      </c>
      <c r="E354" t="s">
        <v>7867</v>
      </c>
    </row>
    <row r="355" spans="1:5" x14ac:dyDescent="0.25">
      <c r="A355" t="s">
        <v>2730</v>
      </c>
      <c r="B355" t="s">
        <v>7890</v>
      </c>
      <c r="C355" t="s">
        <v>100</v>
      </c>
      <c r="D355" t="s">
        <v>7890</v>
      </c>
      <c r="E355" t="s">
        <v>7867</v>
      </c>
    </row>
    <row r="356" spans="1:5" x14ac:dyDescent="0.25">
      <c r="A356" t="s">
        <v>2738</v>
      </c>
      <c r="B356" t="s">
        <v>7890</v>
      </c>
      <c r="C356" t="s">
        <v>1222</v>
      </c>
      <c r="D356" t="s">
        <v>7890</v>
      </c>
      <c r="E356" t="s">
        <v>7867</v>
      </c>
    </row>
    <row r="357" spans="1:5" x14ac:dyDescent="0.25">
      <c r="A357" t="s">
        <v>2746</v>
      </c>
      <c r="B357" t="s">
        <v>7890</v>
      </c>
      <c r="C357" t="s">
        <v>15</v>
      </c>
      <c r="D357" t="s">
        <v>7890</v>
      </c>
      <c r="E357" t="s">
        <v>7867</v>
      </c>
    </row>
    <row r="358" spans="1:5" x14ac:dyDescent="0.25">
      <c r="A358" t="s">
        <v>2747</v>
      </c>
      <c r="B358" t="s">
        <v>7890</v>
      </c>
      <c r="C358" t="s">
        <v>139</v>
      </c>
      <c r="D358" t="s">
        <v>7890</v>
      </c>
      <c r="E358" t="s">
        <v>7867</v>
      </c>
    </row>
    <row r="359" spans="1:5" x14ac:dyDescent="0.25">
      <c r="A359" t="s">
        <v>2752</v>
      </c>
      <c r="B359" t="s">
        <v>7890</v>
      </c>
      <c r="C359" t="s">
        <v>34</v>
      </c>
      <c r="D359" t="s">
        <v>7890</v>
      </c>
      <c r="E359" t="s">
        <v>7867</v>
      </c>
    </row>
    <row r="360" spans="1:5" x14ac:dyDescent="0.25">
      <c r="A360" t="s">
        <v>2754</v>
      </c>
      <c r="B360" t="s">
        <v>7890</v>
      </c>
      <c r="C360" t="s">
        <v>2375</v>
      </c>
      <c r="D360" t="s">
        <v>7890</v>
      </c>
      <c r="E360" t="s">
        <v>7867</v>
      </c>
    </row>
    <row r="361" spans="1:5" x14ac:dyDescent="0.25">
      <c r="A361" t="s">
        <v>2756</v>
      </c>
      <c r="B361" t="s">
        <v>7890</v>
      </c>
      <c r="C361" t="s">
        <v>2062</v>
      </c>
      <c r="D361" t="s">
        <v>7890</v>
      </c>
      <c r="E361" t="s">
        <v>7867</v>
      </c>
    </row>
    <row r="362" spans="1:5" x14ac:dyDescent="0.25">
      <c r="A362" t="s">
        <v>2759</v>
      </c>
      <c r="B362" t="s">
        <v>7890</v>
      </c>
      <c r="C362" t="s">
        <v>1153</v>
      </c>
      <c r="D362" t="s">
        <v>7890</v>
      </c>
      <c r="E362" t="s">
        <v>7867</v>
      </c>
    </row>
    <row r="363" spans="1:5" x14ac:dyDescent="0.25">
      <c r="A363" t="s">
        <v>2761</v>
      </c>
      <c r="B363" t="s">
        <v>7890</v>
      </c>
      <c r="C363" t="s">
        <v>34</v>
      </c>
      <c r="D363" t="s">
        <v>7890</v>
      </c>
      <c r="E363" t="s">
        <v>7867</v>
      </c>
    </row>
    <row r="364" spans="1:5" x14ac:dyDescent="0.25">
      <c r="A364" t="s">
        <v>2762</v>
      </c>
      <c r="B364" t="s">
        <v>7890</v>
      </c>
      <c r="C364" t="s">
        <v>2375</v>
      </c>
      <c r="D364" t="s">
        <v>7890</v>
      </c>
      <c r="E364" t="s">
        <v>7867</v>
      </c>
    </row>
    <row r="365" spans="1:5" x14ac:dyDescent="0.25">
      <c r="A365" t="s">
        <v>2764</v>
      </c>
      <c r="B365" t="s">
        <v>7890</v>
      </c>
      <c r="C365" t="s">
        <v>34</v>
      </c>
      <c r="D365" t="s">
        <v>7890</v>
      </c>
      <c r="E365" t="s">
        <v>7867</v>
      </c>
    </row>
    <row r="366" spans="1:5" x14ac:dyDescent="0.25">
      <c r="A366" t="s">
        <v>2766</v>
      </c>
      <c r="B366" t="s">
        <v>7890</v>
      </c>
      <c r="C366" t="s">
        <v>2062</v>
      </c>
      <c r="D366" t="s">
        <v>7890</v>
      </c>
      <c r="E366" t="s">
        <v>7867</v>
      </c>
    </row>
    <row r="367" spans="1:5" x14ac:dyDescent="0.25">
      <c r="A367" t="s">
        <v>2769</v>
      </c>
      <c r="B367" t="s">
        <v>7890</v>
      </c>
      <c r="C367" t="s">
        <v>1222</v>
      </c>
      <c r="D367" t="s">
        <v>7890</v>
      </c>
      <c r="E367" t="s">
        <v>7867</v>
      </c>
    </row>
    <row r="368" spans="1:5" x14ac:dyDescent="0.25">
      <c r="A368" t="s">
        <v>2778</v>
      </c>
      <c r="B368" t="s">
        <v>7890</v>
      </c>
      <c r="C368" t="s">
        <v>2375</v>
      </c>
      <c r="D368" t="s">
        <v>7890</v>
      </c>
      <c r="E368" t="s">
        <v>7867</v>
      </c>
    </row>
    <row r="369" spans="1:5" x14ac:dyDescent="0.25">
      <c r="A369" t="s">
        <v>2779</v>
      </c>
      <c r="B369" t="s">
        <v>7890</v>
      </c>
      <c r="C369" t="s">
        <v>6460</v>
      </c>
      <c r="D369" t="s">
        <v>7890</v>
      </c>
      <c r="E369" t="s">
        <v>7867</v>
      </c>
    </row>
    <row r="370" spans="1:5" x14ac:dyDescent="0.25">
      <c r="A370" t="s">
        <v>2788</v>
      </c>
      <c r="B370" t="s">
        <v>7890</v>
      </c>
      <c r="C370" t="s">
        <v>5448</v>
      </c>
      <c r="D370" t="s">
        <v>7890</v>
      </c>
      <c r="E370" t="s">
        <v>7867</v>
      </c>
    </row>
    <row r="371" spans="1:5" x14ac:dyDescent="0.25">
      <c r="A371" t="s">
        <v>2789</v>
      </c>
      <c r="B371" t="s">
        <v>7890</v>
      </c>
      <c r="C371" t="s">
        <v>5767</v>
      </c>
      <c r="D371" t="s">
        <v>7890</v>
      </c>
      <c r="E371" t="s">
        <v>7867</v>
      </c>
    </row>
    <row r="372" spans="1:5" x14ac:dyDescent="0.25">
      <c r="A372" t="s">
        <v>2792</v>
      </c>
      <c r="B372" t="s">
        <v>7890</v>
      </c>
      <c r="C372" t="s">
        <v>2931</v>
      </c>
      <c r="D372" t="s">
        <v>7890</v>
      </c>
      <c r="E372" t="s">
        <v>7867</v>
      </c>
    </row>
    <row r="373" spans="1:5" x14ac:dyDescent="0.25">
      <c r="A373" t="s">
        <v>2817</v>
      </c>
      <c r="B373" t="s">
        <v>7890</v>
      </c>
      <c r="C373" t="s">
        <v>53</v>
      </c>
      <c r="D373" t="s">
        <v>7890</v>
      </c>
      <c r="E373" t="s">
        <v>7867</v>
      </c>
    </row>
    <row r="374" spans="1:5" x14ac:dyDescent="0.25">
      <c r="A374" t="s">
        <v>2829</v>
      </c>
      <c r="B374" t="s">
        <v>7890</v>
      </c>
      <c r="C374" t="s">
        <v>471</v>
      </c>
      <c r="D374" t="s">
        <v>7890</v>
      </c>
      <c r="E374" t="s">
        <v>7867</v>
      </c>
    </row>
    <row r="375" spans="1:5" x14ac:dyDescent="0.25">
      <c r="A375" t="s">
        <v>2831</v>
      </c>
      <c r="B375" t="s">
        <v>7890</v>
      </c>
      <c r="C375" t="s">
        <v>277</v>
      </c>
      <c r="D375" t="s">
        <v>7890</v>
      </c>
      <c r="E375" t="s">
        <v>7867</v>
      </c>
    </row>
    <row r="376" spans="1:5" x14ac:dyDescent="0.25">
      <c r="A376" t="s">
        <v>2833</v>
      </c>
      <c r="B376" t="s">
        <v>7890</v>
      </c>
      <c r="C376" t="s">
        <v>73</v>
      </c>
      <c r="D376" t="s">
        <v>7890</v>
      </c>
      <c r="E376" t="s">
        <v>7867</v>
      </c>
    </row>
    <row r="377" spans="1:5" x14ac:dyDescent="0.25">
      <c r="A377" t="s">
        <v>2834</v>
      </c>
      <c r="B377" t="s">
        <v>7890</v>
      </c>
      <c r="C377" t="s">
        <v>100</v>
      </c>
      <c r="D377" t="s">
        <v>7890</v>
      </c>
      <c r="E377" t="s">
        <v>7867</v>
      </c>
    </row>
    <row r="378" spans="1:5" x14ac:dyDescent="0.25">
      <c r="A378" t="s">
        <v>2835</v>
      </c>
      <c r="B378" t="s">
        <v>7890</v>
      </c>
      <c r="C378" t="s">
        <v>34</v>
      </c>
      <c r="D378" t="s">
        <v>7890</v>
      </c>
      <c r="E378" t="s">
        <v>7867</v>
      </c>
    </row>
    <row r="379" spans="1:5" x14ac:dyDescent="0.25">
      <c r="A379" t="s">
        <v>2840</v>
      </c>
      <c r="B379" t="s">
        <v>7890</v>
      </c>
      <c r="C379" t="s">
        <v>458</v>
      </c>
      <c r="D379" t="s">
        <v>7890</v>
      </c>
      <c r="E379" t="s">
        <v>7867</v>
      </c>
    </row>
    <row r="380" spans="1:5" x14ac:dyDescent="0.25">
      <c r="A380" t="s">
        <v>2844</v>
      </c>
      <c r="B380" t="s">
        <v>7890</v>
      </c>
      <c r="C380" t="s">
        <v>2062</v>
      </c>
      <c r="D380" t="s">
        <v>7890</v>
      </c>
      <c r="E380" t="s">
        <v>7867</v>
      </c>
    </row>
    <row r="381" spans="1:5" x14ac:dyDescent="0.25">
      <c r="A381" t="s">
        <v>2846</v>
      </c>
      <c r="B381" t="s">
        <v>7890</v>
      </c>
      <c r="C381" t="s">
        <v>170</v>
      </c>
      <c r="D381" t="s">
        <v>7890</v>
      </c>
      <c r="E381" t="s">
        <v>7867</v>
      </c>
    </row>
    <row r="382" spans="1:5" x14ac:dyDescent="0.25">
      <c r="A382" t="s">
        <v>2848</v>
      </c>
      <c r="B382" t="s">
        <v>7890</v>
      </c>
      <c r="C382" t="s">
        <v>75</v>
      </c>
      <c r="D382" t="s">
        <v>7890</v>
      </c>
      <c r="E382" t="s">
        <v>7867</v>
      </c>
    </row>
    <row r="383" spans="1:5" x14ac:dyDescent="0.25">
      <c r="A383" t="s">
        <v>2850</v>
      </c>
      <c r="B383" t="s">
        <v>7890</v>
      </c>
      <c r="C383" t="s">
        <v>419</v>
      </c>
      <c r="D383" t="s">
        <v>7890</v>
      </c>
      <c r="E383" t="s">
        <v>7867</v>
      </c>
    </row>
    <row r="384" spans="1:5" x14ac:dyDescent="0.25">
      <c r="A384" t="s">
        <v>2852</v>
      </c>
      <c r="B384" t="s">
        <v>7890</v>
      </c>
      <c r="C384" t="s">
        <v>1731</v>
      </c>
      <c r="D384" t="s">
        <v>7890</v>
      </c>
      <c r="E384" t="s">
        <v>7867</v>
      </c>
    </row>
    <row r="385" spans="1:5" x14ac:dyDescent="0.25">
      <c r="A385" t="s">
        <v>2861</v>
      </c>
      <c r="B385" t="s">
        <v>7890</v>
      </c>
      <c r="C385" t="s">
        <v>15</v>
      </c>
      <c r="D385" t="s">
        <v>7890</v>
      </c>
      <c r="E385" t="s">
        <v>7871</v>
      </c>
    </row>
    <row r="386" spans="1:5" x14ac:dyDescent="0.25">
      <c r="A386" t="s">
        <v>2863</v>
      </c>
      <c r="B386" t="s">
        <v>7890</v>
      </c>
      <c r="C386" t="s">
        <v>100</v>
      </c>
      <c r="D386" t="s">
        <v>7890</v>
      </c>
      <c r="E386" t="s">
        <v>7871</v>
      </c>
    </row>
    <row r="387" spans="1:5" x14ac:dyDescent="0.25">
      <c r="A387" t="s">
        <v>2865</v>
      </c>
      <c r="B387" t="s">
        <v>7890</v>
      </c>
      <c r="C387" t="s">
        <v>139</v>
      </c>
      <c r="D387" t="s">
        <v>7890</v>
      </c>
      <c r="E387" t="s">
        <v>7867</v>
      </c>
    </row>
    <row r="388" spans="1:5" x14ac:dyDescent="0.25">
      <c r="A388" t="s">
        <v>2872</v>
      </c>
      <c r="B388" t="s">
        <v>7890</v>
      </c>
      <c r="C388" t="s">
        <v>264</v>
      </c>
      <c r="D388" t="s">
        <v>7890</v>
      </c>
      <c r="E388" t="s">
        <v>7871</v>
      </c>
    </row>
    <row r="389" spans="1:5" x14ac:dyDescent="0.25">
      <c r="A389" t="s">
        <v>2874</v>
      </c>
      <c r="B389" t="s">
        <v>7890</v>
      </c>
      <c r="C389" t="s">
        <v>34</v>
      </c>
      <c r="D389" t="s">
        <v>7890</v>
      </c>
      <c r="E389" t="s">
        <v>7871</v>
      </c>
    </row>
    <row r="390" spans="1:5" x14ac:dyDescent="0.25">
      <c r="A390" t="s">
        <v>2876</v>
      </c>
      <c r="B390" t="s">
        <v>7890</v>
      </c>
      <c r="C390" t="s">
        <v>2375</v>
      </c>
      <c r="D390" t="s">
        <v>7890</v>
      </c>
      <c r="E390" t="s">
        <v>7867</v>
      </c>
    </row>
    <row r="391" spans="1:5" x14ac:dyDescent="0.25">
      <c r="A391" t="s">
        <v>2890</v>
      </c>
      <c r="B391" t="s">
        <v>7890</v>
      </c>
      <c r="C391" t="s">
        <v>15</v>
      </c>
      <c r="D391" t="s">
        <v>7890</v>
      </c>
      <c r="E391" t="s">
        <v>7871</v>
      </c>
    </row>
    <row r="392" spans="1:5" x14ac:dyDescent="0.25">
      <c r="A392" t="s">
        <v>2891</v>
      </c>
      <c r="B392" t="s">
        <v>7890</v>
      </c>
      <c r="C392" t="s">
        <v>100</v>
      </c>
      <c r="D392" t="s">
        <v>7890</v>
      </c>
      <c r="E392" t="s">
        <v>7871</v>
      </c>
    </row>
    <row r="393" spans="1:5" x14ac:dyDescent="0.25">
      <c r="A393" t="s">
        <v>2892</v>
      </c>
      <c r="B393" t="s">
        <v>7890</v>
      </c>
      <c r="C393" t="s">
        <v>242</v>
      </c>
      <c r="D393" t="s">
        <v>7890</v>
      </c>
      <c r="E393" t="s">
        <v>7867</v>
      </c>
    </row>
    <row r="394" spans="1:5" x14ac:dyDescent="0.25">
      <c r="A394" t="s">
        <v>2896</v>
      </c>
      <c r="B394" t="s">
        <v>7890</v>
      </c>
      <c r="C394" t="s">
        <v>154</v>
      </c>
      <c r="D394" t="s">
        <v>7890</v>
      </c>
      <c r="E394" t="s">
        <v>7871</v>
      </c>
    </row>
    <row r="395" spans="1:5" x14ac:dyDescent="0.25">
      <c r="A395" t="s">
        <v>2899</v>
      </c>
      <c r="B395" t="s">
        <v>7890</v>
      </c>
      <c r="C395" t="s">
        <v>133</v>
      </c>
      <c r="D395" t="s">
        <v>7890</v>
      </c>
      <c r="E395" t="s">
        <v>7867</v>
      </c>
    </row>
    <row r="396" spans="1:5" x14ac:dyDescent="0.25">
      <c r="A396" t="s">
        <v>2945</v>
      </c>
      <c r="B396" t="s">
        <v>7890</v>
      </c>
      <c r="C396" t="s">
        <v>2062</v>
      </c>
      <c r="D396" t="s">
        <v>7890</v>
      </c>
      <c r="E396" t="s">
        <v>7867</v>
      </c>
    </row>
    <row r="397" spans="1:5" x14ac:dyDescent="0.25">
      <c r="A397" t="s">
        <v>2951</v>
      </c>
      <c r="B397" t="s">
        <v>7890</v>
      </c>
      <c r="C397" t="s">
        <v>2931</v>
      </c>
      <c r="D397" t="s">
        <v>7890</v>
      </c>
      <c r="E397" t="s">
        <v>7867</v>
      </c>
    </row>
    <row r="398" spans="1:5" x14ac:dyDescent="0.25">
      <c r="A398" t="s">
        <v>2955</v>
      </c>
      <c r="B398" t="s">
        <v>7890</v>
      </c>
      <c r="C398" t="s">
        <v>1222</v>
      </c>
      <c r="D398" t="s">
        <v>7890</v>
      </c>
      <c r="E398" t="s">
        <v>7867</v>
      </c>
    </row>
    <row r="399" spans="1:5" x14ac:dyDescent="0.25">
      <c r="A399" t="s">
        <v>2957</v>
      </c>
      <c r="B399" t="s">
        <v>7890</v>
      </c>
      <c r="C399" t="s">
        <v>458</v>
      </c>
      <c r="D399" t="s">
        <v>7890</v>
      </c>
      <c r="E399" t="s">
        <v>7867</v>
      </c>
    </row>
    <row r="400" spans="1:5" x14ac:dyDescent="0.25">
      <c r="A400" t="s">
        <v>3001</v>
      </c>
      <c r="B400" t="s">
        <v>7890</v>
      </c>
      <c r="C400" t="s">
        <v>515</v>
      </c>
      <c r="D400" t="s">
        <v>7890</v>
      </c>
      <c r="E400" t="s">
        <v>7867</v>
      </c>
    </row>
    <row r="401" spans="1:5" x14ac:dyDescent="0.25">
      <c r="A401" t="s">
        <v>3007</v>
      </c>
      <c r="B401" t="s">
        <v>7890</v>
      </c>
      <c r="C401" t="s">
        <v>6443</v>
      </c>
      <c r="D401" t="s">
        <v>7890</v>
      </c>
      <c r="E401" t="s">
        <v>7867</v>
      </c>
    </row>
    <row r="402" spans="1:5" x14ac:dyDescent="0.25">
      <c r="A402" t="s">
        <v>3024</v>
      </c>
      <c r="B402" t="s">
        <v>7890</v>
      </c>
      <c r="C402" t="s">
        <v>6252</v>
      </c>
      <c r="D402" t="s">
        <v>7890</v>
      </c>
      <c r="E402" t="s">
        <v>7867</v>
      </c>
    </row>
    <row r="403" spans="1:5" x14ac:dyDescent="0.25">
      <c r="A403" t="s">
        <v>3038</v>
      </c>
      <c r="B403" t="s">
        <v>7890</v>
      </c>
      <c r="C403" t="s">
        <v>458</v>
      </c>
      <c r="D403" t="s">
        <v>7890</v>
      </c>
      <c r="E403" t="s">
        <v>7867</v>
      </c>
    </row>
    <row r="404" spans="1:5" x14ac:dyDescent="0.25">
      <c r="A404" t="s">
        <v>3041</v>
      </c>
      <c r="B404" t="s">
        <v>7890</v>
      </c>
      <c r="C404" t="s">
        <v>2931</v>
      </c>
      <c r="D404" t="s">
        <v>7890</v>
      </c>
      <c r="E404" t="s">
        <v>7867</v>
      </c>
    </row>
    <row r="405" spans="1:5" x14ac:dyDescent="0.25">
      <c r="A405" t="s">
        <v>3045</v>
      </c>
      <c r="B405" t="s">
        <v>7890</v>
      </c>
      <c r="C405" t="s">
        <v>1222</v>
      </c>
      <c r="D405" t="s">
        <v>7890</v>
      </c>
      <c r="E405" t="s">
        <v>7867</v>
      </c>
    </row>
    <row r="406" spans="1:5" x14ac:dyDescent="0.25">
      <c r="A406" t="s">
        <v>3046</v>
      </c>
      <c r="B406" t="s">
        <v>7890</v>
      </c>
      <c r="C406" t="s">
        <v>2062</v>
      </c>
      <c r="D406" t="s">
        <v>7890</v>
      </c>
      <c r="E406" t="s">
        <v>7867</v>
      </c>
    </row>
    <row r="407" spans="1:5" x14ac:dyDescent="0.25">
      <c r="A407" t="s">
        <v>3048</v>
      </c>
      <c r="B407" t="s">
        <v>7890</v>
      </c>
      <c r="C407" t="s">
        <v>170</v>
      </c>
      <c r="D407" t="s">
        <v>7890</v>
      </c>
      <c r="E407" t="s">
        <v>7867</v>
      </c>
    </row>
    <row r="408" spans="1:5" x14ac:dyDescent="0.25">
      <c r="A408" t="s">
        <v>3050</v>
      </c>
      <c r="B408" t="s">
        <v>7890</v>
      </c>
      <c r="C408" t="s">
        <v>75</v>
      </c>
      <c r="D408" t="s">
        <v>7890</v>
      </c>
      <c r="E408" t="s">
        <v>7867</v>
      </c>
    </row>
    <row r="409" spans="1:5" x14ac:dyDescent="0.25">
      <c r="A409" t="s">
        <v>3051</v>
      </c>
      <c r="B409" t="s">
        <v>7890</v>
      </c>
      <c r="C409" t="s">
        <v>419</v>
      </c>
      <c r="D409" t="s">
        <v>7890</v>
      </c>
      <c r="E409" t="s">
        <v>7867</v>
      </c>
    </row>
    <row r="410" spans="1:5" x14ac:dyDescent="0.25">
      <c r="A410" t="s">
        <v>3052</v>
      </c>
      <c r="B410" t="s">
        <v>7890</v>
      </c>
      <c r="C410" t="s">
        <v>1731</v>
      </c>
      <c r="D410" t="s">
        <v>7890</v>
      </c>
      <c r="E410" t="s">
        <v>7867</v>
      </c>
    </row>
    <row r="411" spans="1:5" x14ac:dyDescent="0.25">
      <c r="A411" t="s">
        <v>3058</v>
      </c>
      <c r="B411" t="s">
        <v>7890</v>
      </c>
      <c r="C411" t="s">
        <v>843</v>
      </c>
      <c r="D411" t="s">
        <v>7890</v>
      </c>
      <c r="E411" t="s">
        <v>7867</v>
      </c>
    </row>
    <row r="412" spans="1:5" x14ac:dyDescent="0.25">
      <c r="A412" t="s">
        <v>3069</v>
      </c>
      <c r="B412" t="s">
        <v>7890</v>
      </c>
      <c r="C412" t="s">
        <v>479</v>
      </c>
      <c r="D412" t="s">
        <v>7890</v>
      </c>
      <c r="E412" t="s">
        <v>7867</v>
      </c>
    </row>
    <row r="413" spans="1:5" x14ac:dyDescent="0.25">
      <c r="A413" t="s">
        <v>3076</v>
      </c>
      <c r="B413" t="s">
        <v>7890</v>
      </c>
      <c r="C413" t="s">
        <v>2931</v>
      </c>
      <c r="D413" t="s">
        <v>7890</v>
      </c>
      <c r="E413" t="s">
        <v>7867</v>
      </c>
    </row>
    <row r="414" spans="1:5" x14ac:dyDescent="0.25">
      <c r="A414" t="s">
        <v>3078</v>
      </c>
      <c r="B414" t="s">
        <v>7890</v>
      </c>
      <c r="C414" t="s">
        <v>5801</v>
      </c>
      <c r="D414" t="s">
        <v>7890</v>
      </c>
      <c r="E414" t="s">
        <v>7867</v>
      </c>
    </row>
    <row r="415" spans="1:5" x14ac:dyDescent="0.25">
      <c r="A415" t="s">
        <v>3080</v>
      </c>
      <c r="B415" t="s">
        <v>7890</v>
      </c>
      <c r="C415" t="s">
        <v>431</v>
      </c>
      <c r="D415" t="s">
        <v>7890</v>
      </c>
      <c r="E415" t="s">
        <v>7867</v>
      </c>
    </row>
    <row r="416" spans="1:5" x14ac:dyDescent="0.25">
      <c r="A416" t="s">
        <v>3082</v>
      </c>
      <c r="B416" t="s">
        <v>7890</v>
      </c>
      <c r="C416" t="s">
        <v>479</v>
      </c>
      <c r="D416" t="s">
        <v>7890</v>
      </c>
      <c r="E416" t="s">
        <v>7867</v>
      </c>
    </row>
    <row r="417" spans="1:5" x14ac:dyDescent="0.25">
      <c r="A417" t="s">
        <v>3085</v>
      </c>
      <c r="B417" t="s">
        <v>7890</v>
      </c>
      <c r="C417" t="s">
        <v>843</v>
      </c>
      <c r="D417" t="s">
        <v>7890</v>
      </c>
      <c r="E417" t="s">
        <v>7867</v>
      </c>
    </row>
    <row r="418" spans="1:5" x14ac:dyDescent="0.25">
      <c r="A418" t="s">
        <v>3090</v>
      </c>
      <c r="B418" t="s">
        <v>7890</v>
      </c>
      <c r="C418" t="s">
        <v>2931</v>
      </c>
      <c r="D418" t="s">
        <v>7890</v>
      </c>
      <c r="E418" t="s">
        <v>7867</v>
      </c>
    </row>
    <row r="419" spans="1:5" x14ac:dyDescent="0.25">
      <c r="A419" t="s">
        <v>3094</v>
      </c>
      <c r="B419" t="s">
        <v>7890</v>
      </c>
      <c r="C419" t="s">
        <v>701</v>
      </c>
      <c r="D419" t="s">
        <v>7890</v>
      </c>
      <c r="E419" t="s">
        <v>7867</v>
      </c>
    </row>
    <row r="420" spans="1:5" x14ac:dyDescent="0.25">
      <c r="A420" t="s">
        <v>3097</v>
      </c>
      <c r="B420" t="s">
        <v>7890</v>
      </c>
      <c r="C420" t="s">
        <v>507</v>
      </c>
      <c r="D420" t="s">
        <v>7890</v>
      </c>
      <c r="E420" t="s">
        <v>7867</v>
      </c>
    </row>
    <row r="421" spans="1:5" x14ac:dyDescent="0.25">
      <c r="A421" t="s">
        <v>3100</v>
      </c>
      <c r="B421" t="s">
        <v>7890</v>
      </c>
      <c r="C421" t="s">
        <v>139</v>
      </c>
      <c r="D421" t="s">
        <v>7890</v>
      </c>
      <c r="E421" t="s">
        <v>7867</v>
      </c>
    </row>
    <row r="422" spans="1:5" x14ac:dyDescent="0.25">
      <c r="A422" t="s">
        <v>3102</v>
      </c>
      <c r="B422" t="s">
        <v>7890</v>
      </c>
      <c r="C422" t="s">
        <v>139</v>
      </c>
      <c r="D422" t="s">
        <v>7890</v>
      </c>
      <c r="E422" t="s">
        <v>7867</v>
      </c>
    </row>
    <row r="423" spans="1:5" x14ac:dyDescent="0.25">
      <c r="A423" t="s">
        <v>3106</v>
      </c>
      <c r="B423" t="s">
        <v>7890</v>
      </c>
      <c r="C423" t="s">
        <v>98</v>
      </c>
      <c r="D423" t="s">
        <v>7890</v>
      </c>
      <c r="E423" t="s">
        <v>7867</v>
      </c>
    </row>
    <row r="424" spans="1:5" x14ac:dyDescent="0.25">
      <c r="A424" t="s">
        <v>3108</v>
      </c>
      <c r="B424" t="s">
        <v>7890</v>
      </c>
      <c r="C424" t="s">
        <v>3962</v>
      </c>
      <c r="D424" t="s">
        <v>7890</v>
      </c>
      <c r="E424" t="s">
        <v>7867</v>
      </c>
    </row>
    <row r="425" spans="1:5" x14ac:dyDescent="0.25">
      <c r="A425" t="s">
        <v>3110</v>
      </c>
      <c r="B425" t="s">
        <v>7890</v>
      </c>
      <c r="C425" t="s">
        <v>139</v>
      </c>
      <c r="D425" t="s">
        <v>7890</v>
      </c>
      <c r="E425" t="s">
        <v>7867</v>
      </c>
    </row>
    <row r="426" spans="1:5" x14ac:dyDescent="0.25">
      <c r="A426" t="s">
        <v>3114</v>
      </c>
      <c r="B426" t="s">
        <v>7890</v>
      </c>
      <c r="C426" t="s">
        <v>3962</v>
      </c>
      <c r="D426" t="s">
        <v>7890</v>
      </c>
      <c r="E426" t="s">
        <v>7867</v>
      </c>
    </row>
    <row r="427" spans="1:5" x14ac:dyDescent="0.25">
      <c r="A427" t="s">
        <v>3116</v>
      </c>
      <c r="B427" t="s">
        <v>7890</v>
      </c>
      <c r="C427" t="s">
        <v>1153</v>
      </c>
      <c r="D427" t="s">
        <v>7890</v>
      </c>
      <c r="E427" t="s">
        <v>7867</v>
      </c>
    </row>
    <row r="428" spans="1:5" x14ac:dyDescent="0.25">
      <c r="A428" t="s">
        <v>3127</v>
      </c>
      <c r="B428" t="s">
        <v>7890</v>
      </c>
      <c r="C428" t="s">
        <v>717</v>
      </c>
      <c r="D428" t="s">
        <v>7890</v>
      </c>
      <c r="E428" t="s">
        <v>7867</v>
      </c>
    </row>
    <row r="429" spans="1:5" x14ac:dyDescent="0.25">
      <c r="A429" t="s">
        <v>3129</v>
      </c>
      <c r="B429" t="s">
        <v>7890</v>
      </c>
      <c r="C429" t="s">
        <v>3962</v>
      </c>
      <c r="D429" t="s">
        <v>7890</v>
      </c>
      <c r="E429" t="s">
        <v>7867</v>
      </c>
    </row>
    <row r="430" spans="1:5" x14ac:dyDescent="0.25">
      <c r="A430" t="s">
        <v>3131</v>
      </c>
      <c r="B430" t="s">
        <v>7890</v>
      </c>
      <c r="C430" t="s">
        <v>5083</v>
      </c>
      <c r="D430" t="s">
        <v>7890</v>
      </c>
      <c r="E430" t="s">
        <v>7867</v>
      </c>
    </row>
    <row r="431" spans="1:5" x14ac:dyDescent="0.25">
      <c r="A431" t="s">
        <v>3133</v>
      </c>
      <c r="B431" t="s">
        <v>7890</v>
      </c>
      <c r="C431" t="s">
        <v>828</v>
      </c>
      <c r="D431" t="s">
        <v>7890</v>
      </c>
      <c r="E431" t="s">
        <v>7867</v>
      </c>
    </row>
    <row r="432" spans="1:5" x14ac:dyDescent="0.25">
      <c r="A432" t="s">
        <v>3135</v>
      </c>
      <c r="B432" t="s">
        <v>7890</v>
      </c>
      <c r="C432" t="s">
        <v>98</v>
      </c>
      <c r="D432" t="s">
        <v>7890</v>
      </c>
      <c r="E432" t="s">
        <v>7867</v>
      </c>
    </row>
    <row r="433" spans="1:5" x14ac:dyDescent="0.25">
      <c r="A433" t="s">
        <v>3137</v>
      </c>
      <c r="B433" t="s">
        <v>7890</v>
      </c>
      <c r="C433" t="s">
        <v>4041</v>
      </c>
      <c r="D433" t="s">
        <v>7890</v>
      </c>
      <c r="E433" t="s">
        <v>7867</v>
      </c>
    </row>
    <row r="434" spans="1:5" x14ac:dyDescent="0.25">
      <c r="A434" t="s">
        <v>3139</v>
      </c>
      <c r="B434" t="s">
        <v>7890</v>
      </c>
      <c r="C434" t="s">
        <v>109</v>
      </c>
      <c r="D434" t="s">
        <v>7890</v>
      </c>
      <c r="E434" t="s">
        <v>7867</v>
      </c>
    </row>
    <row r="435" spans="1:5" x14ac:dyDescent="0.25">
      <c r="A435" t="s">
        <v>3141</v>
      </c>
      <c r="B435" t="s">
        <v>7890</v>
      </c>
      <c r="C435" t="s">
        <v>5333</v>
      </c>
      <c r="D435" t="s">
        <v>7890</v>
      </c>
      <c r="E435" t="s">
        <v>7867</v>
      </c>
    </row>
    <row r="436" spans="1:5" x14ac:dyDescent="0.25">
      <c r="A436" t="s">
        <v>3143</v>
      </c>
      <c r="B436" t="s">
        <v>7890</v>
      </c>
      <c r="C436" t="s">
        <v>1153</v>
      </c>
      <c r="D436" t="s">
        <v>7890</v>
      </c>
      <c r="E436" t="s">
        <v>7867</v>
      </c>
    </row>
    <row r="437" spans="1:5" x14ac:dyDescent="0.25">
      <c r="A437" t="s">
        <v>3145</v>
      </c>
      <c r="B437" t="s">
        <v>7890</v>
      </c>
      <c r="C437" t="s">
        <v>556</v>
      </c>
      <c r="D437" t="s">
        <v>7890</v>
      </c>
      <c r="E437" t="s">
        <v>7867</v>
      </c>
    </row>
    <row r="438" spans="1:5" x14ac:dyDescent="0.25">
      <c r="A438" t="s">
        <v>3149</v>
      </c>
      <c r="B438" t="s">
        <v>7890</v>
      </c>
      <c r="C438" t="s">
        <v>828</v>
      </c>
      <c r="D438" t="s">
        <v>7890</v>
      </c>
      <c r="E438" t="s">
        <v>7867</v>
      </c>
    </row>
    <row r="439" spans="1:5" x14ac:dyDescent="0.25">
      <c r="A439" t="s">
        <v>3151</v>
      </c>
      <c r="B439" t="s">
        <v>7890</v>
      </c>
      <c r="C439" t="s">
        <v>3983</v>
      </c>
      <c r="D439" t="s">
        <v>7890</v>
      </c>
      <c r="E439" t="s">
        <v>7867</v>
      </c>
    </row>
    <row r="440" spans="1:5" x14ac:dyDescent="0.25">
      <c r="A440" t="s">
        <v>3153</v>
      </c>
      <c r="B440" t="s">
        <v>7890</v>
      </c>
      <c r="C440" t="s">
        <v>84</v>
      </c>
      <c r="D440" t="s">
        <v>7890</v>
      </c>
      <c r="E440" t="s">
        <v>7867</v>
      </c>
    </row>
    <row r="441" spans="1:5" x14ac:dyDescent="0.25">
      <c r="A441" t="s">
        <v>3155</v>
      </c>
      <c r="B441" t="s">
        <v>7890</v>
      </c>
      <c r="C441" t="s">
        <v>3986</v>
      </c>
      <c r="D441" t="s">
        <v>7890</v>
      </c>
      <c r="E441" t="s">
        <v>7867</v>
      </c>
    </row>
    <row r="442" spans="1:5" x14ac:dyDescent="0.25">
      <c r="A442" t="s">
        <v>3157</v>
      </c>
      <c r="B442" t="s">
        <v>7890</v>
      </c>
      <c r="C442" t="s">
        <v>239</v>
      </c>
      <c r="D442" t="s">
        <v>7890</v>
      </c>
      <c r="E442" t="s">
        <v>7867</v>
      </c>
    </row>
    <row r="443" spans="1:5" x14ac:dyDescent="0.25">
      <c r="A443" t="s">
        <v>3172</v>
      </c>
      <c r="B443" t="s">
        <v>7890</v>
      </c>
      <c r="C443" t="s">
        <v>464</v>
      </c>
      <c r="D443" t="s">
        <v>7890</v>
      </c>
      <c r="E443" t="s">
        <v>7867</v>
      </c>
    </row>
    <row r="444" spans="1:5" x14ac:dyDescent="0.25">
      <c r="A444" t="s">
        <v>3174</v>
      </c>
      <c r="B444" t="s">
        <v>7890</v>
      </c>
      <c r="C444" t="s">
        <v>464</v>
      </c>
      <c r="D444" t="s">
        <v>7890</v>
      </c>
      <c r="E444" t="s">
        <v>7867</v>
      </c>
    </row>
    <row r="445" spans="1:5" x14ac:dyDescent="0.25">
      <c r="A445" t="s">
        <v>3175</v>
      </c>
      <c r="B445" t="s">
        <v>7890</v>
      </c>
      <c r="C445" t="s">
        <v>30</v>
      </c>
      <c r="D445" t="s">
        <v>7890</v>
      </c>
      <c r="E445" t="s">
        <v>7867</v>
      </c>
    </row>
    <row r="446" spans="1:5" x14ac:dyDescent="0.25">
      <c r="A446" t="s">
        <v>3177</v>
      </c>
      <c r="B446" t="s">
        <v>7890</v>
      </c>
      <c r="C446" t="s">
        <v>3163</v>
      </c>
      <c r="D446" t="s">
        <v>7890</v>
      </c>
      <c r="E446" t="s">
        <v>7867</v>
      </c>
    </row>
    <row r="447" spans="1:5" x14ac:dyDescent="0.25">
      <c r="A447" t="s">
        <v>3179</v>
      </c>
      <c r="B447" t="s">
        <v>7890</v>
      </c>
      <c r="C447" t="s">
        <v>641</v>
      </c>
      <c r="D447" t="s">
        <v>7890</v>
      </c>
      <c r="E447" t="s">
        <v>7867</v>
      </c>
    </row>
    <row r="448" spans="1:5" x14ac:dyDescent="0.25">
      <c r="A448" t="s">
        <v>3181</v>
      </c>
      <c r="B448" t="s">
        <v>7890</v>
      </c>
      <c r="C448" t="s">
        <v>30</v>
      </c>
      <c r="D448" t="s">
        <v>7890</v>
      </c>
      <c r="E448" t="s">
        <v>7867</v>
      </c>
    </row>
    <row r="449" spans="1:5" x14ac:dyDescent="0.25">
      <c r="A449" t="s">
        <v>3182</v>
      </c>
      <c r="B449" t="s">
        <v>7890</v>
      </c>
      <c r="C449" t="s">
        <v>365</v>
      </c>
      <c r="D449" t="s">
        <v>7890</v>
      </c>
      <c r="E449" t="s">
        <v>7867</v>
      </c>
    </row>
    <row r="450" spans="1:5" x14ac:dyDescent="0.25">
      <c r="A450" t="s">
        <v>3184</v>
      </c>
      <c r="B450" t="s">
        <v>7890</v>
      </c>
      <c r="C450" t="s">
        <v>641</v>
      </c>
      <c r="D450" t="s">
        <v>7890</v>
      </c>
      <c r="E450" t="s">
        <v>7867</v>
      </c>
    </row>
    <row r="451" spans="1:5" x14ac:dyDescent="0.25">
      <c r="A451" t="s">
        <v>3185</v>
      </c>
      <c r="B451" t="s">
        <v>7890</v>
      </c>
      <c r="C451" t="s">
        <v>15</v>
      </c>
      <c r="D451" t="s">
        <v>7890</v>
      </c>
      <c r="E451" t="s">
        <v>7867</v>
      </c>
    </row>
    <row r="452" spans="1:5" x14ac:dyDescent="0.25">
      <c r="A452" t="s">
        <v>3187</v>
      </c>
      <c r="B452" t="s">
        <v>7890</v>
      </c>
      <c r="C452" t="s">
        <v>365</v>
      </c>
      <c r="D452" t="s">
        <v>7890</v>
      </c>
      <c r="E452" t="s">
        <v>7867</v>
      </c>
    </row>
    <row r="453" spans="1:5" x14ac:dyDescent="0.25">
      <c r="A453" t="s">
        <v>3188</v>
      </c>
      <c r="B453" t="s">
        <v>7890</v>
      </c>
      <c r="C453" t="s">
        <v>3166</v>
      </c>
      <c r="D453" t="s">
        <v>7890</v>
      </c>
      <c r="E453" t="s">
        <v>7867</v>
      </c>
    </row>
    <row r="454" spans="1:5" x14ac:dyDescent="0.25">
      <c r="A454" t="s">
        <v>3190</v>
      </c>
      <c r="B454" t="s">
        <v>7890</v>
      </c>
      <c r="C454" t="s">
        <v>15</v>
      </c>
      <c r="D454" t="s">
        <v>7890</v>
      </c>
      <c r="E454" t="s">
        <v>7867</v>
      </c>
    </row>
    <row r="455" spans="1:5" x14ac:dyDescent="0.25">
      <c r="A455" t="s">
        <v>3192</v>
      </c>
      <c r="B455" t="s">
        <v>7890</v>
      </c>
      <c r="C455" t="s">
        <v>145</v>
      </c>
      <c r="D455" t="s">
        <v>7890</v>
      </c>
      <c r="E455" t="s">
        <v>7867</v>
      </c>
    </row>
    <row r="456" spans="1:5" x14ac:dyDescent="0.25">
      <c r="A456" t="s">
        <v>3194</v>
      </c>
      <c r="B456" t="s">
        <v>7890</v>
      </c>
      <c r="C456" t="s">
        <v>3166</v>
      </c>
      <c r="D456" t="s">
        <v>7890</v>
      </c>
      <c r="E456" t="s">
        <v>7867</v>
      </c>
    </row>
    <row r="457" spans="1:5" x14ac:dyDescent="0.25">
      <c r="A457" t="s">
        <v>3196</v>
      </c>
      <c r="B457" t="s">
        <v>7890</v>
      </c>
      <c r="C457" t="s">
        <v>3169</v>
      </c>
      <c r="D457" t="s">
        <v>7890</v>
      </c>
      <c r="E457" t="s">
        <v>7867</v>
      </c>
    </row>
    <row r="458" spans="1:5" x14ac:dyDescent="0.25">
      <c r="A458" t="s">
        <v>3198</v>
      </c>
      <c r="B458" t="s">
        <v>7890</v>
      </c>
      <c r="C458" t="s">
        <v>145</v>
      </c>
      <c r="D458" t="s">
        <v>7890</v>
      </c>
      <c r="E458" t="s">
        <v>7867</v>
      </c>
    </row>
    <row r="459" spans="1:5" x14ac:dyDescent="0.25">
      <c r="A459" t="s">
        <v>3199</v>
      </c>
      <c r="B459" t="s">
        <v>7890</v>
      </c>
      <c r="C459" t="s">
        <v>2859</v>
      </c>
      <c r="D459" t="s">
        <v>7890</v>
      </c>
      <c r="E459" t="s">
        <v>7867</v>
      </c>
    </row>
    <row r="460" spans="1:5" x14ac:dyDescent="0.25">
      <c r="A460" t="s">
        <v>3201</v>
      </c>
      <c r="B460" t="s">
        <v>7890</v>
      </c>
      <c r="C460" t="s">
        <v>3169</v>
      </c>
      <c r="D460" t="s">
        <v>7890</v>
      </c>
      <c r="E460" t="s">
        <v>7867</v>
      </c>
    </row>
    <row r="461" spans="1:5" x14ac:dyDescent="0.25">
      <c r="A461" t="s">
        <v>3202</v>
      </c>
      <c r="B461" t="s">
        <v>7890</v>
      </c>
      <c r="C461" t="s">
        <v>3163</v>
      </c>
      <c r="D461" t="s">
        <v>7890</v>
      </c>
      <c r="E461" t="s">
        <v>7867</v>
      </c>
    </row>
    <row r="462" spans="1:5" x14ac:dyDescent="0.25">
      <c r="A462" t="s">
        <v>3203</v>
      </c>
      <c r="B462" t="s">
        <v>7890</v>
      </c>
      <c r="C462" t="s">
        <v>2859</v>
      </c>
      <c r="D462" t="s">
        <v>7890</v>
      </c>
      <c r="E462" t="s">
        <v>7867</v>
      </c>
    </row>
    <row r="463" spans="1:5" x14ac:dyDescent="0.25">
      <c r="A463" t="s">
        <v>3204</v>
      </c>
      <c r="B463" t="s">
        <v>7890</v>
      </c>
      <c r="C463" t="s">
        <v>915</v>
      </c>
      <c r="D463" t="s">
        <v>7890</v>
      </c>
      <c r="E463" t="s">
        <v>7867</v>
      </c>
    </row>
    <row r="464" spans="1:5" x14ac:dyDescent="0.25">
      <c r="A464" t="s">
        <v>3206</v>
      </c>
      <c r="B464" t="s">
        <v>7890</v>
      </c>
      <c r="C464" t="s">
        <v>915</v>
      </c>
      <c r="D464" t="s">
        <v>7890</v>
      </c>
      <c r="E464" t="s">
        <v>7867</v>
      </c>
    </row>
    <row r="465" spans="1:5" x14ac:dyDescent="0.25">
      <c r="A465" t="s">
        <v>3207</v>
      </c>
      <c r="B465" t="s">
        <v>7890</v>
      </c>
      <c r="C465" t="s">
        <v>641</v>
      </c>
      <c r="D465" t="s">
        <v>7890</v>
      </c>
      <c r="E465" t="s">
        <v>7867</v>
      </c>
    </row>
    <row r="466" spans="1:5" x14ac:dyDescent="0.25">
      <c r="A466" t="s">
        <v>3209</v>
      </c>
      <c r="B466" t="s">
        <v>7890</v>
      </c>
      <c r="C466" t="s">
        <v>641</v>
      </c>
      <c r="D466" t="s">
        <v>7890</v>
      </c>
      <c r="E466" t="s">
        <v>7867</v>
      </c>
    </row>
    <row r="467" spans="1:5" x14ac:dyDescent="0.25">
      <c r="A467" t="s">
        <v>3210</v>
      </c>
      <c r="B467" t="s">
        <v>7890</v>
      </c>
      <c r="C467" t="s">
        <v>15</v>
      </c>
      <c r="D467" t="s">
        <v>7890</v>
      </c>
      <c r="E467" t="s">
        <v>7867</v>
      </c>
    </row>
    <row r="468" spans="1:5" x14ac:dyDescent="0.25">
      <c r="A468" t="s">
        <v>3212</v>
      </c>
      <c r="B468" t="s">
        <v>7890</v>
      </c>
      <c r="C468" t="s">
        <v>15</v>
      </c>
      <c r="D468" t="s">
        <v>7890</v>
      </c>
      <c r="E468" t="s">
        <v>7867</v>
      </c>
    </row>
    <row r="469" spans="1:5" x14ac:dyDescent="0.25">
      <c r="A469" t="s">
        <v>3214</v>
      </c>
      <c r="B469" t="s">
        <v>7890</v>
      </c>
      <c r="C469" t="s">
        <v>3163</v>
      </c>
      <c r="D469" t="s">
        <v>7890</v>
      </c>
      <c r="E469" t="s">
        <v>7867</v>
      </c>
    </row>
    <row r="470" spans="1:5" x14ac:dyDescent="0.25">
      <c r="A470" t="s">
        <v>3216</v>
      </c>
      <c r="B470" t="s">
        <v>7890</v>
      </c>
      <c r="C470" t="s">
        <v>3163</v>
      </c>
      <c r="D470" t="s">
        <v>7890</v>
      </c>
      <c r="E470" t="s">
        <v>7867</v>
      </c>
    </row>
    <row r="471" spans="1:5" x14ac:dyDescent="0.25">
      <c r="A471" t="s">
        <v>3218</v>
      </c>
      <c r="B471" t="s">
        <v>7890</v>
      </c>
      <c r="C471" t="s">
        <v>3163</v>
      </c>
      <c r="D471" t="s">
        <v>7890</v>
      </c>
      <c r="E471" t="s">
        <v>7867</v>
      </c>
    </row>
    <row r="472" spans="1:5" x14ac:dyDescent="0.25">
      <c r="A472" t="s">
        <v>3220</v>
      </c>
      <c r="B472" t="s">
        <v>7890</v>
      </c>
      <c r="C472" t="s">
        <v>3163</v>
      </c>
      <c r="D472" t="s">
        <v>7890</v>
      </c>
      <c r="E472" t="s">
        <v>7867</v>
      </c>
    </row>
    <row r="473" spans="1:5" x14ac:dyDescent="0.25">
      <c r="A473" t="s">
        <v>3222</v>
      </c>
      <c r="B473" t="s">
        <v>7890</v>
      </c>
      <c r="C473" t="s">
        <v>3163</v>
      </c>
      <c r="D473" t="s">
        <v>7890</v>
      </c>
      <c r="E473" t="s">
        <v>7867</v>
      </c>
    </row>
    <row r="474" spans="1:5" x14ac:dyDescent="0.25">
      <c r="A474" t="s">
        <v>3224</v>
      </c>
      <c r="B474" t="s">
        <v>7890</v>
      </c>
      <c r="C474" t="s">
        <v>3163</v>
      </c>
      <c r="D474" t="s">
        <v>7890</v>
      </c>
      <c r="E474" t="s">
        <v>7867</v>
      </c>
    </row>
    <row r="475" spans="1:5" x14ac:dyDescent="0.25">
      <c r="A475" t="s">
        <v>3226</v>
      </c>
      <c r="B475" t="s">
        <v>7890</v>
      </c>
      <c r="C475" t="s">
        <v>3163</v>
      </c>
      <c r="D475" t="s">
        <v>7890</v>
      </c>
      <c r="E475" t="s">
        <v>7867</v>
      </c>
    </row>
    <row r="476" spans="1:5" x14ac:dyDescent="0.25">
      <c r="A476" t="s">
        <v>3228</v>
      </c>
      <c r="B476" t="s">
        <v>7890</v>
      </c>
      <c r="C476" t="s">
        <v>3163</v>
      </c>
      <c r="D476" t="s">
        <v>7890</v>
      </c>
      <c r="E476" t="s">
        <v>7867</v>
      </c>
    </row>
    <row r="477" spans="1:5" x14ac:dyDescent="0.25">
      <c r="A477" t="s">
        <v>3230</v>
      </c>
      <c r="B477" t="s">
        <v>7890</v>
      </c>
      <c r="C477" t="s">
        <v>3163</v>
      </c>
      <c r="D477" t="s">
        <v>7890</v>
      </c>
      <c r="E477" t="s">
        <v>7867</v>
      </c>
    </row>
    <row r="478" spans="1:5" x14ac:dyDescent="0.25">
      <c r="A478" t="s">
        <v>3232</v>
      </c>
      <c r="B478" t="s">
        <v>7890</v>
      </c>
      <c r="C478" t="s">
        <v>3163</v>
      </c>
      <c r="D478" t="s">
        <v>7890</v>
      </c>
      <c r="E478" t="s">
        <v>7867</v>
      </c>
    </row>
    <row r="479" spans="1:5" x14ac:dyDescent="0.25">
      <c r="A479" t="s">
        <v>3234</v>
      </c>
      <c r="B479" t="s">
        <v>7890</v>
      </c>
      <c r="C479" t="s">
        <v>3163</v>
      </c>
      <c r="D479" t="s">
        <v>7890</v>
      </c>
      <c r="E479" t="s">
        <v>7867</v>
      </c>
    </row>
    <row r="480" spans="1:5" x14ac:dyDescent="0.25">
      <c r="A480" t="s">
        <v>3236</v>
      </c>
      <c r="B480" t="s">
        <v>7890</v>
      </c>
      <c r="C480" t="s">
        <v>3163</v>
      </c>
      <c r="D480" t="s">
        <v>7890</v>
      </c>
      <c r="E480" t="s">
        <v>7867</v>
      </c>
    </row>
    <row r="481" spans="1:5" x14ac:dyDescent="0.25">
      <c r="A481" t="s">
        <v>3238</v>
      </c>
      <c r="B481" t="s">
        <v>7890</v>
      </c>
      <c r="C481" t="s">
        <v>3163</v>
      </c>
      <c r="D481" t="s">
        <v>7890</v>
      </c>
      <c r="E481" t="s">
        <v>7867</v>
      </c>
    </row>
    <row r="482" spans="1:5" x14ac:dyDescent="0.25">
      <c r="A482" t="s">
        <v>3240</v>
      </c>
      <c r="B482" t="s">
        <v>7890</v>
      </c>
      <c r="C482" t="s">
        <v>3163</v>
      </c>
      <c r="D482" t="s">
        <v>7890</v>
      </c>
      <c r="E482" t="s">
        <v>7867</v>
      </c>
    </row>
    <row r="483" spans="1:5" x14ac:dyDescent="0.25">
      <c r="A483" t="s">
        <v>3242</v>
      </c>
      <c r="B483" t="s">
        <v>7890</v>
      </c>
      <c r="C483" t="s">
        <v>3163</v>
      </c>
      <c r="D483" t="s">
        <v>7890</v>
      </c>
      <c r="E483" t="s">
        <v>7867</v>
      </c>
    </row>
    <row r="484" spans="1:5" x14ac:dyDescent="0.25">
      <c r="A484" t="s">
        <v>3244</v>
      </c>
      <c r="B484" t="s">
        <v>7890</v>
      </c>
      <c r="C484" t="s">
        <v>3163</v>
      </c>
      <c r="D484" t="s">
        <v>7890</v>
      </c>
      <c r="E484" t="s">
        <v>7867</v>
      </c>
    </row>
    <row r="485" spans="1:5" x14ac:dyDescent="0.25">
      <c r="A485" t="s">
        <v>3246</v>
      </c>
      <c r="B485" t="s">
        <v>7890</v>
      </c>
      <c r="C485" t="s">
        <v>464</v>
      </c>
      <c r="D485" t="s">
        <v>7890</v>
      </c>
      <c r="E485" t="s">
        <v>7867</v>
      </c>
    </row>
    <row r="486" spans="1:5" x14ac:dyDescent="0.25">
      <c r="A486" t="s">
        <v>3248</v>
      </c>
      <c r="B486" t="s">
        <v>7890</v>
      </c>
      <c r="C486" t="s">
        <v>464</v>
      </c>
      <c r="D486" t="s">
        <v>7890</v>
      </c>
      <c r="E486" t="s">
        <v>7867</v>
      </c>
    </row>
    <row r="487" spans="1:5" x14ac:dyDescent="0.25">
      <c r="A487" t="s">
        <v>3250</v>
      </c>
      <c r="B487" t="s">
        <v>7890</v>
      </c>
      <c r="C487" t="s">
        <v>464</v>
      </c>
      <c r="D487" t="s">
        <v>7890</v>
      </c>
      <c r="E487" t="s">
        <v>7867</v>
      </c>
    </row>
    <row r="488" spans="1:5" x14ac:dyDescent="0.25">
      <c r="A488" t="s">
        <v>3252</v>
      </c>
      <c r="B488" t="s">
        <v>7890</v>
      </c>
      <c r="C488" t="s">
        <v>464</v>
      </c>
      <c r="D488" t="s">
        <v>7890</v>
      </c>
      <c r="E488" t="s">
        <v>7867</v>
      </c>
    </row>
    <row r="489" spans="1:5" x14ac:dyDescent="0.25">
      <c r="A489" t="s">
        <v>3254</v>
      </c>
      <c r="B489" t="s">
        <v>7890</v>
      </c>
      <c r="C489" t="s">
        <v>464</v>
      </c>
      <c r="D489" t="s">
        <v>7890</v>
      </c>
      <c r="E489" t="s">
        <v>7867</v>
      </c>
    </row>
    <row r="490" spans="1:5" x14ac:dyDescent="0.25">
      <c r="A490" t="s">
        <v>3256</v>
      </c>
      <c r="B490" t="s">
        <v>7890</v>
      </c>
      <c r="C490" t="s">
        <v>464</v>
      </c>
      <c r="D490" t="s">
        <v>7890</v>
      </c>
      <c r="E490" t="s">
        <v>7867</v>
      </c>
    </row>
    <row r="491" spans="1:5" x14ac:dyDescent="0.25">
      <c r="A491" t="s">
        <v>3258</v>
      </c>
      <c r="B491" t="s">
        <v>7890</v>
      </c>
      <c r="C491" t="s">
        <v>464</v>
      </c>
      <c r="D491" t="s">
        <v>7890</v>
      </c>
      <c r="E491" t="s">
        <v>7867</v>
      </c>
    </row>
    <row r="492" spans="1:5" x14ac:dyDescent="0.25">
      <c r="A492" t="s">
        <v>3260</v>
      </c>
      <c r="B492" t="s">
        <v>7890</v>
      </c>
      <c r="C492" t="s">
        <v>464</v>
      </c>
      <c r="D492" t="s">
        <v>7890</v>
      </c>
      <c r="E492" t="s">
        <v>7867</v>
      </c>
    </row>
    <row r="493" spans="1:5" x14ac:dyDescent="0.25">
      <c r="A493" t="s">
        <v>3262</v>
      </c>
      <c r="B493" t="s">
        <v>7890</v>
      </c>
      <c r="C493" t="s">
        <v>464</v>
      </c>
      <c r="D493" t="s">
        <v>7890</v>
      </c>
      <c r="E493" t="s">
        <v>7867</v>
      </c>
    </row>
    <row r="494" spans="1:5" x14ac:dyDescent="0.25">
      <c r="A494" t="s">
        <v>3264</v>
      </c>
      <c r="B494" t="s">
        <v>7890</v>
      </c>
      <c r="C494" t="s">
        <v>464</v>
      </c>
      <c r="D494" t="s">
        <v>7890</v>
      </c>
      <c r="E494" t="s">
        <v>7867</v>
      </c>
    </row>
    <row r="495" spans="1:5" x14ac:dyDescent="0.25">
      <c r="A495" t="s">
        <v>3266</v>
      </c>
      <c r="B495" t="s">
        <v>7890</v>
      </c>
      <c r="C495" t="s">
        <v>464</v>
      </c>
      <c r="D495" t="s">
        <v>7890</v>
      </c>
      <c r="E495" t="s">
        <v>7867</v>
      </c>
    </row>
    <row r="496" spans="1:5" x14ac:dyDescent="0.25">
      <c r="A496" t="s">
        <v>3268</v>
      </c>
      <c r="B496" t="s">
        <v>7890</v>
      </c>
      <c r="C496" t="s">
        <v>464</v>
      </c>
      <c r="D496" t="s">
        <v>7890</v>
      </c>
      <c r="E496" t="s">
        <v>7867</v>
      </c>
    </row>
    <row r="497" spans="1:5" x14ac:dyDescent="0.25">
      <c r="A497" t="s">
        <v>3270</v>
      </c>
      <c r="B497" t="s">
        <v>7890</v>
      </c>
      <c r="C497" t="s">
        <v>464</v>
      </c>
      <c r="D497" t="s">
        <v>7890</v>
      </c>
      <c r="E497" t="s">
        <v>7867</v>
      </c>
    </row>
    <row r="498" spans="1:5" x14ac:dyDescent="0.25">
      <c r="A498" t="s">
        <v>3272</v>
      </c>
      <c r="B498" t="s">
        <v>7890</v>
      </c>
      <c r="C498" t="s">
        <v>464</v>
      </c>
      <c r="D498" t="s">
        <v>7890</v>
      </c>
      <c r="E498" t="s">
        <v>7867</v>
      </c>
    </row>
    <row r="499" spans="1:5" x14ac:dyDescent="0.25">
      <c r="A499" t="s">
        <v>3274</v>
      </c>
      <c r="B499" t="s">
        <v>7890</v>
      </c>
      <c r="C499" t="s">
        <v>464</v>
      </c>
      <c r="D499" t="s">
        <v>7890</v>
      </c>
      <c r="E499" t="s">
        <v>7867</v>
      </c>
    </row>
    <row r="500" spans="1:5" x14ac:dyDescent="0.25">
      <c r="A500" t="s">
        <v>3276</v>
      </c>
      <c r="B500" t="s">
        <v>7890</v>
      </c>
      <c r="C500" t="s">
        <v>464</v>
      </c>
      <c r="D500" t="s">
        <v>7890</v>
      </c>
      <c r="E500" t="s">
        <v>7867</v>
      </c>
    </row>
    <row r="501" spans="1:5" x14ac:dyDescent="0.25">
      <c r="A501" t="s">
        <v>3278</v>
      </c>
      <c r="B501" t="s">
        <v>7890</v>
      </c>
      <c r="C501" t="s">
        <v>464</v>
      </c>
      <c r="D501" t="s">
        <v>7890</v>
      </c>
      <c r="E501" t="s">
        <v>7867</v>
      </c>
    </row>
    <row r="502" spans="1:5" x14ac:dyDescent="0.25">
      <c r="A502" t="s">
        <v>3280</v>
      </c>
      <c r="B502" t="s">
        <v>7890</v>
      </c>
      <c r="C502" t="s">
        <v>464</v>
      </c>
      <c r="D502" t="s">
        <v>7890</v>
      </c>
      <c r="E502" t="s">
        <v>7867</v>
      </c>
    </row>
    <row r="503" spans="1:5" x14ac:dyDescent="0.25">
      <c r="A503" t="s">
        <v>3282</v>
      </c>
      <c r="B503" t="s">
        <v>7890</v>
      </c>
      <c r="C503" t="s">
        <v>464</v>
      </c>
      <c r="D503" t="s">
        <v>7890</v>
      </c>
      <c r="E503" t="s">
        <v>7867</v>
      </c>
    </row>
    <row r="504" spans="1:5" x14ac:dyDescent="0.25">
      <c r="A504" t="s">
        <v>3284</v>
      </c>
      <c r="B504" t="s">
        <v>7890</v>
      </c>
      <c r="C504" t="s">
        <v>464</v>
      </c>
      <c r="D504" t="s">
        <v>7890</v>
      </c>
      <c r="E504" t="s">
        <v>7867</v>
      </c>
    </row>
    <row r="505" spans="1:5" x14ac:dyDescent="0.25">
      <c r="A505" t="s">
        <v>3286</v>
      </c>
      <c r="B505" t="s">
        <v>7890</v>
      </c>
      <c r="C505" t="s">
        <v>464</v>
      </c>
      <c r="D505" t="s">
        <v>7890</v>
      </c>
      <c r="E505" t="s">
        <v>7867</v>
      </c>
    </row>
    <row r="506" spans="1:5" x14ac:dyDescent="0.25">
      <c r="A506" t="s">
        <v>3288</v>
      </c>
      <c r="B506" t="s">
        <v>7890</v>
      </c>
      <c r="C506" t="s">
        <v>464</v>
      </c>
      <c r="D506" t="s">
        <v>7890</v>
      </c>
      <c r="E506" t="s">
        <v>7867</v>
      </c>
    </row>
    <row r="507" spans="1:5" x14ac:dyDescent="0.25">
      <c r="A507" t="s">
        <v>3290</v>
      </c>
      <c r="B507" t="s">
        <v>7890</v>
      </c>
      <c r="C507" t="s">
        <v>464</v>
      </c>
      <c r="D507" t="s">
        <v>7890</v>
      </c>
      <c r="E507" t="s">
        <v>7867</v>
      </c>
    </row>
    <row r="508" spans="1:5" x14ac:dyDescent="0.25">
      <c r="A508" t="s">
        <v>3292</v>
      </c>
      <c r="B508" t="s">
        <v>7890</v>
      </c>
      <c r="C508" t="s">
        <v>464</v>
      </c>
      <c r="D508" t="s">
        <v>7890</v>
      </c>
      <c r="E508" t="s">
        <v>7867</v>
      </c>
    </row>
    <row r="509" spans="1:5" x14ac:dyDescent="0.25">
      <c r="A509" t="s">
        <v>3294</v>
      </c>
      <c r="B509" t="s">
        <v>7890</v>
      </c>
      <c r="C509" t="s">
        <v>464</v>
      </c>
      <c r="D509" t="s">
        <v>7890</v>
      </c>
      <c r="E509" t="s">
        <v>7867</v>
      </c>
    </row>
    <row r="510" spans="1:5" x14ac:dyDescent="0.25">
      <c r="A510" t="s">
        <v>3296</v>
      </c>
      <c r="B510" t="s">
        <v>7890</v>
      </c>
      <c r="C510" t="s">
        <v>464</v>
      </c>
      <c r="D510" t="s">
        <v>7890</v>
      </c>
      <c r="E510" t="s">
        <v>7867</v>
      </c>
    </row>
    <row r="511" spans="1:5" x14ac:dyDescent="0.25">
      <c r="A511" t="s">
        <v>3298</v>
      </c>
      <c r="B511" t="s">
        <v>7890</v>
      </c>
      <c r="C511" t="s">
        <v>464</v>
      </c>
      <c r="D511" t="s">
        <v>7890</v>
      </c>
      <c r="E511" t="s">
        <v>7867</v>
      </c>
    </row>
    <row r="512" spans="1:5" x14ac:dyDescent="0.25">
      <c r="A512" t="s">
        <v>3300</v>
      </c>
      <c r="B512" t="s">
        <v>7890</v>
      </c>
      <c r="C512" t="s">
        <v>464</v>
      </c>
      <c r="D512" t="s">
        <v>7890</v>
      </c>
      <c r="E512" t="s">
        <v>7867</v>
      </c>
    </row>
    <row r="513" spans="1:5" x14ac:dyDescent="0.25">
      <c r="A513" t="s">
        <v>3302</v>
      </c>
      <c r="B513" t="s">
        <v>7890</v>
      </c>
      <c r="C513" t="s">
        <v>464</v>
      </c>
      <c r="D513" t="s">
        <v>7890</v>
      </c>
      <c r="E513" t="s">
        <v>7867</v>
      </c>
    </row>
    <row r="514" spans="1:5" x14ac:dyDescent="0.25">
      <c r="A514" t="s">
        <v>3304</v>
      </c>
      <c r="B514" t="s">
        <v>7890</v>
      </c>
      <c r="C514" t="s">
        <v>464</v>
      </c>
      <c r="D514" t="s">
        <v>7890</v>
      </c>
      <c r="E514" t="s">
        <v>7867</v>
      </c>
    </row>
    <row r="515" spans="1:5" x14ac:dyDescent="0.25">
      <c r="A515" t="s">
        <v>3306</v>
      </c>
      <c r="B515" t="s">
        <v>7890</v>
      </c>
      <c r="C515" t="s">
        <v>464</v>
      </c>
      <c r="D515" t="s">
        <v>7890</v>
      </c>
      <c r="E515" t="s">
        <v>7867</v>
      </c>
    </row>
    <row r="516" spans="1:5" x14ac:dyDescent="0.25">
      <c r="A516" t="s">
        <v>3308</v>
      </c>
      <c r="B516" t="s">
        <v>7890</v>
      </c>
      <c r="C516" t="s">
        <v>464</v>
      </c>
      <c r="D516" t="s">
        <v>7890</v>
      </c>
      <c r="E516" t="s">
        <v>7867</v>
      </c>
    </row>
    <row r="517" spans="1:5" x14ac:dyDescent="0.25">
      <c r="A517" t="s">
        <v>3310</v>
      </c>
      <c r="B517" t="s">
        <v>7890</v>
      </c>
      <c r="C517" t="s">
        <v>464</v>
      </c>
      <c r="D517" t="s">
        <v>7890</v>
      </c>
      <c r="E517" t="s">
        <v>7867</v>
      </c>
    </row>
    <row r="518" spans="1:5" x14ac:dyDescent="0.25">
      <c r="A518" t="s">
        <v>3312</v>
      </c>
      <c r="B518" t="s">
        <v>7890</v>
      </c>
      <c r="C518" t="s">
        <v>464</v>
      </c>
      <c r="D518" t="s">
        <v>7890</v>
      </c>
      <c r="E518" t="s">
        <v>7867</v>
      </c>
    </row>
    <row r="519" spans="1:5" x14ac:dyDescent="0.25">
      <c r="A519" t="s">
        <v>3314</v>
      </c>
      <c r="B519" t="s">
        <v>7890</v>
      </c>
      <c r="C519" t="s">
        <v>464</v>
      </c>
      <c r="D519" t="s">
        <v>7890</v>
      </c>
      <c r="E519" t="s">
        <v>7867</v>
      </c>
    </row>
    <row r="520" spans="1:5" x14ac:dyDescent="0.25">
      <c r="A520" t="s">
        <v>3316</v>
      </c>
      <c r="B520" t="s">
        <v>7890</v>
      </c>
      <c r="C520" t="s">
        <v>464</v>
      </c>
      <c r="D520" t="s">
        <v>7890</v>
      </c>
      <c r="E520" t="s">
        <v>7867</v>
      </c>
    </row>
    <row r="521" spans="1:5" x14ac:dyDescent="0.25">
      <c r="A521" t="s">
        <v>3318</v>
      </c>
      <c r="B521" t="s">
        <v>7890</v>
      </c>
      <c r="C521" t="s">
        <v>464</v>
      </c>
      <c r="D521" t="s">
        <v>7890</v>
      </c>
      <c r="E521" t="s">
        <v>7867</v>
      </c>
    </row>
    <row r="522" spans="1:5" x14ac:dyDescent="0.25">
      <c r="A522" t="s">
        <v>3320</v>
      </c>
      <c r="B522" t="s">
        <v>7890</v>
      </c>
      <c r="C522" t="s">
        <v>464</v>
      </c>
      <c r="D522" t="s">
        <v>7890</v>
      </c>
      <c r="E522" t="s">
        <v>7867</v>
      </c>
    </row>
    <row r="523" spans="1:5" x14ac:dyDescent="0.25">
      <c r="A523" t="s">
        <v>3322</v>
      </c>
      <c r="B523" t="s">
        <v>7890</v>
      </c>
      <c r="C523" t="s">
        <v>464</v>
      </c>
      <c r="D523" t="s">
        <v>7890</v>
      </c>
      <c r="E523" t="s">
        <v>7867</v>
      </c>
    </row>
    <row r="524" spans="1:5" x14ac:dyDescent="0.25">
      <c r="A524" t="s">
        <v>3324</v>
      </c>
      <c r="B524" t="s">
        <v>7890</v>
      </c>
      <c r="C524" t="s">
        <v>464</v>
      </c>
      <c r="D524" t="s">
        <v>7890</v>
      </c>
      <c r="E524" t="s">
        <v>7867</v>
      </c>
    </row>
    <row r="525" spans="1:5" x14ac:dyDescent="0.25">
      <c r="A525" t="s">
        <v>3326</v>
      </c>
      <c r="B525" t="s">
        <v>7890</v>
      </c>
      <c r="C525" t="s">
        <v>464</v>
      </c>
      <c r="D525" t="s">
        <v>7890</v>
      </c>
      <c r="E525" t="s">
        <v>7867</v>
      </c>
    </row>
    <row r="526" spans="1:5" x14ac:dyDescent="0.25">
      <c r="A526" t="s">
        <v>3328</v>
      </c>
      <c r="B526" t="s">
        <v>7890</v>
      </c>
      <c r="C526" t="s">
        <v>464</v>
      </c>
      <c r="D526" t="s">
        <v>7890</v>
      </c>
      <c r="E526" t="s">
        <v>7867</v>
      </c>
    </row>
    <row r="527" spans="1:5" x14ac:dyDescent="0.25">
      <c r="A527" t="s">
        <v>3330</v>
      </c>
      <c r="B527" t="s">
        <v>7890</v>
      </c>
      <c r="C527" t="s">
        <v>464</v>
      </c>
      <c r="D527" t="s">
        <v>7890</v>
      </c>
      <c r="E527" t="s">
        <v>7867</v>
      </c>
    </row>
    <row r="528" spans="1:5" x14ac:dyDescent="0.25">
      <c r="A528" t="s">
        <v>3332</v>
      </c>
      <c r="B528" t="s">
        <v>7890</v>
      </c>
      <c r="C528" t="s">
        <v>464</v>
      </c>
      <c r="D528" t="s">
        <v>7890</v>
      </c>
      <c r="E528" t="s">
        <v>7867</v>
      </c>
    </row>
    <row r="529" spans="1:5" x14ac:dyDescent="0.25">
      <c r="A529" t="s">
        <v>3334</v>
      </c>
      <c r="B529" t="s">
        <v>7890</v>
      </c>
      <c r="C529" t="s">
        <v>2859</v>
      </c>
      <c r="D529" t="s">
        <v>7890</v>
      </c>
      <c r="E529" t="s">
        <v>7867</v>
      </c>
    </row>
    <row r="530" spans="1:5" x14ac:dyDescent="0.25">
      <c r="A530" t="s">
        <v>3336</v>
      </c>
      <c r="B530" t="s">
        <v>7890</v>
      </c>
      <c r="C530" t="s">
        <v>2859</v>
      </c>
      <c r="D530" t="s">
        <v>7890</v>
      </c>
      <c r="E530" t="s">
        <v>7867</v>
      </c>
    </row>
    <row r="531" spans="1:5" x14ac:dyDescent="0.25">
      <c r="A531" t="s">
        <v>3338</v>
      </c>
      <c r="B531" t="s">
        <v>7890</v>
      </c>
      <c r="C531" t="s">
        <v>2859</v>
      </c>
      <c r="D531" t="s">
        <v>7890</v>
      </c>
      <c r="E531" t="s">
        <v>7867</v>
      </c>
    </row>
    <row r="532" spans="1:5" x14ac:dyDescent="0.25">
      <c r="A532" t="s">
        <v>3340</v>
      </c>
      <c r="B532" t="s">
        <v>7890</v>
      </c>
      <c r="C532" t="s">
        <v>2859</v>
      </c>
      <c r="D532" t="s">
        <v>7890</v>
      </c>
      <c r="E532" t="s">
        <v>7867</v>
      </c>
    </row>
    <row r="533" spans="1:5" x14ac:dyDescent="0.25">
      <c r="A533" t="s">
        <v>3342</v>
      </c>
      <c r="B533" t="s">
        <v>7890</v>
      </c>
      <c r="C533" t="s">
        <v>2859</v>
      </c>
      <c r="D533" t="s">
        <v>7890</v>
      </c>
      <c r="E533" t="s">
        <v>7867</v>
      </c>
    </row>
    <row r="534" spans="1:5" x14ac:dyDescent="0.25">
      <c r="A534" t="s">
        <v>3344</v>
      </c>
      <c r="B534" t="s">
        <v>7890</v>
      </c>
      <c r="C534" t="s">
        <v>2859</v>
      </c>
      <c r="D534" t="s">
        <v>7890</v>
      </c>
      <c r="E534" t="s">
        <v>7867</v>
      </c>
    </row>
    <row r="535" spans="1:5" x14ac:dyDescent="0.25">
      <c r="A535" t="s">
        <v>3346</v>
      </c>
      <c r="B535" t="s">
        <v>7890</v>
      </c>
      <c r="C535" t="s">
        <v>2859</v>
      </c>
      <c r="D535" t="s">
        <v>7890</v>
      </c>
      <c r="E535" t="s">
        <v>7867</v>
      </c>
    </row>
    <row r="536" spans="1:5" x14ac:dyDescent="0.25">
      <c r="A536" t="s">
        <v>3348</v>
      </c>
      <c r="B536" t="s">
        <v>7890</v>
      </c>
      <c r="C536" t="s">
        <v>2859</v>
      </c>
      <c r="D536" t="s">
        <v>7890</v>
      </c>
      <c r="E536" t="s">
        <v>7867</v>
      </c>
    </row>
    <row r="537" spans="1:5" x14ac:dyDescent="0.25">
      <c r="A537" t="s">
        <v>3350</v>
      </c>
      <c r="B537" t="s">
        <v>7890</v>
      </c>
      <c r="C537" t="s">
        <v>2859</v>
      </c>
      <c r="D537" t="s">
        <v>7890</v>
      </c>
      <c r="E537" t="s">
        <v>7867</v>
      </c>
    </row>
    <row r="538" spans="1:5" x14ac:dyDescent="0.25">
      <c r="A538" t="s">
        <v>3352</v>
      </c>
      <c r="B538" t="s">
        <v>7890</v>
      </c>
      <c r="C538" t="s">
        <v>2859</v>
      </c>
      <c r="D538" t="s">
        <v>7890</v>
      </c>
      <c r="E538" t="s">
        <v>7867</v>
      </c>
    </row>
    <row r="539" spans="1:5" x14ac:dyDescent="0.25">
      <c r="A539" t="s">
        <v>3354</v>
      </c>
      <c r="B539" t="s">
        <v>7890</v>
      </c>
      <c r="C539" t="s">
        <v>2859</v>
      </c>
      <c r="D539" t="s">
        <v>7890</v>
      </c>
      <c r="E539" t="s">
        <v>7867</v>
      </c>
    </row>
    <row r="540" spans="1:5" x14ac:dyDescent="0.25">
      <c r="A540" t="s">
        <v>3356</v>
      </c>
      <c r="B540" t="s">
        <v>7890</v>
      </c>
      <c r="C540" t="s">
        <v>2859</v>
      </c>
      <c r="D540" t="s">
        <v>7890</v>
      </c>
      <c r="E540" t="s">
        <v>7867</v>
      </c>
    </row>
    <row r="541" spans="1:5" x14ac:dyDescent="0.25">
      <c r="A541" t="s">
        <v>3358</v>
      </c>
      <c r="B541" t="s">
        <v>7890</v>
      </c>
      <c r="C541" t="s">
        <v>3166</v>
      </c>
      <c r="D541" t="s">
        <v>7890</v>
      </c>
      <c r="E541" t="s">
        <v>7867</v>
      </c>
    </row>
    <row r="542" spans="1:5" x14ac:dyDescent="0.25">
      <c r="A542" t="s">
        <v>3360</v>
      </c>
      <c r="B542" t="s">
        <v>7890</v>
      </c>
      <c r="C542" t="s">
        <v>3166</v>
      </c>
      <c r="D542" t="s">
        <v>7890</v>
      </c>
      <c r="E542" t="s">
        <v>7867</v>
      </c>
    </row>
    <row r="543" spans="1:5" x14ac:dyDescent="0.25">
      <c r="A543" t="s">
        <v>3362</v>
      </c>
      <c r="B543" t="s">
        <v>7890</v>
      </c>
      <c r="C543" t="s">
        <v>3166</v>
      </c>
      <c r="D543" t="s">
        <v>7890</v>
      </c>
      <c r="E543" t="s">
        <v>7867</v>
      </c>
    </row>
    <row r="544" spans="1:5" x14ac:dyDescent="0.25">
      <c r="A544" t="s">
        <v>3364</v>
      </c>
      <c r="B544" t="s">
        <v>7890</v>
      </c>
      <c r="C544" t="s">
        <v>3166</v>
      </c>
      <c r="D544" t="s">
        <v>7890</v>
      </c>
      <c r="E544" t="s">
        <v>7867</v>
      </c>
    </row>
    <row r="545" spans="1:5" x14ac:dyDescent="0.25">
      <c r="A545" t="s">
        <v>3366</v>
      </c>
      <c r="B545" t="s">
        <v>7890</v>
      </c>
      <c r="C545" t="s">
        <v>3166</v>
      </c>
      <c r="D545" t="s">
        <v>7890</v>
      </c>
      <c r="E545" t="s">
        <v>7867</v>
      </c>
    </row>
    <row r="546" spans="1:5" x14ac:dyDescent="0.25">
      <c r="A546" t="s">
        <v>3368</v>
      </c>
      <c r="B546" t="s">
        <v>7890</v>
      </c>
      <c r="C546" t="s">
        <v>3166</v>
      </c>
      <c r="D546" t="s">
        <v>7890</v>
      </c>
      <c r="E546" t="s">
        <v>7867</v>
      </c>
    </row>
    <row r="547" spans="1:5" x14ac:dyDescent="0.25">
      <c r="A547" t="s">
        <v>3370</v>
      </c>
      <c r="B547" t="s">
        <v>7890</v>
      </c>
      <c r="C547" t="s">
        <v>3166</v>
      </c>
      <c r="D547" t="s">
        <v>7890</v>
      </c>
      <c r="E547" t="s">
        <v>7867</v>
      </c>
    </row>
    <row r="548" spans="1:5" x14ac:dyDescent="0.25">
      <c r="A548" t="s">
        <v>3372</v>
      </c>
      <c r="B548" t="s">
        <v>7890</v>
      </c>
      <c r="C548" t="s">
        <v>3166</v>
      </c>
      <c r="D548" t="s">
        <v>7890</v>
      </c>
      <c r="E548" t="s">
        <v>7867</v>
      </c>
    </row>
    <row r="549" spans="1:5" x14ac:dyDescent="0.25">
      <c r="A549" t="s">
        <v>3374</v>
      </c>
      <c r="B549" t="s">
        <v>7890</v>
      </c>
      <c r="C549" t="s">
        <v>3166</v>
      </c>
      <c r="D549" t="s">
        <v>7890</v>
      </c>
      <c r="E549" t="s">
        <v>7867</v>
      </c>
    </row>
    <row r="550" spans="1:5" x14ac:dyDescent="0.25">
      <c r="A550" t="s">
        <v>3376</v>
      </c>
      <c r="B550" t="s">
        <v>7890</v>
      </c>
      <c r="C550" t="s">
        <v>3166</v>
      </c>
      <c r="D550" t="s">
        <v>7890</v>
      </c>
      <c r="E550" t="s">
        <v>7867</v>
      </c>
    </row>
    <row r="551" spans="1:5" x14ac:dyDescent="0.25">
      <c r="A551" t="s">
        <v>3378</v>
      </c>
      <c r="B551" t="s">
        <v>7890</v>
      </c>
      <c r="C551" t="s">
        <v>3166</v>
      </c>
      <c r="D551" t="s">
        <v>7890</v>
      </c>
      <c r="E551" t="s">
        <v>7867</v>
      </c>
    </row>
    <row r="552" spans="1:5" x14ac:dyDescent="0.25">
      <c r="A552" t="s">
        <v>3380</v>
      </c>
      <c r="B552" t="s">
        <v>7890</v>
      </c>
      <c r="C552" t="s">
        <v>3166</v>
      </c>
      <c r="D552" t="s">
        <v>7890</v>
      </c>
      <c r="E552" t="s">
        <v>7867</v>
      </c>
    </row>
    <row r="553" spans="1:5" x14ac:dyDescent="0.25">
      <c r="A553" t="s">
        <v>3382</v>
      </c>
      <c r="B553" t="s">
        <v>7890</v>
      </c>
      <c r="C553" t="s">
        <v>3166</v>
      </c>
      <c r="D553" t="s">
        <v>7890</v>
      </c>
      <c r="E553" t="s">
        <v>7867</v>
      </c>
    </row>
    <row r="554" spans="1:5" x14ac:dyDescent="0.25">
      <c r="A554" t="s">
        <v>3384</v>
      </c>
      <c r="B554" t="s">
        <v>7890</v>
      </c>
      <c r="C554" t="s">
        <v>3166</v>
      </c>
      <c r="D554" t="s">
        <v>7890</v>
      </c>
      <c r="E554" t="s">
        <v>7867</v>
      </c>
    </row>
    <row r="555" spans="1:5" x14ac:dyDescent="0.25">
      <c r="A555" t="s">
        <v>3391</v>
      </c>
      <c r="B555" t="s">
        <v>7890</v>
      </c>
      <c r="C555" t="s">
        <v>148</v>
      </c>
      <c r="D555" t="s">
        <v>7890</v>
      </c>
      <c r="E555" t="s">
        <v>7867</v>
      </c>
    </row>
    <row r="556" spans="1:5" x14ac:dyDescent="0.25">
      <c r="A556" t="s">
        <v>3394</v>
      </c>
      <c r="B556" t="s">
        <v>7890</v>
      </c>
      <c r="C556" t="s">
        <v>92</v>
      </c>
      <c r="D556" t="s">
        <v>7890</v>
      </c>
      <c r="E556" t="s">
        <v>7867</v>
      </c>
    </row>
    <row r="557" spans="1:5" x14ac:dyDescent="0.25">
      <c r="A557" t="s">
        <v>3397</v>
      </c>
      <c r="B557" t="s">
        <v>7890</v>
      </c>
      <c r="C557" t="s">
        <v>92</v>
      </c>
      <c r="D557" t="s">
        <v>7890</v>
      </c>
      <c r="E557" t="s">
        <v>7867</v>
      </c>
    </row>
    <row r="558" spans="1:5" x14ac:dyDescent="0.25">
      <c r="A558" t="s">
        <v>3406</v>
      </c>
      <c r="B558" t="s">
        <v>7890</v>
      </c>
      <c r="C558" t="s">
        <v>1153</v>
      </c>
      <c r="D558" t="s">
        <v>7890</v>
      </c>
      <c r="E558" t="s">
        <v>7867</v>
      </c>
    </row>
    <row r="559" spans="1:5" x14ac:dyDescent="0.25">
      <c r="A559" t="s">
        <v>3407</v>
      </c>
      <c r="B559" t="s">
        <v>7890</v>
      </c>
      <c r="C559" t="s">
        <v>34</v>
      </c>
      <c r="D559" t="s">
        <v>7890</v>
      </c>
      <c r="E559" t="s">
        <v>7867</v>
      </c>
    </row>
    <row r="560" spans="1:5" x14ac:dyDescent="0.25">
      <c r="A560" t="s">
        <v>3409</v>
      </c>
      <c r="B560" t="s">
        <v>7890</v>
      </c>
      <c r="C560" t="s">
        <v>2375</v>
      </c>
      <c r="D560" t="s">
        <v>7890</v>
      </c>
      <c r="E560" t="s">
        <v>7867</v>
      </c>
    </row>
    <row r="561" spans="1:5" x14ac:dyDescent="0.25">
      <c r="A561" t="s">
        <v>3410</v>
      </c>
      <c r="B561" t="s">
        <v>7890</v>
      </c>
      <c r="C561" t="s">
        <v>34</v>
      </c>
      <c r="D561" t="s">
        <v>7890</v>
      </c>
      <c r="E561" t="s">
        <v>7867</v>
      </c>
    </row>
    <row r="562" spans="1:5" x14ac:dyDescent="0.25">
      <c r="A562" t="s">
        <v>3421</v>
      </c>
      <c r="B562" t="s">
        <v>7890</v>
      </c>
      <c r="C562" t="s">
        <v>464</v>
      </c>
      <c r="D562" t="s">
        <v>7890</v>
      </c>
      <c r="E562" t="s">
        <v>7867</v>
      </c>
    </row>
    <row r="563" spans="1:5" x14ac:dyDescent="0.25">
      <c r="A563" t="s">
        <v>3423</v>
      </c>
      <c r="B563" t="s">
        <v>7890</v>
      </c>
      <c r="C563" t="s">
        <v>30</v>
      </c>
      <c r="D563" t="s">
        <v>7890</v>
      </c>
      <c r="E563" t="s">
        <v>7867</v>
      </c>
    </row>
    <row r="564" spans="1:5" x14ac:dyDescent="0.25">
      <c r="A564" t="s">
        <v>3425</v>
      </c>
      <c r="B564" t="s">
        <v>7890</v>
      </c>
      <c r="C564" t="s">
        <v>641</v>
      </c>
      <c r="D564" t="s">
        <v>7890</v>
      </c>
      <c r="E564" t="s">
        <v>7867</v>
      </c>
    </row>
    <row r="565" spans="1:5" x14ac:dyDescent="0.25">
      <c r="A565" t="s">
        <v>3427</v>
      </c>
      <c r="B565" t="s">
        <v>7890</v>
      </c>
      <c r="C565" t="s">
        <v>365</v>
      </c>
      <c r="D565" t="s">
        <v>7890</v>
      </c>
      <c r="E565" t="s">
        <v>7867</v>
      </c>
    </row>
    <row r="566" spans="1:5" x14ac:dyDescent="0.25">
      <c r="A566" t="s">
        <v>3429</v>
      </c>
      <c r="B566" t="s">
        <v>7890</v>
      </c>
      <c r="C566" t="s">
        <v>15</v>
      </c>
      <c r="D566" t="s">
        <v>7890</v>
      </c>
      <c r="E566" t="s">
        <v>7867</v>
      </c>
    </row>
    <row r="567" spans="1:5" x14ac:dyDescent="0.25">
      <c r="A567" t="s">
        <v>3431</v>
      </c>
      <c r="B567" t="s">
        <v>7890</v>
      </c>
      <c r="C567" t="s">
        <v>3166</v>
      </c>
      <c r="D567" t="s">
        <v>7890</v>
      </c>
      <c r="E567" t="s">
        <v>7867</v>
      </c>
    </row>
    <row r="568" spans="1:5" x14ac:dyDescent="0.25">
      <c r="A568" t="s">
        <v>3433</v>
      </c>
      <c r="B568" t="s">
        <v>7890</v>
      </c>
      <c r="C568" t="s">
        <v>145</v>
      </c>
      <c r="D568" t="s">
        <v>7890</v>
      </c>
      <c r="E568" t="s">
        <v>7867</v>
      </c>
    </row>
    <row r="569" spans="1:5" x14ac:dyDescent="0.25">
      <c r="A569" t="s">
        <v>3435</v>
      </c>
      <c r="B569" t="s">
        <v>7890</v>
      </c>
      <c r="C569" t="s">
        <v>3169</v>
      </c>
      <c r="D569" t="s">
        <v>7890</v>
      </c>
      <c r="E569" t="s">
        <v>7867</v>
      </c>
    </row>
    <row r="570" spans="1:5" x14ac:dyDescent="0.25">
      <c r="A570" t="s">
        <v>3437</v>
      </c>
      <c r="B570" t="s">
        <v>7890</v>
      </c>
      <c r="C570" t="s">
        <v>2859</v>
      </c>
      <c r="D570" t="s">
        <v>7890</v>
      </c>
      <c r="E570" t="s">
        <v>7867</v>
      </c>
    </row>
    <row r="571" spans="1:5" x14ac:dyDescent="0.25">
      <c r="A571" t="s">
        <v>3439</v>
      </c>
      <c r="B571" t="s">
        <v>7890</v>
      </c>
      <c r="C571" t="s">
        <v>3163</v>
      </c>
      <c r="D571" t="s">
        <v>7890</v>
      </c>
      <c r="E571" t="s">
        <v>7867</v>
      </c>
    </row>
    <row r="572" spans="1:5" x14ac:dyDescent="0.25">
      <c r="A572" t="s">
        <v>3441</v>
      </c>
      <c r="B572" t="s">
        <v>7890</v>
      </c>
      <c r="C572" t="s">
        <v>915</v>
      </c>
      <c r="D572" t="s">
        <v>7890</v>
      </c>
      <c r="E572" t="s">
        <v>7867</v>
      </c>
    </row>
    <row r="573" spans="1:5" x14ac:dyDescent="0.25">
      <c r="A573" t="s">
        <v>3443</v>
      </c>
      <c r="B573" t="s">
        <v>7890</v>
      </c>
      <c r="C573" t="s">
        <v>641</v>
      </c>
      <c r="D573" t="s">
        <v>7890</v>
      </c>
      <c r="E573" t="s">
        <v>7867</v>
      </c>
    </row>
    <row r="574" spans="1:5" x14ac:dyDescent="0.25">
      <c r="A574" t="s">
        <v>3445</v>
      </c>
      <c r="B574" t="s">
        <v>7890</v>
      </c>
      <c r="C574" t="s">
        <v>15</v>
      </c>
      <c r="D574" t="s">
        <v>7890</v>
      </c>
      <c r="E574" t="s">
        <v>7867</v>
      </c>
    </row>
    <row r="575" spans="1:5" x14ac:dyDescent="0.25">
      <c r="A575" t="s">
        <v>3447</v>
      </c>
      <c r="B575" t="s">
        <v>7890</v>
      </c>
      <c r="C575" t="s">
        <v>3163</v>
      </c>
      <c r="D575" t="s">
        <v>7890</v>
      </c>
      <c r="E575" t="s">
        <v>7867</v>
      </c>
    </row>
    <row r="576" spans="1:5" x14ac:dyDescent="0.25">
      <c r="A576" t="s">
        <v>3449</v>
      </c>
      <c r="B576" t="s">
        <v>7890</v>
      </c>
      <c r="C576" t="s">
        <v>3163</v>
      </c>
      <c r="D576" t="s">
        <v>7890</v>
      </c>
      <c r="E576" t="s">
        <v>7867</v>
      </c>
    </row>
    <row r="577" spans="1:5" x14ac:dyDescent="0.25">
      <c r="A577" t="s">
        <v>3451</v>
      </c>
      <c r="B577" t="s">
        <v>7890</v>
      </c>
      <c r="C577" t="s">
        <v>3163</v>
      </c>
      <c r="D577" t="s">
        <v>7890</v>
      </c>
      <c r="E577" t="s">
        <v>7867</v>
      </c>
    </row>
    <row r="578" spans="1:5" x14ac:dyDescent="0.25">
      <c r="A578" t="s">
        <v>3453</v>
      </c>
      <c r="B578" t="s">
        <v>7890</v>
      </c>
      <c r="C578" t="s">
        <v>3163</v>
      </c>
      <c r="D578" t="s">
        <v>7890</v>
      </c>
      <c r="E578" t="s">
        <v>7867</v>
      </c>
    </row>
    <row r="579" spans="1:5" x14ac:dyDescent="0.25">
      <c r="A579" t="s">
        <v>3455</v>
      </c>
      <c r="B579" t="s">
        <v>7890</v>
      </c>
      <c r="C579" t="s">
        <v>3163</v>
      </c>
      <c r="D579" t="s">
        <v>7890</v>
      </c>
      <c r="E579" t="s">
        <v>7867</v>
      </c>
    </row>
    <row r="580" spans="1:5" x14ac:dyDescent="0.25">
      <c r="A580" t="s">
        <v>3457</v>
      </c>
      <c r="B580" t="s">
        <v>7890</v>
      </c>
      <c r="C580" t="s">
        <v>3163</v>
      </c>
      <c r="D580" t="s">
        <v>7890</v>
      </c>
      <c r="E580" t="s">
        <v>7867</v>
      </c>
    </row>
    <row r="581" spans="1:5" x14ac:dyDescent="0.25">
      <c r="A581" t="s">
        <v>3459</v>
      </c>
      <c r="B581" t="s">
        <v>7890</v>
      </c>
      <c r="C581" t="s">
        <v>3163</v>
      </c>
      <c r="D581" t="s">
        <v>7890</v>
      </c>
      <c r="E581" t="s">
        <v>7867</v>
      </c>
    </row>
    <row r="582" spans="1:5" x14ac:dyDescent="0.25">
      <c r="A582" t="s">
        <v>3461</v>
      </c>
      <c r="B582" t="s">
        <v>7890</v>
      </c>
      <c r="C582" t="s">
        <v>464</v>
      </c>
      <c r="D582" t="s">
        <v>7890</v>
      </c>
      <c r="E582" t="s">
        <v>7867</v>
      </c>
    </row>
    <row r="583" spans="1:5" x14ac:dyDescent="0.25">
      <c r="A583" t="s">
        <v>3463</v>
      </c>
      <c r="B583" t="s">
        <v>7890</v>
      </c>
      <c r="C583" t="s">
        <v>464</v>
      </c>
      <c r="D583" t="s">
        <v>7890</v>
      </c>
      <c r="E583" t="s">
        <v>7867</v>
      </c>
    </row>
    <row r="584" spans="1:5" x14ac:dyDescent="0.25">
      <c r="A584" t="s">
        <v>3465</v>
      </c>
      <c r="B584" t="s">
        <v>7890</v>
      </c>
      <c r="C584" t="s">
        <v>464</v>
      </c>
      <c r="D584" t="s">
        <v>7890</v>
      </c>
      <c r="E584" t="s">
        <v>7867</v>
      </c>
    </row>
    <row r="585" spans="1:5" x14ac:dyDescent="0.25">
      <c r="A585" t="s">
        <v>3467</v>
      </c>
      <c r="B585" t="s">
        <v>7890</v>
      </c>
      <c r="C585" t="s">
        <v>464</v>
      </c>
      <c r="D585" t="s">
        <v>7890</v>
      </c>
      <c r="E585" t="s">
        <v>7867</v>
      </c>
    </row>
    <row r="586" spans="1:5" x14ac:dyDescent="0.25">
      <c r="A586" t="s">
        <v>3469</v>
      </c>
      <c r="B586" t="s">
        <v>7890</v>
      </c>
      <c r="C586" t="s">
        <v>464</v>
      </c>
      <c r="D586" t="s">
        <v>7890</v>
      </c>
      <c r="E586" t="s">
        <v>7867</v>
      </c>
    </row>
    <row r="587" spans="1:5" x14ac:dyDescent="0.25">
      <c r="A587" t="s">
        <v>3471</v>
      </c>
      <c r="B587" t="s">
        <v>7890</v>
      </c>
      <c r="C587" t="s">
        <v>464</v>
      </c>
      <c r="D587" t="s">
        <v>7890</v>
      </c>
      <c r="E587" t="s">
        <v>7867</v>
      </c>
    </row>
    <row r="588" spans="1:5" x14ac:dyDescent="0.25">
      <c r="A588" t="s">
        <v>3473</v>
      </c>
      <c r="B588" t="s">
        <v>7890</v>
      </c>
      <c r="C588" t="s">
        <v>464</v>
      </c>
      <c r="D588" t="s">
        <v>7890</v>
      </c>
      <c r="E588" t="s">
        <v>7867</v>
      </c>
    </row>
    <row r="589" spans="1:5" x14ac:dyDescent="0.25">
      <c r="A589" t="s">
        <v>3475</v>
      </c>
      <c r="B589" t="s">
        <v>7890</v>
      </c>
      <c r="C589" t="s">
        <v>464</v>
      </c>
      <c r="D589" t="s">
        <v>7890</v>
      </c>
      <c r="E589" t="s">
        <v>7867</v>
      </c>
    </row>
    <row r="590" spans="1:5" x14ac:dyDescent="0.25">
      <c r="A590" t="s">
        <v>3477</v>
      </c>
      <c r="B590" t="s">
        <v>7890</v>
      </c>
      <c r="C590" t="s">
        <v>464</v>
      </c>
      <c r="D590" t="s">
        <v>7890</v>
      </c>
      <c r="E590" t="s">
        <v>7867</v>
      </c>
    </row>
    <row r="591" spans="1:5" x14ac:dyDescent="0.25">
      <c r="A591" t="s">
        <v>3479</v>
      </c>
      <c r="B591" t="s">
        <v>7890</v>
      </c>
      <c r="C591" t="s">
        <v>464</v>
      </c>
      <c r="D591" t="s">
        <v>7890</v>
      </c>
      <c r="E591" t="s">
        <v>7867</v>
      </c>
    </row>
    <row r="592" spans="1:5" x14ac:dyDescent="0.25">
      <c r="A592" t="s">
        <v>3481</v>
      </c>
      <c r="B592" t="s">
        <v>7890</v>
      </c>
      <c r="C592" t="s">
        <v>464</v>
      </c>
      <c r="D592" t="s">
        <v>7890</v>
      </c>
      <c r="E592" t="s">
        <v>7867</v>
      </c>
    </row>
    <row r="593" spans="1:5" x14ac:dyDescent="0.25">
      <c r="A593" t="s">
        <v>3483</v>
      </c>
      <c r="B593" t="s">
        <v>7890</v>
      </c>
      <c r="C593" t="s">
        <v>464</v>
      </c>
      <c r="D593" t="s">
        <v>7890</v>
      </c>
      <c r="E593" t="s">
        <v>7867</v>
      </c>
    </row>
    <row r="594" spans="1:5" x14ac:dyDescent="0.25">
      <c r="A594" t="s">
        <v>3485</v>
      </c>
      <c r="B594" t="s">
        <v>7890</v>
      </c>
      <c r="C594" t="s">
        <v>464</v>
      </c>
      <c r="D594" t="s">
        <v>7890</v>
      </c>
      <c r="E594" t="s">
        <v>7867</v>
      </c>
    </row>
    <row r="595" spans="1:5" x14ac:dyDescent="0.25">
      <c r="A595" t="s">
        <v>3487</v>
      </c>
      <c r="B595" t="s">
        <v>7890</v>
      </c>
      <c r="C595" t="s">
        <v>464</v>
      </c>
      <c r="D595" t="s">
        <v>7890</v>
      </c>
      <c r="E595" t="s">
        <v>7867</v>
      </c>
    </row>
    <row r="596" spans="1:5" x14ac:dyDescent="0.25">
      <c r="A596" t="s">
        <v>3489</v>
      </c>
      <c r="B596" t="s">
        <v>7890</v>
      </c>
      <c r="C596" t="s">
        <v>464</v>
      </c>
      <c r="D596" t="s">
        <v>7890</v>
      </c>
      <c r="E596" t="s">
        <v>7867</v>
      </c>
    </row>
    <row r="597" spans="1:5" x14ac:dyDescent="0.25">
      <c r="A597" t="s">
        <v>3491</v>
      </c>
      <c r="B597" t="s">
        <v>7890</v>
      </c>
      <c r="C597" t="s">
        <v>464</v>
      </c>
      <c r="D597" t="s">
        <v>7890</v>
      </c>
      <c r="E597" t="s">
        <v>7867</v>
      </c>
    </row>
    <row r="598" spans="1:5" x14ac:dyDescent="0.25">
      <c r="A598" t="s">
        <v>3493</v>
      </c>
      <c r="B598" t="s">
        <v>7890</v>
      </c>
      <c r="C598" t="s">
        <v>464</v>
      </c>
      <c r="D598" t="s">
        <v>7890</v>
      </c>
      <c r="E598" t="s">
        <v>7867</v>
      </c>
    </row>
    <row r="599" spans="1:5" x14ac:dyDescent="0.25">
      <c r="A599" t="s">
        <v>3495</v>
      </c>
      <c r="B599" t="s">
        <v>7890</v>
      </c>
      <c r="C599" t="s">
        <v>464</v>
      </c>
      <c r="D599" t="s">
        <v>7890</v>
      </c>
      <c r="E599" t="s">
        <v>7867</v>
      </c>
    </row>
    <row r="600" spans="1:5" x14ac:dyDescent="0.25">
      <c r="A600" t="s">
        <v>3497</v>
      </c>
      <c r="B600" t="s">
        <v>7890</v>
      </c>
      <c r="C600" t="s">
        <v>464</v>
      </c>
      <c r="D600" t="s">
        <v>7890</v>
      </c>
      <c r="E600" t="s">
        <v>7867</v>
      </c>
    </row>
    <row r="601" spans="1:5" x14ac:dyDescent="0.25">
      <c r="A601" t="s">
        <v>3499</v>
      </c>
      <c r="B601" t="s">
        <v>7890</v>
      </c>
      <c r="C601" t="s">
        <v>3163</v>
      </c>
      <c r="D601" t="s">
        <v>7890</v>
      </c>
      <c r="E601" t="s">
        <v>7867</v>
      </c>
    </row>
    <row r="602" spans="1:5" x14ac:dyDescent="0.25">
      <c r="A602" t="s">
        <v>3501</v>
      </c>
      <c r="B602" t="s">
        <v>7890</v>
      </c>
      <c r="C602" t="s">
        <v>464</v>
      </c>
      <c r="D602" t="s">
        <v>7890</v>
      </c>
      <c r="E602" t="s">
        <v>7867</v>
      </c>
    </row>
    <row r="603" spans="1:5" x14ac:dyDescent="0.25">
      <c r="A603" t="s">
        <v>3503</v>
      </c>
      <c r="B603" t="s">
        <v>7890</v>
      </c>
      <c r="C603" t="s">
        <v>464</v>
      </c>
      <c r="D603" t="s">
        <v>7890</v>
      </c>
      <c r="E603" t="s">
        <v>7867</v>
      </c>
    </row>
    <row r="604" spans="1:5" x14ac:dyDescent="0.25">
      <c r="A604" t="s">
        <v>3505</v>
      </c>
      <c r="B604" t="s">
        <v>7890</v>
      </c>
      <c r="C604" t="s">
        <v>464</v>
      </c>
      <c r="D604" t="s">
        <v>7890</v>
      </c>
      <c r="E604" t="s">
        <v>7867</v>
      </c>
    </row>
    <row r="605" spans="1:5" x14ac:dyDescent="0.25">
      <c r="A605" t="s">
        <v>3507</v>
      </c>
      <c r="B605" t="s">
        <v>7890</v>
      </c>
      <c r="C605" t="s">
        <v>2859</v>
      </c>
      <c r="D605" t="s">
        <v>7890</v>
      </c>
      <c r="E605" t="s">
        <v>7867</v>
      </c>
    </row>
    <row r="606" spans="1:5" x14ac:dyDescent="0.25">
      <c r="A606" t="s">
        <v>3509</v>
      </c>
      <c r="B606" t="s">
        <v>7890</v>
      </c>
      <c r="C606" t="s">
        <v>2859</v>
      </c>
      <c r="D606" t="s">
        <v>7890</v>
      </c>
      <c r="E606" t="s">
        <v>7867</v>
      </c>
    </row>
    <row r="607" spans="1:5" x14ac:dyDescent="0.25">
      <c r="A607" t="s">
        <v>3511</v>
      </c>
      <c r="B607" t="s">
        <v>7890</v>
      </c>
      <c r="C607" t="s">
        <v>2859</v>
      </c>
      <c r="D607" t="s">
        <v>7890</v>
      </c>
      <c r="E607" t="s">
        <v>7867</v>
      </c>
    </row>
    <row r="608" spans="1:5" x14ac:dyDescent="0.25">
      <c r="A608" t="s">
        <v>3513</v>
      </c>
      <c r="B608" t="s">
        <v>7890</v>
      </c>
      <c r="C608" t="s">
        <v>2859</v>
      </c>
      <c r="D608" t="s">
        <v>7890</v>
      </c>
      <c r="E608" t="s">
        <v>7867</v>
      </c>
    </row>
    <row r="609" spans="1:5" x14ac:dyDescent="0.25">
      <c r="A609" t="s">
        <v>3515</v>
      </c>
      <c r="B609" t="s">
        <v>7890</v>
      </c>
      <c r="C609" t="s">
        <v>2859</v>
      </c>
      <c r="D609" t="s">
        <v>7890</v>
      </c>
      <c r="E609" t="s">
        <v>7867</v>
      </c>
    </row>
    <row r="610" spans="1:5" x14ac:dyDescent="0.25">
      <c r="A610" t="s">
        <v>3517</v>
      </c>
      <c r="B610" t="s">
        <v>7890</v>
      </c>
      <c r="C610" t="s">
        <v>2859</v>
      </c>
      <c r="D610" t="s">
        <v>7890</v>
      </c>
      <c r="E610" t="s">
        <v>7867</v>
      </c>
    </row>
    <row r="611" spans="1:5" x14ac:dyDescent="0.25">
      <c r="A611" t="s">
        <v>3519</v>
      </c>
      <c r="B611" t="s">
        <v>7890</v>
      </c>
      <c r="C611" t="s">
        <v>3166</v>
      </c>
      <c r="D611" t="s">
        <v>7890</v>
      </c>
      <c r="E611" t="s">
        <v>7867</v>
      </c>
    </row>
    <row r="612" spans="1:5" x14ac:dyDescent="0.25">
      <c r="A612" t="s">
        <v>3521</v>
      </c>
      <c r="B612" t="s">
        <v>7890</v>
      </c>
      <c r="C612" t="s">
        <v>3166</v>
      </c>
      <c r="D612" t="s">
        <v>7890</v>
      </c>
      <c r="E612" t="s">
        <v>7867</v>
      </c>
    </row>
    <row r="613" spans="1:5" x14ac:dyDescent="0.25">
      <c r="A613" t="s">
        <v>3523</v>
      </c>
      <c r="B613" t="s">
        <v>7890</v>
      </c>
      <c r="C613" t="s">
        <v>3166</v>
      </c>
      <c r="D613" t="s">
        <v>7890</v>
      </c>
      <c r="E613" t="s">
        <v>7867</v>
      </c>
    </row>
    <row r="614" spans="1:5" x14ac:dyDescent="0.25">
      <c r="A614" t="s">
        <v>3525</v>
      </c>
      <c r="B614" t="s">
        <v>7890</v>
      </c>
      <c r="C614" t="s">
        <v>3166</v>
      </c>
      <c r="D614" t="s">
        <v>7890</v>
      </c>
      <c r="E614" t="s">
        <v>7867</v>
      </c>
    </row>
    <row r="615" spans="1:5" x14ac:dyDescent="0.25">
      <c r="A615" t="s">
        <v>3527</v>
      </c>
      <c r="B615" t="s">
        <v>7890</v>
      </c>
      <c r="C615" t="s">
        <v>3166</v>
      </c>
      <c r="D615" t="s">
        <v>7890</v>
      </c>
      <c r="E615" t="s">
        <v>7867</v>
      </c>
    </row>
    <row r="616" spans="1:5" x14ac:dyDescent="0.25">
      <c r="A616" t="s">
        <v>3529</v>
      </c>
      <c r="B616" t="s">
        <v>7890</v>
      </c>
      <c r="C616" t="s">
        <v>3166</v>
      </c>
      <c r="D616" t="s">
        <v>7890</v>
      </c>
      <c r="E616" t="s">
        <v>7867</v>
      </c>
    </row>
    <row r="617" spans="1:5" x14ac:dyDescent="0.25">
      <c r="A617" t="s">
        <v>3531</v>
      </c>
      <c r="B617" t="s">
        <v>7890</v>
      </c>
      <c r="C617" t="s">
        <v>3166</v>
      </c>
      <c r="D617" t="s">
        <v>7890</v>
      </c>
      <c r="E617" t="s">
        <v>7867</v>
      </c>
    </row>
    <row r="618" spans="1:5" x14ac:dyDescent="0.25">
      <c r="A618" t="s">
        <v>3540</v>
      </c>
      <c r="B618" t="s">
        <v>7890</v>
      </c>
      <c r="C618" t="s">
        <v>3166</v>
      </c>
      <c r="D618" t="s">
        <v>7890</v>
      </c>
      <c r="E618" t="s">
        <v>7867</v>
      </c>
    </row>
    <row r="619" spans="1:5" x14ac:dyDescent="0.25">
      <c r="A619" t="s">
        <v>3558</v>
      </c>
      <c r="B619" t="s">
        <v>7890</v>
      </c>
      <c r="C619" t="s">
        <v>298</v>
      </c>
      <c r="D619" t="s">
        <v>7890</v>
      </c>
      <c r="E619" t="s">
        <v>7867</v>
      </c>
    </row>
    <row r="620" spans="1:5" x14ac:dyDescent="0.25">
      <c r="A620" t="s">
        <v>3560</v>
      </c>
      <c r="B620" t="s">
        <v>7890</v>
      </c>
      <c r="C620" t="s">
        <v>158</v>
      </c>
      <c r="D620" t="s">
        <v>7890</v>
      </c>
      <c r="E620" t="s">
        <v>7867</v>
      </c>
    </row>
    <row r="621" spans="1:5" x14ac:dyDescent="0.25">
      <c r="A621" t="s">
        <v>3562</v>
      </c>
      <c r="B621" t="s">
        <v>7890</v>
      </c>
      <c r="C621" t="s">
        <v>9</v>
      </c>
      <c r="D621" t="s">
        <v>7890</v>
      </c>
      <c r="E621" t="s">
        <v>7867</v>
      </c>
    </row>
    <row r="622" spans="1:5" x14ac:dyDescent="0.25">
      <c r="A622" t="s">
        <v>3564</v>
      </c>
      <c r="B622" t="s">
        <v>7890</v>
      </c>
      <c r="C622" t="s">
        <v>419</v>
      </c>
      <c r="D622" t="s">
        <v>7890</v>
      </c>
      <c r="E622" t="s">
        <v>7867</v>
      </c>
    </row>
    <row r="623" spans="1:5" x14ac:dyDescent="0.25">
      <c r="A623" t="s">
        <v>3566</v>
      </c>
      <c r="B623" t="s">
        <v>7890</v>
      </c>
      <c r="C623" t="s">
        <v>139</v>
      </c>
      <c r="D623" t="s">
        <v>7890</v>
      </c>
      <c r="E623" t="s">
        <v>7867</v>
      </c>
    </row>
    <row r="624" spans="1:5" x14ac:dyDescent="0.25">
      <c r="A624" t="s">
        <v>3568</v>
      </c>
      <c r="B624" t="s">
        <v>7890</v>
      </c>
      <c r="C624" t="s">
        <v>903</v>
      </c>
      <c r="D624" t="s">
        <v>7890</v>
      </c>
      <c r="E624" t="s">
        <v>7867</v>
      </c>
    </row>
    <row r="625" spans="1:5" x14ac:dyDescent="0.25">
      <c r="A625" t="s">
        <v>3570</v>
      </c>
      <c r="B625" t="s">
        <v>7890</v>
      </c>
      <c r="C625" t="s">
        <v>1196</v>
      </c>
      <c r="D625" t="s">
        <v>7890</v>
      </c>
      <c r="E625" t="s">
        <v>7867</v>
      </c>
    </row>
    <row r="626" spans="1:5" x14ac:dyDescent="0.25">
      <c r="A626" t="s">
        <v>3572</v>
      </c>
      <c r="B626" t="s">
        <v>7890</v>
      </c>
      <c r="C626" t="s">
        <v>1228</v>
      </c>
      <c r="D626" t="s">
        <v>7890</v>
      </c>
      <c r="E626" t="s">
        <v>7867</v>
      </c>
    </row>
    <row r="627" spans="1:5" x14ac:dyDescent="0.25">
      <c r="A627" t="s">
        <v>3574</v>
      </c>
      <c r="B627" t="s">
        <v>7890</v>
      </c>
      <c r="C627" t="s">
        <v>148</v>
      </c>
      <c r="D627" t="s">
        <v>7890</v>
      </c>
      <c r="E627" t="s">
        <v>7867</v>
      </c>
    </row>
    <row r="628" spans="1:5" x14ac:dyDescent="0.25">
      <c r="A628" t="s">
        <v>3576</v>
      </c>
      <c r="B628" t="s">
        <v>7890</v>
      </c>
      <c r="C628" t="s">
        <v>73</v>
      </c>
      <c r="D628" t="s">
        <v>7890</v>
      </c>
      <c r="E628" t="s">
        <v>7867</v>
      </c>
    </row>
    <row r="629" spans="1:5" x14ac:dyDescent="0.25">
      <c r="A629" t="s">
        <v>3578</v>
      </c>
      <c r="B629" t="s">
        <v>7890</v>
      </c>
      <c r="C629" t="s">
        <v>7881</v>
      </c>
      <c r="D629" t="s">
        <v>7890</v>
      </c>
      <c r="E629" t="s">
        <v>7867</v>
      </c>
    </row>
    <row r="630" spans="1:5" x14ac:dyDescent="0.25">
      <c r="A630" t="s">
        <v>3580</v>
      </c>
      <c r="B630" t="s">
        <v>7890</v>
      </c>
      <c r="C630" t="s">
        <v>242</v>
      </c>
      <c r="D630" t="s">
        <v>7890</v>
      </c>
      <c r="E630" t="s">
        <v>7867</v>
      </c>
    </row>
    <row r="631" spans="1:5" x14ac:dyDescent="0.25">
      <c r="A631" t="s">
        <v>3582</v>
      </c>
      <c r="B631" t="s">
        <v>7890</v>
      </c>
      <c r="C631" t="s">
        <v>749</v>
      </c>
      <c r="D631" t="s">
        <v>7890</v>
      </c>
      <c r="E631" t="s">
        <v>7867</v>
      </c>
    </row>
    <row r="632" spans="1:5" x14ac:dyDescent="0.25">
      <c r="A632" t="s">
        <v>3584</v>
      </c>
      <c r="B632" t="s">
        <v>7890</v>
      </c>
      <c r="C632" t="s">
        <v>158</v>
      </c>
      <c r="D632" t="s">
        <v>7890</v>
      </c>
      <c r="E632" t="s">
        <v>7867</v>
      </c>
    </row>
    <row r="633" spans="1:5" x14ac:dyDescent="0.25">
      <c r="A633" t="s">
        <v>3586</v>
      </c>
      <c r="B633" t="s">
        <v>7890</v>
      </c>
      <c r="C633" t="s">
        <v>233</v>
      </c>
      <c r="D633" t="s">
        <v>7890</v>
      </c>
      <c r="E633" t="s">
        <v>7867</v>
      </c>
    </row>
    <row r="634" spans="1:5" x14ac:dyDescent="0.25">
      <c r="A634" t="s">
        <v>3588</v>
      </c>
      <c r="B634" t="s">
        <v>7890</v>
      </c>
      <c r="C634" t="s">
        <v>100</v>
      </c>
      <c r="D634" t="s">
        <v>7890</v>
      </c>
      <c r="E634" t="s">
        <v>7867</v>
      </c>
    </row>
    <row r="635" spans="1:5" x14ac:dyDescent="0.25">
      <c r="A635" t="s">
        <v>3590</v>
      </c>
      <c r="B635" t="s">
        <v>7890</v>
      </c>
      <c r="C635" t="s">
        <v>139</v>
      </c>
      <c r="D635" t="s">
        <v>7890</v>
      </c>
      <c r="E635" t="s">
        <v>7867</v>
      </c>
    </row>
    <row r="636" spans="1:5" x14ac:dyDescent="0.25">
      <c r="A636" t="s">
        <v>3592</v>
      </c>
      <c r="B636" t="s">
        <v>7890</v>
      </c>
      <c r="C636" t="s">
        <v>1196</v>
      </c>
      <c r="D636" t="s">
        <v>7890</v>
      </c>
      <c r="E636" t="s">
        <v>7867</v>
      </c>
    </row>
    <row r="637" spans="1:5" x14ac:dyDescent="0.25">
      <c r="A637" t="s">
        <v>3594</v>
      </c>
      <c r="B637" t="s">
        <v>7890</v>
      </c>
      <c r="C637" t="s">
        <v>34</v>
      </c>
      <c r="D637" t="s">
        <v>7890</v>
      </c>
      <c r="E637" t="s">
        <v>7867</v>
      </c>
    </row>
    <row r="638" spans="1:5" x14ac:dyDescent="0.25">
      <c r="A638" t="s">
        <v>3596</v>
      </c>
      <c r="B638" t="s">
        <v>7890</v>
      </c>
      <c r="C638" t="s">
        <v>2375</v>
      </c>
      <c r="D638" t="s">
        <v>7890</v>
      </c>
      <c r="E638" t="s">
        <v>7867</v>
      </c>
    </row>
    <row r="639" spans="1:5" x14ac:dyDescent="0.25">
      <c r="A639" t="s">
        <v>3598</v>
      </c>
      <c r="B639" t="s">
        <v>7890</v>
      </c>
      <c r="C639" t="s">
        <v>34</v>
      </c>
      <c r="D639" t="s">
        <v>7890</v>
      </c>
      <c r="E639" t="s">
        <v>7867</v>
      </c>
    </row>
    <row r="640" spans="1:5" x14ac:dyDescent="0.25">
      <c r="A640" t="s">
        <v>3600</v>
      </c>
      <c r="B640" t="s">
        <v>7890</v>
      </c>
      <c r="C640" t="s">
        <v>154</v>
      </c>
      <c r="D640" t="s">
        <v>7890</v>
      </c>
      <c r="E640" t="s">
        <v>7867</v>
      </c>
    </row>
    <row r="641" spans="1:5" x14ac:dyDescent="0.25">
      <c r="A641" t="s">
        <v>3602</v>
      </c>
      <c r="B641" t="s">
        <v>7890</v>
      </c>
      <c r="C641" t="s">
        <v>1244</v>
      </c>
      <c r="D641" t="s">
        <v>7890</v>
      </c>
      <c r="E641" t="s">
        <v>7867</v>
      </c>
    </row>
    <row r="642" spans="1:5" x14ac:dyDescent="0.25">
      <c r="A642" t="s">
        <v>3604</v>
      </c>
      <c r="B642" t="s">
        <v>7890</v>
      </c>
      <c r="C642" t="s">
        <v>4126</v>
      </c>
      <c r="D642" t="s">
        <v>7890</v>
      </c>
      <c r="E642" t="s">
        <v>7867</v>
      </c>
    </row>
    <row r="643" spans="1:5" x14ac:dyDescent="0.25">
      <c r="A643" t="s">
        <v>3606</v>
      </c>
      <c r="B643" t="s">
        <v>7890</v>
      </c>
      <c r="C643" t="s">
        <v>419</v>
      </c>
      <c r="D643" t="s">
        <v>7890</v>
      </c>
      <c r="E643" t="s">
        <v>7867</v>
      </c>
    </row>
    <row r="644" spans="1:5" x14ac:dyDescent="0.25">
      <c r="A644" t="s">
        <v>3608</v>
      </c>
      <c r="B644" t="s">
        <v>7890</v>
      </c>
      <c r="C644" t="s">
        <v>6328</v>
      </c>
      <c r="D644" t="s">
        <v>7890</v>
      </c>
      <c r="E644" t="s">
        <v>7867</v>
      </c>
    </row>
    <row r="645" spans="1:5" x14ac:dyDescent="0.25">
      <c r="A645" t="s">
        <v>3610</v>
      </c>
      <c r="B645" t="s">
        <v>7890</v>
      </c>
      <c r="C645" t="s">
        <v>186</v>
      </c>
      <c r="D645" t="s">
        <v>7890</v>
      </c>
      <c r="E645" t="s">
        <v>7867</v>
      </c>
    </row>
    <row r="646" spans="1:5" x14ac:dyDescent="0.25">
      <c r="A646" t="s">
        <v>3612</v>
      </c>
      <c r="B646" t="s">
        <v>7890</v>
      </c>
      <c r="C646" t="s">
        <v>956</v>
      </c>
      <c r="D646" t="s">
        <v>7890</v>
      </c>
      <c r="E646" t="s">
        <v>7867</v>
      </c>
    </row>
    <row r="647" spans="1:5" x14ac:dyDescent="0.25">
      <c r="A647" t="s">
        <v>3614</v>
      </c>
      <c r="B647" t="s">
        <v>7890</v>
      </c>
      <c r="C647" t="s">
        <v>262</v>
      </c>
      <c r="D647" t="s">
        <v>7890</v>
      </c>
      <c r="E647" t="s">
        <v>7867</v>
      </c>
    </row>
    <row r="648" spans="1:5" x14ac:dyDescent="0.25">
      <c r="A648" t="s">
        <v>3616</v>
      </c>
      <c r="B648" t="s">
        <v>7890</v>
      </c>
      <c r="C648" t="s">
        <v>154</v>
      </c>
      <c r="D648" t="s">
        <v>7890</v>
      </c>
      <c r="E648" t="s">
        <v>7867</v>
      </c>
    </row>
    <row r="649" spans="1:5" x14ac:dyDescent="0.25">
      <c r="A649" t="s">
        <v>3618</v>
      </c>
      <c r="B649" t="s">
        <v>7890</v>
      </c>
      <c r="C649" t="s">
        <v>1244</v>
      </c>
      <c r="D649" t="s">
        <v>7890</v>
      </c>
      <c r="E649" t="s">
        <v>7867</v>
      </c>
    </row>
    <row r="650" spans="1:5" x14ac:dyDescent="0.25">
      <c r="A650" t="s">
        <v>3620</v>
      </c>
      <c r="B650" t="s">
        <v>7890</v>
      </c>
      <c r="C650" t="s">
        <v>7889</v>
      </c>
      <c r="D650" t="s">
        <v>7890</v>
      </c>
      <c r="E650" t="s">
        <v>7867</v>
      </c>
    </row>
    <row r="651" spans="1:5" x14ac:dyDescent="0.25">
      <c r="A651" t="s">
        <v>3622</v>
      </c>
      <c r="B651" t="s">
        <v>7890</v>
      </c>
      <c r="C651" t="s">
        <v>419</v>
      </c>
      <c r="D651" t="s">
        <v>7890</v>
      </c>
      <c r="E651" t="s">
        <v>7867</v>
      </c>
    </row>
    <row r="652" spans="1:5" x14ac:dyDescent="0.25">
      <c r="A652" t="s">
        <v>3624</v>
      </c>
      <c r="B652" t="s">
        <v>7890</v>
      </c>
      <c r="C652" t="s">
        <v>126</v>
      </c>
      <c r="D652" t="s">
        <v>7890</v>
      </c>
      <c r="E652" t="s">
        <v>7867</v>
      </c>
    </row>
    <row r="653" spans="1:5" x14ac:dyDescent="0.25">
      <c r="A653" t="s">
        <v>3626</v>
      </c>
      <c r="B653" t="s">
        <v>7890</v>
      </c>
      <c r="C653" t="s">
        <v>186</v>
      </c>
      <c r="D653" t="s">
        <v>7890</v>
      </c>
      <c r="E653" t="s">
        <v>7867</v>
      </c>
    </row>
    <row r="654" spans="1:5" x14ac:dyDescent="0.25">
      <c r="A654" t="s">
        <v>3628</v>
      </c>
      <c r="B654" t="s">
        <v>7890</v>
      </c>
      <c r="C654" t="s">
        <v>186</v>
      </c>
      <c r="D654" t="s">
        <v>7890</v>
      </c>
      <c r="E654" t="s">
        <v>7867</v>
      </c>
    </row>
    <row r="655" spans="1:5" x14ac:dyDescent="0.25">
      <c r="A655" t="s">
        <v>3630</v>
      </c>
      <c r="B655" t="s">
        <v>7890</v>
      </c>
      <c r="C655" t="s">
        <v>956</v>
      </c>
      <c r="D655" t="s">
        <v>7890</v>
      </c>
      <c r="E655" t="s">
        <v>7867</v>
      </c>
    </row>
    <row r="656" spans="1:5" x14ac:dyDescent="0.25">
      <c r="A656" t="s">
        <v>3632</v>
      </c>
      <c r="B656" t="s">
        <v>7890</v>
      </c>
      <c r="C656" t="s">
        <v>262</v>
      </c>
      <c r="D656" t="s">
        <v>7890</v>
      </c>
      <c r="E656" t="s">
        <v>7867</v>
      </c>
    </row>
    <row r="657" spans="1:5" x14ac:dyDescent="0.25">
      <c r="A657" t="s">
        <v>3641</v>
      </c>
      <c r="B657" t="s">
        <v>7890</v>
      </c>
      <c r="C657" t="s">
        <v>1222</v>
      </c>
      <c r="D657" t="s">
        <v>7890</v>
      </c>
      <c r="E657" t="s">
        <v>7867</v>
      </c>
    </row>
    <row r="658" spans="1:5" x14ac:dyDescent="0.25">
      <c r="A658" t="s">
        <v>3648</v>
      </c>
      <c r="B658" t="s">
        <v>7890</v>
      </c>
      <c r="C658" t="s">
        <v>3649</v>
      </c>
      <c r="D658" t="s">
        <v>7890</v>
      </c>
      <c r="E658" t="s">
        <v>7867</v>
      </c>
    </row>
    <row r="659" spans="1:5" x14ac:dyDescent="0.25">
      <c r="A659" t="s">
        <v>3655</v>
      </c>
      <c r="B659" t="s">
        <v>7890</v>
      </c>
      <c r="C659" t="s">
        <v>1013</v>
      </c>
      <c r="D659" t="s">
        <v>7890</v>
      </c>
      <c r="E659" t="s">
        <v>7867</v>
      </c>
    </row>
    <row r="660" spans="1:5" x14ac:dyDescent="0.25">
      <c r="A660" t="s">
        <v>3657</v>
      </c>
      <c r="B660" t="s">
        <v>7890</v>
      </c>
      <c r="C660" t="s">
        <v>1244</v>
      </c>
      <c r="D660" t="s">
        <v>7890</v>
      </c>
      <c r="E660" t="s">
        <v>7867</v>
      </c>
    </row>
    <row r="661" spans="1:5" x14ac:dyDescent="0.25">
      <c r="A661" t="s">
        <v>3666</v>
      </c>
      <c r="B661" t="s">
        <v>7890</v>
      </c>
      <c r="C661" t="s">
        <v>7461</v>
      </c>
      <c r="D661" t="s">
        <v>7890</v>
      </c>
      <c r="E661" t="s">
        <v>7867</v>
      </c>
    </row>
    <row r="662" spans="1:5" x14ac:dyDescent="0.25">
      <c r="A662" t="s">
        <v>3682</v>
      </c>
      <c r="B662" t="s">
        <v>7890</v>
      </c>
      <c r="C662" t="s">
        <v>2375</v>
      </c>
      <c r="D662" t="s">
        <v>7890</v>
      </c>
      <c r="E662" t="s">
        <v>7867</v>
      </c>
    </row>
    <row r="663" spans="1:5" x14ac:dyDescent="0.25">
      <c r="A663" t="s">
        <v>3683</v>
      </c>
      <c r="B663" t="s">
        <v>7890</v>
      </c>
      <c r="C663" t="s">
        <v>34</v>
      </c>
      <c r="D663" t="s">
        <v>7890</v>
      </c>
      <c r="E663" t="s">
        <v>7867</v>
      </c>
    </row>
    <row r="664" spans="1:5" x14ac:dyDescent="0.25">
      <c r="A664" t="s">
        <v>3685</v>
      </c>
      <c r="B664" t="s">
        <v>7890</v>
      </c>
      <c r="C664" t="s">
        <v>34</v>
      </c>
      <c r="D664" t="s">
        <v>7890</v>
      </c>
      <c r="E664" t="s">
        <v>7867</v>
      </c>
    </row>
    <row r="665" spans="1:5" x14ac:dyDescent="0.25">
      <c r="A665" t="s">
        <v>3689</v>
      </c>
      <c r="B665" t="s">
        <v>7890</v>
      </c>
      <c r="C665" t="s">
        <v>1013</v>
      </c>
      <c r="D665" t="s">
        <v>7890</v>
      </c>
      <c r="E665" t="s">
        <v>7867</v>
      </c>
    </row>
    <row r="666" spans="1:5" x14ac:dyDescent="0.25">
      <c r="A666" t="s">
        <v>3694</v>
      </c>
      <c r="B666" t="s">
        <v>7890</v>
      </c>
      <c r="C666" t="s">
        <v>1244</v>
      </c>
      <c r="D666" t="s">
        <v>7890</v>
      </c>
      <c r="E666" t="s">
        <v>7867</v>
      </c>
    </row>
    <row r="667" spans="1:5" x14ac:dyDescent="0.25">
      <c r="A667" t="s">
        <v>3713</v>
      </c>
      <c r="B667" t="s">
        <v>7890</v>
      </c>
      <c r="C667" t="s">
        <v>507</v>
      </c>
      <c r="D667" t="s">
        <v>7890</v>
      </c>
      <c r="E667" t="s">
        <v>7867</v>
      </c>
    </row>
    <row r="668" spans="1:5" x14ac:dyDescent="0.25">
      <c r="A668" t="s">
        <v>3714</v>
      </c>
      <c r="B668" t="s">
        <v>7890</v>
      </c>
      <c r="C668" t="s">
        <v>7461</v>
      </c>
      <c r="D668" t="s">
        <v>7890</v>
      </c>
      <c r="E668" t="s">
        <v>7867</v>
      </c>
    </row>
    <row r="669" spans="1:5" x14ac:dyDescent="0.25">
      <c r="A669" t="s">
        <v>3717</v>
      </c>
      <c r="B669" t="s">
        <v>7890</v>
      </c>
      <c r="C669" t="s">
        <v>1222</v>
      </c>
      <c r="D669" t="s">
        <v>7890</v>
      </c>
      <c r="E669" t="s">
        <v>7867</v>
      </c>
    </row>
    <row r="670" spans="1:5" x14ac:dyDescent="0.25">
      <c r="A670" t="s">
        <v>3719</v>
      </c>
      <c r="B670" t="s">
        <v>7890</v>
      </c>
      <c r="C670" t="s">
        <v>1244</v>
      </c>
      <c r="D670" t="s">
        <v>7890</v>
      </c>
      <c r="E670" t="s">
        <v>7867</v>
      </c>
    </row>
    <row r="671" spans="1:5" x14ac:dyDescent="0.25">
      <c r="A671" t="s">
        <v>3721</v>
      </c>
      <c r="B671" t="s">
        <v>7890</v>
      </c>
      <c r="C671" t="s">
        <v>1013</v>
      </c>
      <c r="D671" t="s">
        <v>7890</v>
      </c>
      <c r="E671" t="s">
        <v>7867</v>
      </c>
    </row>
    <row r="672" spans="1:5" x14ac:dyDescent="0.25">
      <c r="A672" t="s">
        <v>3742</v>
      </c>
      <c r="B672" t="s">
        <v>7890</v>
      </c>
      <c r="C672" t="s">
        <v>2375</v>
      </c>
      <c r="D672" t="s">
        <v>7890</v>
      </c>
      <c r="E672" t="s">
        <v>7867</v>
      </c>
    </row>
    <row r="673" spans="1:5" x14ac:dyDescent="0.25">
      <c r="A673" t="s">
        <v>3747</v>
      </c>
      <c r="B673" t="s">
        <v>7890</v>
      </c>
      <c r="C673" t="s">
        <v>1244</v>
      </c>
      <c r="D673" t="s">
        <v>7890</v>
      </c>
      <c r="E673" t="s">
        <v>7867</v>
      </c>
    </row>
    <row r="674" spans="1:5" x14ac:dyDescent="0.25">
      <c r="A674" t="s">
        <v>3750</v>
      </c>
      <c r="B674" t="s">
        <v>7890</v>
      </c>
      <c r="C674" t="s">
        <v>7461</v>
      </c>
      <c r="D674" t="s">
        <v>7890</v>
      </c>
      <c r="E674" t="s">
        <v>7867</v>
      </c>
    </row>
    <row r="675" spans="1:5" x14ac:dyDescent="0.25">
      <c r="A675" t="s">
        <v>3757</v>
      </c>
      <c r="B675" t="s">
        <v>7890</v>
      </c>
      <c r="C675" t="s">
        <v>34</v>
      </c>
      <c r="D675" t="s">
        <v>7890</v>
      </c>
      <c r="E675" t="s">
        <v>7867</v>
      </c>
    </row>
    <row r="676" spans="1:5" x14ac:dyDescent="0.25">
      <c r="A676" t="s">
        <v>3759</v>
      </c>
      <c r="B676" t="s">
        <v>7890</v>
      </c>
      <c r="C676" t="s">
        <v>139</v>
      </c>
      <c r="D676" t="s">
        <v>7890</v>
      </c>
      <c r="E676" t="s">
        <v>7867</v>
      </c>
    </row>
    <row r="677" spans="1:5" x14ac:dyDescent="0.25">
      <c r="A677" t="s">
        <v>3762</v>
      </c>
      <c r="B677" t="s">
        <v>7890</v>
      </c>
      <c r="C677" t="s">
        <v>139</v>
      </c>
      <c r="D677" t="s">
        <v>7890</v>
      </c>
      <c r="E677" t="s">
        <v>7867</v>
      </c>
    </row>
    <row r="678" spans="1:5" x14ac:dyDescent="0.25">
      <c r="A678" t="s">
        <v>3765</v>
      </c>
      <c r="B678" t="s">
        <v>7890</v>
      </c>
      <c r="C678" t="s">
        <v>139</v>
      </c>
      <c r="D678" t="s">
        <v>7890</v>
      </c>
      <c r="E678" t="s">
        <v>7867</v>
      </c>
    </row>
    <row r="679" spans="1:5" x14ac:dyDescent="0.25">
      <c r="A679" t="s">
        <v>3771</v>
      </c>
      <c r="B679" t="s">
        <v>7890</v>
      </c>
      <c r="C679" t="s">
        <v>4121</v>
      </c>
      <c r="D679" t="s">
        <v>7890</v>
      </c>
      <c r="E679" t="s">
        <v>7867</v>
      </c>
    </row>
    <row r="680" spans="1:5" x14ac:dyDescent="0.25">
      <c r="A680" t="s">
        <v>3773</v>
      </c>
      <c r="B680" t="s">
        <v>7890</v>
      </c>
      <c r="C680" t="s">
        <v>4123</v>
      </c>
      <c r="D680" t="s">
        <v>7890</v>
      </c>
      <c r="E680" t="s">
        <v>7867</v>
      </c>
    </row>
    <row r="681" spans="1:5" x14ac:dyDescent="0.25">
      <c r="A681" t="s">
        <v>3775</v>
      </c>
      <c r="B681" t="s">
        <v>7890</v>
      </c>
      <c r="C681" t="s">
        <v>2590</v>
      </c>
      <c r="D681" t="s">
        <v>7890</v>
      </c>
      <c r="E681" t="s">
        <v>7867</v>
      </c>
    </row>
    <row r="682" spans="1:5" x14ac:dyDescent="0.25">
      <c r="A682" t="s">
        <v>3777</v>
      </c>
      <c r="B682" t="s">
        <v>7890</v>
      </c>
      <c r="C682" t="s">
        <v>4126</v>
      </c>
      <c r="D682" t="s">
        <v>7890</v>
      </c>
      <c r="E682" t="s">
        <v>7867</v>
      </c>
    </row>
    <row r="683" spans="1:5" x14ac:dyDescent="0.25">
      <c r="A683" t="s">
        <v>3779</v>
      </c>
      <c r="B683" t="s">
        <v>7890</v>
      </c>
      <c r="C683" t="s">
        <v>221</v>
      </c>
      <c r="D683" t="s">
        <v>7890</v>
      </c>
      <c r="E683" t="s">
        <v>7867</v>
      </c>
    </row>
    <row r="684" spans="1:5" x14ac:dyDescent="0.25">
      <c r="A684" t="s">
        <v>3781</v>
      </c>
      <c r="B684" t="s">
        <v>7890</v>
      </c>
      <c r="C684" t="s">
        <v>1881</v>
      </c>
      <c r="D684" t="s">
        <v>7890</v>
      </c>
      <c r="E684" t="s">
        <v>7867</v>
      </c>
    </row>
    <row r="685" spans="1:5" x14ac:dyDescent="0.25">
      <c r="A685" t="s">
        <v>3783</v>
      </c>
      <c r="B685" t="s">
        <v>7890</v>
      </c>
      <c r="C685" t="s">
        <v>1199</v>
      </c>
      <c r="D685" t="s">
        <v>7890</v>
      </c>
      <c r="E685" t="s">
        <v>7867</v>
      </c>
    </row>
    <row r="686" spans="1:5" x14ac:dyDescent="0.25">
      <c r="A686" t="s">
        <v>3785</v>
      </c>
      <c r="B686" t="s">
        <v>7890</v>
      </c>
      <c r="C686" t="s">
        <v>458</v>
      </c>
      <c r="D686" t="s">
        <v>7890</v>
      </c>
      <c r="E686" t="s">
        <v>7867</v>
      </c>
    </row>
    <row r="687" spans="1:5" x14ac:dyDescent="0.25">
      <c r="A687" t="s">
        <v>3787</v>
      </c>
      <c r="B687" t="s">
        <v>7890</v>
      </c>
      <c r="C687" t="s">
        <v>2333</v>
      </c>
      <c r="D687" t="s">
        <v>7890</v>
      </c>
      <c r="E687" t="s">
        <v>7867</v>
      </c>
    </row>
    <row r="688" spans="1:5" x14ac:dyDescent="0.25">
      <c r="A688" t="s">
        <v>3789</v>
      </c>
      <c r="B688" t="s">
        <v>7890</v>
      </c>
      <c r="C688" t="s">
        <v>188</v>
      </c>
      <c r="D688" t="s">
        <v>7890</v>
      </c>
      <c r="E688" t="s">
        <v>7867</v>
      </c>
    </row>
    <row r="689" spans="1:5" x14ac:dyDescent="0.25">
      <c r="A689" t="s">
        <v>3791</v>
      </c>
      <c r="B689" t="s">
        <v>7890</v>
      </c>
      <c r="C689" t="s">
        <v>24</v>
      </c>
      <c r="D689" t="s">
        <v>7890</v>
      </c>
      <c r="E689" t="s">
        <v>7867</v>
      </c>
    </row>
    <row r="690" spans="1:5" x14ac:dyDescent="0.25">
      <c r="A690" t="s">
        <v>3793</v>
      </c>
      <c r="B690" t="s">
        <v>7890</v>
      </c>
      <c r="C690" t="s">
        <v>1</v>
      </c>
      <c r="D690" t="s">
        <v>7890</v>
      </c>
      <c r="E690" t="s">
        <v>7867</v>
      </c>
    </row>
    <row r="691" spans="1:5" x14ac:dyDescent="0.25">
      <c r="A691" t="s">
        <v>3795</v>
      </c>
      <c r="B691" t="s">
        <v>7890</v>
      </c>
      <c r="C691" t="s">
        <v>471</v>
      </c>
      <c r="D691" t="s">
        <v>7890</v>
      </c>
      <c r="E691" t="s">
        <v>7867</v>
      </c>
    </row>
    <row r="692" spans="1:5" x14ac:dyDescent="0.25">
      <c r="A692" t="s">
        <v>3797</v>
      </c>
      <c r="B692" t="s">
        <v>7890</v>
      </c>
      <c r="C692" t="s">
        <v>7879</v>
      </c>
      <c r="D692" t="s">
        <v>7890</v>
      </c>
      <c r="E692" t="s">
        <v>7867</v>
      </c>
    </row>
    <row r="693" spans="1:5" x14ac:dyDescent="0.25">
      <c r="A693" t="s">
        <v>3799</v>
      </c>
      <c r="B693" t="s">
        <v>7890</v>
      </c>
      <c r="C693" t="s">
        <v>471</v>
      </c>
      <c r="D693" t="s">
        <v>7890</v>
      </c>
      <c r="E693" t="s">
        <v>7867</v>
      </c>
    </row>
    <row r="694" spans="1:5" x14ac:dyDescent="0.25">
      <c r="A694" t="s">
        <v>3801</v>
      </c>
      <c r="B694" t="s">
        <v>7890</v>
      </c>
      <c r="C694" t="s">
        <v>1</v>
      </c>
      <c r="D694" t="s">
        <v>7890</v>
      </c>
      <c r="E694" t="s">
        <v>7867</v>
      </c>
    </row>
    <row r="695" spans="1:5" x14ac:dyDescent="0.25">
      <c r="A695" t="s">
        <v>3803</v>
      </c>
      <c r="B695" t="s">
        <v>7890</v>
      </c>
      <c r="C695" t="s">
        <v>458</v>
      </c>
      <c r="D695" t="s">
        <v>7890</v>
      </c>
      <c r="E695" t="s">
        <v>7867</v>
      </c>
    </row>
    <row r="696" spans="1:5" x14ac:dyDescent="0.25">
      <c r="A696" t="s">
        <v>3805</v>
      </c>
      <c r="B696" t="s">
        <v>7890</v>
      </c>
      <c r="C696" t="s">
        <v>458</v>
      </c>
      <c r="D696" t="s">
        <v>7890</v>
      </c>
      <c r="E696" t="s">
        <v>7867</v>
      </c>
    </row>
    <row r="697" spans="1:5" x14ac:dyDescent="0.25">
      <c r="A697" t="s">
        <v>3807</v>
      </c>
      <c r="B697" t="s">
        <v>7890</v>
      </c>
      <c r="C697" t="s">
        <v>458</v>
      </c>
      <c r="D697" t="s">
        <v>7890</v>
      </c>
      <c r="E697" t="s">
        <v>7867</v>
      </c>
    </row>
    <row r="698" spans="1:5" x14ac:dyDescent="0.25">
      <c r="A698" t="s">
        <v>3809</v>
      </c>
      <c r="B698" t="s">
        <v>7890</v>
      </c>
      <c r="C698" t="s">
        <v>458</v>
      </c>
      <c r="D698" t="s">
        <v>7890</v>
      </c>
      <c r="E698" t="s">
        <v>7867</v>
      </c>
    </row>
    <row r="699" spans="1:5" x14ac:dyDescent="0.25">
      <c r="A699" t="s">
        <v>3811</v>
      </c>
      <c r="B699" t="s">
        <v>7890</v>
      </c>
      <c r="C699" t="s">
        <v>24</v>
      </c>
      <c r="D699" t="s">
        <v>7890</v>
      </c>
      <c r="E699" t="s">
        <v>7867</v>
      </c>
    </row>
    <row r="700" spans="1:5" x14ac:dyDescent="0.25">
      <c r="A700" t="s">
        <v>3813</v>
      </c>
      <c r="B700" t="s">
        <v>7890</v>
      </c>
      <c r="C700" t="s">
        <v>24</v>
      </c>
      <c r="D700" t="s">
        <v>7890</v>
      </c>
      <c r="E700" t="s">
        <v>7867</v>
      </c>
    </row>
    <row r="701" spans="1:5" x14ac:dyDescent="0.25">
      <c r="A701" t="s">
        <v>3815</v>
      </c>
      <c r="B701" t="s">
        <v>7890</v>
      </c>
      <c r="C701" t="s">
        <v>24</v>
      </c>
      <c r="D701" t="s">
        <v>7890</v>
      </c>
      <c r="E701" t="s">
        <v>7867</v>
      </c>
    </row>
    <row r="702" spans="1:5" x14ac:dyDescent="0.25">
      <c r="A702" t="s">
        <v>3817</v>
      </c>
      <c r="B702" t="s">
        <v>7890</v>
      </c>
      <c r="C702" t="s">
        <v>24</v>
      </c>
      <c r="D702" t="s">
        <v>7890</v>
      </c>
      <c r="E702" t="s">
        <v>7867</v>
      </c>
    </row>
    <row r="703" spans="1:5" x14ac:dyDescent="0.25">
      <c r="A703" t="s">
        <v>3819</v>
      </c>
      <c r="B703" t="s">
        <v>7890</v>
      </c>
      <c r="C703" t="s">
        <v>7879</v>
      </c>
      <c r="D703" t="s">
        <v>7890</v>
      </c>
      <c r="E703" t="s">
        <v>7867</v>
      </c>
    </row>
    <row r="704" spans="1:5" x14ac:dyDescent="0.25">
      <c r="A704" t="s">
        <v>3821</v>
      </c>
      <c r="B704" t="s">
        <v>7890</v>
      </c>
      <c r="C704" t="s">
        <v>7879</v>
      </c>
      <c r="D704" t="s">
        <v>7890</v>
      </c>
      <c r="E704" t="s">
        <v>7867</v>
      </c>
    </row>
    <row r="705" spans="1:5" x14ac:dyDescent="0.25">
      <c r="A705" t="s">
        <v>3823</v>
      </c>
      <c r="B705" t="s">
        <v>7890</v>
      </c>
      <c r="C705" t="s">
        <v>7879</v>
      </c>
      <c r="D705" t="s">
        <v>7890</v>
      </c>
      <c r="E705" t="s">
        <v>7867</v>
      </c>
    </row>
    <row r="706" spans="1:5" x14ac:dyDescent="0.25">
      <c r="A706" t="s">
        <v>3825</v>
      </c>
      <c r="B706" t="s">
        <v>7890</v>
      </c>
      <c r="C706" t="s">
        <v>304</v>
      </c>
      <c r="D706" t="s">
        <v>7890</v>
      </c>
      <c r="E706" t="s">
        <v>7867</v>
      </c>
    </row>
    <row r="707" spans="1:5" x14ac:dyDescent="0.25">
      <c r="A707" t="s">
        <v>3827</v>
      </c>
      <c r="B707" t="s">
        <v>7890</v>
      </c>
      <c r="C707" t="s">
        <v>304</v>
      </c>
      <c r="D707" t="s">
        <v>7890</v>
      </c>
      <c r="E707" t="s">
        <v>7867</v>
      </c>
    </row>
    <row r="708" spans="1:5" x14ac:dyDescent="0.25">
      <c r="A708" t="s">
        <v>3829</v>
      </c>
      <c r="B708" t="s">
        <v>7890</v>
      </c>
      <c r="C708" t="s">
        <v>304</v>
      </c>
      <c r="D708" t="s">
        <v>7890</v>
      </c>
      <c r="E708" t="s">
        <v>7867</v>
      </c>
    </row>
    <row r="709" spans="1:5" x14ac:dyDescent="0.25">
      <c r="A709" t="s">
        <v>3831</v>
      </c>
      <c r="B709" t="s">
        <v>7890</v>
      </c>
      <c r="C709" t="s">
        <v>304</v>
      </c>
      <c r="D709" t="s">
        <v>7890</v>
      </c>
      <c r="E709" t="s">
        <v>7867</v>
      </c>
    </row>
    <row r="710" spans="1:5" x14ac:dyDescent="0.25">
      <c r="A710" t="s">
        <v>3833</v>
      </c>
      <c r="B710" t="s">
        <v>7890</v>
      </c>
      <c r="C710" t="s">
        <v>188</v>
      </c>
      <c r="D710" t="s">
        <v>7890</v>
      </c>
      <c r="E710" t="s">
        <v>7867</v>
      </c>
    </row>
    <row r="711" spans="1:5" x14ac:dyDescent="0.25">
      <c r="A711" t="s">
        <v>3835</v>
      </c>
      <c r="B711" t="s">
        <v>7890</v>
      </c>
      <c r="C711" t="s">
        <v>471</v>
      </c>
      <c r="D711" t="s">
        <v>7890</v>
      </c>
      <c r="E711" t="s">
        <v>7867</v>
      </c>
    </row>
    <row r="712" spans="1:5" x14ac:dyDescent="0.25">
      <c r="A712" t="s">
        <v>3837</v>
      </c>
      <c r="B712" t="s">
        <v>7890</v>
      </c>
      <c r="C712" t="s">
        <v>471</v>
      </c>
      <c r="D712" t="s">
        <v>7890</v>
      </c>
      <c r="E712" t="s">
        <v>7867</v>
      </c>
    </row>
    <row r="713" spans="1:5" x14ac:dyDescent="0.25">
      <c r="A713" t="s">
        <v>3839</v>
      </c>
      <c r="B713" t="s">
        <v>7890</v>
      </c>
      <c r="C713" t="s">
        <v>471</v>
      </c>
      <c r="D713" t="s">
        <v>7890</v>
      </c>
      <c r="E713" t="s">
        <v>7867</v>
      </c>
    </row>
    <row r="714" spans="1:5" x14ac:dyDescent="0.25">
      <c r="A714" t="s">
        <v>3841</v>
      </c>
      <c r="B714" t="s">
        <v>7890</v>
      </c>
      <c r="C714" t="s">
        <v>471</v>
      </c>
      <c r="D714" t="s">
        <v>7890</v>
      </c>
      <c r="E714" t="s">
        <v>7867</v>
      </c>
    </row>
    <row r="715" spans="1:5" x14ac:dyDescent="0.25">
      <c r="A715" t="s">
        <v>3843</v>
      </c>
      <c r="B715" t="s">
        <v>7890</v>
      </c>
      <c r="C715" t="s">
        <v>471</v>
      </c>
      <c r="D715" t="s">
        <v>7890</v>
      </c>
      <c r="E715" t="s">
        <v>7867</v>
      </c>
    </row>
    <row r="716" spans="1:5" x14ac:dyDescent="0.25">
      <c r="A716" t="s">
        <v>3845</v>
      </c>
      <c r="B716" t="s">
        <v>7890</v>
      </c>
      <c r="C716" t="s">
        <v>2333</v>
      </c>
      <c r="D716" t="s">
        <v>7890</v>
      </c>
      <c r="E716" t="s">
        <v>7867</v>
      </c>
    </row>
    <row r="717" spans="1:5" x14ac:dyDescent="0.25">
      <c r="A717" t="s">
        <v>3847</v>
      </c>
      <c r="B717" t="s">
        <v>7890</v>
      </c>
      <c r="C717" t="s">
        <v>2333</v>
      </c>
      <c r="D717" t="s">
        <v>7890</v>
      </c>
      <c r="E717" t="s">
        <v>7867</v>
      </c>
    </row>
    <row r="718" spans="1:5" x14ac:dyDescent="0.25">
      <c r="A718" t="s">
        <v>3849</v>
      </c>
      <c r="B718" t="s">
        <v>7890</v>
      </c>
      <c r="C718" t="s">
        <v>2333</v>
      </c>
      <c r="D718" t="s">
        <v>7890</v>
      </c>
      <c r="E718" t="s">
        <v>7867</v>
      </c>
    </row>
    <row r="719" spans="1:5" x14ac:dyDescent="0.25">
      <c r="A719" t="s">
        <v>3851</v>
      </c>
      <c r="B719" t="s">
        <v>7890</v>
      </c>
      <c r="C719" t="s">
        <v>2333</v>
      </c>
      <c r="D719" t="s">
        <v>7890</v>
      </c>
      <c r="E719" t="s">
        <v>7867</v>
      </c>
    </row>
    <row r="720" spans="1:5" x14ac:dyDescent="0.25">
      <c r="A720" t="s">
        <v>3853</v>
      </c>
      <c r="B720" t="s">
        <v>7890</v>
      </c>
      <c r="C720" t="s">
        <v>2333</v>
      </c>
      <c r="D720" t="s">
        <v>7890</v>
      </c>
      <c r="E720" t="s">
        <v>7867</v>
      </c>
    </row>
    <row r="721" spans="1:5" x14ac:dyDescent="0.25">
      <c r="A721" t="s">
        <v>3855</v>
      </c>
      <c r="B721" t="s">
        <v>7890</v>
      </c>
      <c r="C721" t="s">
        <v>3922</v>
      </c>
      <c r="D721" t="s">
        <v>7890</v>
      </c>
      <c r="E721" t="s">
        <v>7867</v>
      </c>
    </row>
    <row r="722" spans="1:5" x14ac:dyDescent="0.25">
      <c r="A722" t="s">
        <v>3857</v>
      </c>
      <c r="B722" t="s">
        <v>7890</v>
      </c>
      <c r="C722" t="s">
        <v>3922</v>
      </c>
      <c r="D722" t="s">
        <v>7890</v>
      </c>
      <c r="E722" t="s">
        <v>7867</v>
      </c>
    </row>
    <row r="723" spans="1:5" x14ac:dyDescent="0.25">
      <c r="A723" t="s">
        <v>3859</v>
      </c>
      <c r="B723" t="s">
        <v>7890</v>
      </c>
      <c r="C723" t="s">
        <v>3922</v>
      </c>
      <c r="D723" t="s">
        <v>7890</v>
      </c>
      <c r="E723" t="s">
        <v>7867</v>
      </c>
    </row>
    <row r="724" spans="1:5" x14ac:dyDescent="0.25">
      <c r="A724" t="s">
        <v>3861</v>
      </c>
      <c r="B724" t="s">
        <v>7890</v>
      </c>
      <c r="C724" t="s">
        <v>3922</v>
      </c>
      <c r="D724" t="s">
        <v>7890</v>
      </c>
      <c r="E724" t="s">
        <v>7867</v>
      </c>
    </row>
    <row r="725" spans="1:5" x14ac:dyDescent="0.25">
      <c r="A725" t="s">
        <v>3863</v>
      </c>
      <c r="B725" t="s">
        <v>7890</v>
      </c>
      <c r="C725" t="s">
        <v>3922</v>
      </c>
      <c r="D725" t="s">
        <v>7890</v>
      </c>
      <c r="E725" t="s">
        <v>7867</v>
      </c>
    </row>
    <row r="726" spans="1:5" x14ac:dyDescent="0.25">
      <c r="A726" t="s">
        <v>3865</v>
      </c>
      <c r="B726" t="s">
        <v>7890</v>
      </c>
      <c r="C726" t="s">
        <v>3922</v>
      </c>
      <c r="D726" t="s">
        <v>7890</v>
      </c>
      <c r="E726" t="s">
        <v>7867</v>
      </c>
    </row>
    <row r="727" spans="1:5" x14ac:dyDescent="0.25">
      <c r="A727" t="s">
        <v>3867</v>
      </c>
      <c r="B727" t="s">
        <v>7890</v>
      </c>
      <c r="C727" t="s">
        <v>3922</v>
      </c>
      <c r="D727" t="s">
        <v>7890</v>
      </c>
      <c r="E727" t="s">
        <v>7867</v>
      </c>
    </row>
    <row r="728" spans="1:5" x14ac:dyDescent="0.25">
      <c r="A728" t="s">
        <v>3869</v>
      </c>
      <c r="B728" t="s">
        <v>7890</v>
      </c>
      <c r="C728" t="s">
        <v>3922</v>
      </c>
      <c r="D728" t="s">
        <v>7890</v>
      </c>
      <c r="E728" t="s">
        <v>7867</v>
      </c>
    </row>
    <row r="729" spans="1:5" x14ac:dyDescent="0.25">
      <c r="A729" t="s">
        <v>3871</v>
      </c>
      <c r="B729" t="s">
        <v>7890</v>
      </c>
      <c r="C729" t="s">
        <v>7879</v>
      </c>
      <c r="D729" t="s">
        <v>7890</v>
      </c>
      <c r="E729" t="s">
        <v>7867</v>
      </c>
    </row>
    <row r="730" spans="1:5" x14ac:dyDescent="0.25">
      <c r="A730" t="s">
        <v>3873</v>
      </c>
      <c r="B730" t="s">
        <v>7890</v>
      </c>
      <c r="C730" t="s">
        <v>7879</v>
      </c>
      <c r="D730" t="s">
        <v>7890</v>
      </c>
      <c r="E730" t="s">
        <v>7867</v>
      </c>
    </row>
    <row r="731" spans="1:5" x14ac:dyDescent="0.25">
      <c r="A731" t="s">
        <v>3875</v>
      </c>
      <c r="B731" t="s">
        <v>7890</v>
      </c>
      <c r="C731" t="s">
        <v>7879</v>
      </c>
      <c r="D731" t="s">
        <v>7890</v>
      </c>
      <c r="E731" t="s">
        <v>7867</v>
      </c>
    </row>
    <row r="732" spans="1:5" x14ac:dyDescent="0.25">
      <c r="A732" t="s">
        <v>3877</v>
      </c>
      <c r="B732" t="s">
        <v>7890</v>
      </c>
      <c r="C732" t="s">
        <v>7879</v>
      </c>
      <c r="D732" t="s">
        <v>7890</v>
      </c>
      <c r="E732" t="s">
        <v>7867</v>
      </c>
    </row>
    <row r="733" spans="1:5" x14ac:dyDescent="0.25">
      <c r="A733" t="s">
        <v>3879</v>
      </c>
      <c r="B733" t="s">
        <v>7890</v>
      </c>
      <c r="C733" t="s">
        <v>7879</v>
      </c>
      <c r="D733" t="s">
        <v>7890</v>
      </c>
      <c r="E733" t="s">
        <v>7867</v>
      </c>
    </row>
    <row r="734" spans="1:5" x14ac:dyDescent="0.25">
      <c r="A734" t="s">
        <v>3881</v>
      </c>
      <c r="B734" t="s">
        <v>7890</v>
      </c>
      <c r="C734" t="s">
        <v>419</v>
      </c>
      <c r="D734" t="s">
        <v>7890</v>
      </c>
      <c r="E734" t="s">
        <v>7867</v>
      </c>
    </row>
    <row r="735" spans="1:5" x14ac:dyDescent="0.25">
      <c r="A735" t="s">
        <v>3884</v>
      </c>
      <c r="B735" t="s">
        <v>7890</v>
      </c>
      <c r="C735" t="s">
        <v>419</v>
      </c>
      <c r="D735" t="s">
        <v>7890</v>
      </c>
      <c r="E735" t="s">
        <v>7867</v>
      </c>
    </row>
    <row r="736" spans="1:5" x14ac:dyDescent="0.25">
      <c r="A736" t="s">
        <v>3887</v>
      </c>
      <c r="B736" t="s">
        <v>7890</v>
      </c>
      <c r="C736" t="s">
        <v>170</v>
      </c>
      <c r="D736" t="s">
        <v>7890</v>
      </c>
      <c r="E736" t="s">
        <v>7867</v>
      </c>
    </row>
    <row r="737" spans="1:5" x14ac:dyDescent="0.25">
      <c r="A737" t="s">
        <v>3889</v>
      </c>
      <c r="B737" t="s">
        <v>7890</v>
      </c>
      <c r="C737" t="s">
        <v>170</v>
      </c>
      <c r="D737" t="s">
        <v>7890</v>
      </c>
      <c r="E737" t="s">
        <v>7867</v>
      </c>
    </row>
    <row r="738" spans="1:5" x14ac:dyDescent="0.25">
      <c r="A738" t="s">
        <v>3891</v>
      </c>
      <c r="B738" t="s">
        <v>7890</v>
      </c>
      <c r="C738" t="s">
        <v>304</v>
      </c>
      <c r="D738" t="s">
        <v>7890</v>
      </c>
      <c r="E738" t="s">
        <v>7867</v>
      </c>
    </row>
    <row r="739" spans="1:5" x14ac:dyDescent="0.25">
      <c r="A739" t="s">
        <v>3893</v>
      </c>
      <c r="B739" t="s">
        <v>7890</v>
      </c>
      <c r="C739" t="s">
        <v>3928</v>
      </c>
      <c r="D739" t="s">
        <v>7890</v>
      </c>
      <c r="E739" t="s">
        <v>7867</v>
      </c>
    </row>
    <row r="740" spans="1:5" x14ac:dyDescent="0.25">
      <c r="A740" t="s">
        <v>3895</v>
      </c>
      <c r="B740" t="s">
        <v>7890</v>
      </c>
      <c r="C740" t="s">
        <v>858</v>
      </c>
      <c r="D740" t="s">
        <v>7890</v>
      </c>
      <c r="E740" t="s">
        <v>7867</v>
      </c>
    </row>
    <row r="741" spans="1:5" x14ac:dyDescent="0.25">
      <c r="A741" t="s">
        <v>3897</v>
      </c>
      <c r="B741" t="s">
        <v>7890</v>
      </c>
      <c r="C741" t="s">
        <v>866</v>
      </c>
      <c r="D741" t="s">
        <v>7890</v>
      </c>
      <c r="E741" t="s">
        <v>7867</v>
      </c>
    </row>
    <row r="742" spans="1:5" x14ac:dyDescent="0.25">
      <c r="A742" t="s">
        <v>3899</v>
      </c>
      <c r="B742" t="s">
        <v>7890</v>
      </c>
      <c r="C742" t="s">
        <v>866</v>
      </c>
      <c r="D742" t="s">
        <v>7890</v>
      </c>
      <c r="E742" t="s">
        <v>7867</v>
      </c>
    </row>
    <row r="743" spans="1:5" x14ac:dyDescent="0.25">
      <c r="A743" t="s">
        <v>3901</v>
      </c>
      <c r="B743" t="s">
        <v>7890</v>
      </c>
      <c r="C743" t="s">
        <v>183</v>
      </c>
      <c r="D743" t="s">
        <v>7890</v>
      </c>
      <c r="E743" t="s">
        <v>7867</v>
      </c>
    </row>
    <row r="744" spans="1:5" x14ac:dyDescent="0.25">
      <c r="A744" t="s">
        <v>3903</v>
      </c>
      <c r="B744" t="s">
        <v>7890</v>
      </c>
      <c r="C744" t="s">
        <v>183</v>
      </c>
      <c r="D744" t="s">
        <v>7890</v>
      </c>
      <c r="E744" t="s">
        <v>7867</v>
      </c>
    </row>
    <row r="745" spans="1:5" x14ac:dyDescent="0.25">
      <c r="A745" t="s">
        <v>3905</v>
      </c>
      <c r="B745" t="s">
        <v>7890</v>
      </c>
      <c r="C745" t="s">
        <v>183</v>
      </c>
      <c r="D745" t="s">
        <v>7890</v>
      </c>
      <c r="E745" t="s">
        <v>7867</v>
      </c>
    </row>
    <row r="746" spans="1:5" x14ac:dyDescent="0.25">
      <c r="A746" t="s">
        <v>3907</v>
      </c>
      <c r="B746" t="s">
        <v>7890</v>
      </c>
      <c r="C746" t="s">
        <v>4144</v>
      </c>
      <c r="D746" t="s">
        <v>7890</v>
      </c>
      <c r="E746" t="s">
        <v>7867</v>
      </c>
    </row>
    <row r="747" spans="1:5" x14ac:dyDescent="0.25">
      <c r="A747" t="s">
        <v>3909</v>
      </c>
      <c r="B747" t="s">
        <v>7890</v>
      </c>
      <c r="C747" t="s">
        <v>4144</v>
      </c>
      <c r="D747" t="s">
        <v>7890</v>
      </c>
      <c r="E747" t="s">
        <v>7867</v>
      </c>
    </row>
    <row r="748" spans="1:5" x14ac:dyDescent="0.25">
      <c r="A748" t="s">
        <v>3911</v>
      </c>
      <c r="B748" t="s">
        <v>7890</v>
      </c>
      <c r="C748" t="s">
        <v>3922</v>
      </c>
      <c r="D748" t="s">
        <v>7890</v>
      </c>
      <c r="E748" t="s">
        <v>7867</v>
      </c>
    </row>
    <row r="749" spans="1:5" x14ac:dyDescent="0.25">
      <c r="A749" t="s">
        <v>3913</v>
      </c>
      <c r="B749" t="s">
        <v>7890</v>
      </c>
      <c r="C749" t="s">
        <v>3922</v>
      </c>
      <c r="D749" t="s">
        <v>7890</v>
      </c>
      <c r="E749" t="s">
        <v>7867</v>
      </c>
    </row>
    <row r="750" spans="1:5" x14ac:dyDescent="0.25">
      <c r="A750" t="s">
        <v>3915</v>
      </c>
      <c r="B750" t="s">
        <v>7890</v>
      </c>
      <c r="C750" t="s">
        <v>3922</v>
      </c>
      <c r="D750" t="s">
        <v>7890</v>
      </c>
      <c r="E750" t="s">
        <v>7867</v>
      </c>
    </row>
    <row r="751" spans="1:5" x14ac:dyDescent="0.25">
      <c r="A751" t="s">
        <v>3917</v>
      </c>
      <c r="B751" t="s">
        <v>7890</v>
      </c>
      <c r="C751" t="s">
        <v>3922</v>
      </c>
      <c r="D751" t="s">
        <v>7890</v>
      </c>
      <c r="E751" t="s">
        <v>7867</v>
      </c>
    </row>
    <row r="752" spans="1:5" x14ac:dyDescent="0.25">
      <c r="A752" t="s">
        <v>3919</v>
      </c>
      <c r="B752" t="s">
        <v>7890</v>
      </c>
      <c r="C752" t="s">
        <v>183</v>
      </c>
      <c r="D752" t="s">
        <v>7890</v>
      </c>
      <c r="E752" t="s">
        <v>7867</v>
      </c>
    </row>
    <row r="753" spans="1:5" x14ac:dyDescent="0.25">
      <c r="A753" t="s">
        <v>3930</v>
      </c>
      <c r="B753" t="s">
        <v>7890</v>
      </c>
      <c r="C753" t="s">
        <v>304</v>
      </c>
      <c r="D753" t="s">
        <v>7890</v>
      </c>
      <c r="E753" t="s">
        <v>7867</v>
      </c>
    </row>
    <row r="754" spans="1:5" x14ac:dyDescent="0.25">
      <c r="A754" t="s">
        <v>3932</v>
      </c>
      <c r="B754" t="s">
        <v>7890</v>
      </c>
      <c r="C754" t="s">
        <v>1666</v>
      </c>
      <c r="D754" t="s">
        <v>7890</v>
      </c>
      <c r="E754" t="s">
        <v>7867</v>
      </c>
    </row>
    <row r="755" spans="1:5" x14ac:dyDescent="0.25">
      <c r="A755" t="s">
        <v>3938</v>
      </c>
      <c r="B755" t="s">
        <v>7890</v>
      </c>
      <c r="C755" t="s">
        <v>1222</v>
      </c>
      <c r="D755" t="s">
        <v>7890</v>
      </c>
      <c r="E755" t="s">
        <v>7867</v>
      </c>
    </row>
    <row r="756" spans="1:5" x14ac:dyDescent="0.25">
      <c r="A756" t="s">
        <v>3943</v>
      </c>
      <c r="B756" t="s">
        <v>7890</v>
      </c>
      <c r="C756" t="s">
        <v>183</v>
      </c>
      <c r="D756" t="s">
        <v>7890</v>
      </c>
      <c r="E756" t="s">
        <v>7867</v>
      </c>
    </row>
    <row r="757" spans="1:5" x14ac:dyDescent="0.25">
      <c r="A757" t="s">
        <v>3956</v>
      </c>
      <c r="B757" t="s">
        <v>7890</v>
      </c>
      <c r="C757" t="s">
        <v>139</v>
      </c>
      <c r="D757" t="s">
        <v>7890</v>
      </c>
      <c r="E757" t="s">
        <v>7867</v>
      </c>
    </row>
    <row r="758" spans="1:5" x14ac:dyDescent="0.25">
      <c r="A758" t="s">
        <v>3957</v>
      </c>
      <c r="B758" t="s">
        <v>7890</v>
      </c>
      <c r="C758" t="s">
        <v>717</v>
      </c>
      <c r="D758" t="s">
        <v>7890</v>
      </c>
      <c r="E758" t="s">
        <v>7867</v>
      </c>
    </row>
    <row r="759" spans="1:5" x14ac:dyDescent="0.25">
      <c r="A759" t="s">
        <v>3963</v>
      </c>
      <c r="B759" t="s">
        <v>7890</v>
      </c>
      <c r="C759" t="s">
        <v>139</v>
      </c>
      <c r="D759" t="s">
        <v>7890</v>
      </c>
      <c r="E759" t="s">
        <v>7867</v>
      </c>
    </row>
    <row r="760" spans="1:5" x14ac:dyDescent="0.25">
      <c r="A760" t="s">
        <v>3967</v>
      </c>
      <c r="B760" t="s">
        <v>7890</v>
      </c>
      <c r="C760" t="s">
        <v>3962</v>
      </c>
      <c r="D760" t="s">
        <v>7890</v>
      </c>
      <c r="E760" t="s">
        <v>7867</v>
      </c>
    </row>
    <row r="761" spans="1:5" x14ac:dyDescent="0.25">
      <c r="A761" t="s">
        <v>3968</v>
      </c>
      <c r="B761" t="s">
        <v>7890</v>
      </c>
      <c r="C761" t="s">
        <v>139</v>
      </c>
      <c r="D761" t="s">
        <v>7890</v>
      </c>
      <c r="E761" t="s">
        <v>7867</v>
      </c>
    </row>
    <row r="762" spans="1:5" x14ac:dyDescent="0.25">
      <c r="A762" t="s">
        <v>3969</v>
      </c>
      <c r="B762" t="s">
        <v>7890</v>
      </c>
      <c r="C762" t="s">
        <v>717</v>
      </c>
      <c r="D762" t="s">
        <v>7890</v>
      </c>
      <c r="E762" t="s">
        <v>7867</v>
      </c>
    </row>
    <row r="763" spans="1:5" x14ac:dyDescent="0.25">
      <c r="A763" t="s">
        <v>3973</v>
      </c>
      <c r="B763" t="s">
        <v>7890</v>
      </c>
      <c r="C763" t="s">
        <v>139</v>
      </c>
      <c r="D763" t="s">
        <v>7890</v>
      </c>
      <c r="E763" t="s">
        <v>7867</v>
      </c>
    </row>
    <row r="764" spans="1:5" x14ac:dyDescent="0.25">
      <c r="A764" t="s">
        <v>3978</v>
      </c>
      <c r="B764" t="s">
        <v>7890</v>
      </c>
      <c r="C764" t="s">
        <v>1153</v>
      </c>
      <c r="D764" t="s">
        <v>7890</v>
      </c>
      <c r="E764" t="s">
        <v>7867</v>
      </c>
    </row>
    <row r="765" spans="1:5" x14ac:dyDescent="0.25">
      <c r="A765" t="s">
        <v>3988</v>
      </c>
      <c r="B765" t="s">
        <v>7890</v>
      </c>
      <c r="C765" t="s">
        <v>1153</v>
      </c>
      <c r="D765" t="s">
        <v>7890</v>
      </c>
      <c r="E765" t="s">
        <v>7867</v>
      </c>
    </row>
    <row r="766" spans="1:5" x14ac:dyDescent="0.25">
      <c r="A766" t="s">
        <v>3997</v>
      </c>
      <c r="B766" t="s">
        <v>7890</v>
      </c>
      <c r="C766" t="s">
        <v>7884</v>
      </c>
      <c r="D766" t="s">
        <v>7890</v>
      </c>
      <c r="E766" t="s">
        <v>7867</v>
      </c>
    </row>
    <row r="767" spans="1:5" x14ac:dyDescent="0.25">
      <c r="A767" t="s">
        <v>3999</v>
      </c>
      <c r="B767" t="s">
        <v>7890</v>
      </c>
      <c r="C767" t="s">
        <v>7884</v>
      </c>
      <c r="D767" t="s">
        <v>7890</v>
      </c>
      <c r="E767" t="s">
        <v>7867</v>
      </c>
    </row>
    <row r="768" spans="1:5" x14ac:dyDescent="0.25">
      <c r="A768" t="s">
        <v>4001</v>
      </c>
      <c r="B768" t="s">
        <v>7890</v>
      </c>
      <c r="C768" t="s">
        <v>75</v>
      </c>
      <c r="D768" t="s">
        <v>7890</v>
      </c>
      <c r="E768" t="s">
        <v>7867</v>
      </c>
    </row>
    <row r="769" spans="1:5" x14ac:dyDescent="0.25">
      <c r="A769" t="s">
        <v>4003</v>
      </c>
      <c r="B769" t="s">
        <v>7890</v>
      </c>
      <c r="C769" t="s">
        <v>2062</v>
      </c>
      <c r="D769" t="s">
        <v>7890</v>
      </c>
      <c r="E769" t="s">
        <v>7867</v>
      </c>
    </row>
    <row r="770" spans="1:5" x14ac:dyDescent="0.25">
      <c r="A770" t="s">
        <v>4007</v>
      </c>
      <c r="B770" t="s">
        <v>7890</v>
      </c>
      <c r="C770" t="s">
        <v>69</v>
      </c>
      <c r="D770" t="s">
        <v>7890</v>
      </c>
      <c r="E770" t="s">
        <v>7867</v>
      </c>
    </row>
    <row r="771" spans="1:5" x14ac:dyDescent="0.25">
      <c r="A771" t="s">
        <v>4012</v>
      </c>
      <c r="B771" t="s">
        <v>7890</v>
      </c>
      <c r="C771" t="s">
        <v>5801</v>
      </c>
      <c r="D771" t="s">
        <v>7890</v>
      </c>
      <c r="E771" t="s">
        <v>7867</v>
      </c>
    </row>
    <row r="772" spans="1:5" x14ac:dyDescent="0.25">
      <c r="A772" t="s">
        <v>4015</v>
      </c>
      <c r="B772" t="s">
        <v>7890</v>
      </c>
      <c r="C772" t="s">
        <v>479</v>
      </c>
      <c r="D772" t="s">
        <v>7890</v>
      </c>
      <c r="E772" t="s">
        <v>7867</v>
      </c>
    </row>
    <row r="773" spans="1:5" x14ac:dyDescent="0.25">
      <c r="A773" t="s">
        <v>4020</v>
      </c>
      <c r="B773" t="s">
        <v>7890</v>
      </c>
      <c r="C773" t="s">
        <v>2931</v>
      </c>
      <c r="D773" t="s">
        <v>7890</v>
      </c>
      <c r="E773" t="s">
        <v>7867</v>
      </c>
    </row>
    <row r="774" spans="1:5" x14ac:dyDescent="0.25">
      <c r="A774" t="s">
        <v>4022</v>
      </c>
      <c r="B774" t="s">
        <v>7890</v>
      </c>
      <c r="C774" t="s">
        <v>139</v>
      </c>
      <c r="D774" t="s">
        <v>7890</v>
      </c>
      <c r="E774" t="s">
        <v>7867</v>
      </c>
    </row>
    <row r="775" spans="1:5" x14ac:dyDescent="0.25">
      <c r="A775" t="s">
        <v>4027</v>
      </c>
      <c r="B775" t="s">
        <v>7890</v>
      </c>
      <c r="C775" t="s">
        <v>1153</v>
      </c>
      <c r="D775" t="s">
        <v>7890</v>
      </c>
      <c r="E775" t="s">
        <v>7867</v>
      </c>
    </row>
    <row r="776" spans="1:5" x14ac:dyDescent="0.25">
      <c r="A776" t="s">
        <v>4036</v>
      </c>
      <c r="B776" t="s">
        <v>7890</v>
      </c>
      <c r="C776" t="s">
        <v>1153</v>
      </c>
      <c r="D776" t="s">
        <v>7890</v>
      </c>
      <c r="E776" t="s">
        <v>7867</v>
      </c>
    </row>
    <row r="777" spans="1:5" x14ac:dyDescent="0.25">
      <c r="A777" t="s">
        <v>4038</v>
      </c>
      <c r="B777" t="s">
        <v>7890</v>
      </c>
      <c r="C777" t="s">
        <v>507</v>
      </c>
      <c r="D777" t="s">
        <v>7890</v>
      </c>
      <c r="E777" t="s">
        <v>7867</v>
      </c>
    </row>
    <row r="778" spans="1:5" x14ac:dyDescent="0.25">
      <c r="A778" t="s">
        <v>4043</v>
      </c>
      <c r="B778" t="s">
        <v>7890</v>
      </c>
      <c r="C778" t="s">
        <v>5083</v>
      </c>
      <c r="D778" t="s">
        <v>7890</v>
      </c>
      <c r="E778" t="s">
        <v>7867</v>
      </c>
    </row>
    <row r="779" spans="1:5" x14ac:dyDescent="0.25">
      <c r="A779" t="s">
        <v>4044</v>
      </c>
      <c r="B779" t="s">
        <v>7890</v>
      </c>
      <c r="C779" t="s">
        <v>92</v>
      </c>
      <c r="D779" t="s">
        <v>7890</v>
      </c>
      <c r="E779" t="s">
        <v>7867</v>
      </c>
    </row>
    <row r="780" spans="1:5" x14ac:dyDescent="0.25">
      <c r="A780" t="s">
        <v>4057</v>
      </c>
      <c r="B780" t="s">
        <v>7890</v>
      </c>
      <c r="C780" t="s">
        <v>15</v>
      </c>
      <c r="D780" t="s">
        <v>7890</v>
      </c>
      <c r="E780" t="s">
        <v>7867</v>
      </c>
    </row>
    <row r="781" spans="1:5" x14ac:dyDescent="0.25">
      <c r="A781" t="s">
        <v>4071</v>
      </c>
      <c r="B781" t="s">
        <v>7890</v>
      </c>
      <c r="C781" t="s">
        <v>903</v>
      </c>
      <c r="D781" t="s">
        <v>7890</v>
      </c>
      <c r="E781" t="s">
        <v>7867</v>
      </c>
    </row>
    <row r="782" spans="1:5" x14ac:dyDescent="0.25">
      <c r="A782" t="s">
        <v>4073</v>
      </c>
      <c r="B782" t="s">
        <v>7890</v>
      </c>
      <c r="C782" t="s">
        <v>1228</v>
      </c>
      <c r="D782" t="s">
        <v>7890</v>
      </c>
      <c r="E782" t="s">
        <v>7867</v>
      </c>
    </row>
    <row r="783" spans="1:5" x14ac:dyDescent="0.25">
      <c r="A783" t="s">
        <v>4076</v>
      </c>
      <c r="B783" t="s">
        <v>7890</v>
      </c>
      <c r="C783" t="s">
        <v>7881</v>
      </c>
      <c r="D783" t="s">
        <v>7890</v>
      </c>
      <c r="E783" t="s">
        <v>7867</v>
      </c>
    </row>
    <row r="784" spans="1:5" x14ac:dyDescent="0.25">
      <c r="A784" t="s">
        <v>4085</v>
      </c>
      <c r="B784" t="s">
        <v>7890</v>
      </c>
      <c r="C784" t="s">
        <v>1222</v>
      </c>
      <c r="D784" t="s">
        <v>7890</v>
      </c>
      <c r="E784" t="s">
        <v>7867</v>
      </c>
    </row>
    <row r="785" spans="1:5" x14ac:dyDescent="0.25">
      <c r="A785" t="s">
        <v>4091</v>
      </c>
      <c r="B785" t="s">
        <v>7890</v>
      </c>
      <c r="C785" t="s">
        <v>7461</v>
      </c>
      <c r="D785" t="s">
        <v>7890</v>
      </c>
      <c r="E785" t="s">
        <v>7867</v>
      </c>
    </row>
    <row r="786" spans="1:5" x14ac:dyDescent="0.25">
      <c r="A786" t="s">
        <v>4096</v>
      </c>
      <c r="B786" t="s">
        <v>7890</v>
      </c>
      <c r="C786" t="s">
        <v>3649</v>
      </c>
      <c r="D786" t="s">
        <v>7890</v>
      </c>
      <c r="E786" t="s">
        <v>7867</v>
      </c>
    </row>
    <row r="787" spans="1:5" x14ac:dyDescent="0.25">
      <c r="A787" t="s">
        <v>4098</v>
      </c>
      <c r="B787" t="s">
        <v>7890</v>
      </c>
      <c r="C787" t="s">
        <v>212</v>
      </c>
      <c r="D787" t="s">
        <v>7890</v>
      </c>
      <c r="E787" t="s">
        <v>7867</v>
      </c>
    </row>
    <row r="788" spans="1:5" x14ac:dyDescent="0.25">
      <c r="A788" t="s">
        <v>4107</v>
      </c>
      <c r="B788" t="s">
        <v>7890</v>
      </c>
      <c r="C788" t="s">
        <v>1244</v>
      </c>
      <c r="D788" t="s">
        <v>7890</v>
      </c>
      <c r="E788" t="s">
        <v>7867</v>
      </c>
    </row>
    <row r="789" spans="1:5" x14ac:dyDescent="0.25">
      <c r="A789" t="s">
        <v>4118</v>
      </c>
      <c r="B789" t="s">
        <v>7890</v>
      </c>
      <c r="C789" t="s">
        <v>2375</v>
      </c>
      <c r="D789" t="s">
        <v>7890</v>
      </c>
      <c r="E789" t="s">
        <v>7867</v>
      </c>
    </row>
    <row r="790" spans="1:5" x14ac:dyDescent="0.25">
      <c r="A790" t="s">
        <v>4128</v>
      </c>
      <c r="B790" t="s">
        <v>7890</v>
      </c>
      <c r="C790" t="s">
        <v>1881</v>
      </c>
      <c r="D790" t="s">
        <v>7890</v>
      </c>
      <c r="E790" t="s">
        <v>7867</v>
      </c>
    </row>
    <row r="791" spans="1:5" x14ac:dyDescent="0.25">
      <c r="A791" t="s">
        <v>4131</v>
      </c>
      <c r="B791" t="s">
        <v>7890</v>
      </c>
      <c r="C791" t="s">
        <v>458</v>
      </c>
      <c r="D791" t="s">
        <v>7890</v>
      </c>
      <c r="E791" t="s">
        <v>7867</v>
      </c>
    </row>
    <row r="792" spans="1:5" x14ac:dyDescent="0.25">
      <c r="A792" t="s">
        <v>4137</v>
      </c>
      <c r="B792" t="s">
        <v>7890</v>
      </c>
      <c r="C792" t="s">
        <v>7879</v>
      </c>
      <c r="D792" t="s">
        <v>7890</v>
      </c>
      <c r="E792" t="s">
        <v>7867</v>
      </c>
    </row>
    <row r="793" spans="1:5" x14ac:dyDescent="0.25">
      <c r="A793" t="s">
        <v>4148</v>
      </c>
      <c r="B793" t="s">
        <v>7890</v>
      </c>
      <c r="C793" t="s">
        <v>61</v>
      </c>
      <c r="D793" t="s">
        <v>7890</v>
      </c>
      <c r="E793" t="s">
        <v>7867</v>
      </c>
    </row>
    <row r="794" spans="1:5" x14ac:dyDescent="0.25">
      <c r="A794" t="s">
        <v>4153</v>
      </c>
      <c r="B794" t="s">
        <v>7890</v>
      </c>
      <c r="C794" t="s">
        <v>7141</v>
      </c>
      <c r="D794" t="s">
        <v>7890</v>
      </c>
      <c r="E794" t="s">
        <v>7867</v>
      </c>
    </row>
    <row r="795" spans="1:5" x14ac:dyDescent="0.25">
      <c r="A795" t="s">
        <v>4157</v>
      </c>
      <c r="B795" t="s">
        <v>7890</v>
      </c>
      <c r="C795" t="s">
        <v>6904</v>
      </c>
      <c r="D795" t="s">
        <v>7890</v>
      </c>
      <c r="E795" t="s">
        <v>7867</v>
      </c>
    </row>
    <row r="796" spans="1:5" x14ac:dyDescent="0.25">
      <c r="A796" t="s">
        <v>4161</v>
      </c>
      <c r="B796" t="s">
        <v>7890</v>
      </c>
      <c r="C796" t="s">
        <v>7882</v>
      </c>
      <c r="D796" t="s">
        <v>7890</v>
      </c>
      <c r="E796" t="s">
        <v>7867</v>
      </c>
    </row>
    <row r="797" spans="1:5" x14ac:dyDescent="0.25">
      <c r="A797" t="s">
        <v>4165</v>
      </c>
      <c r="B797" t="s">
        <v>7890</v>
      </c>
      <c r="C797" t="s">
        <v>130</v>
      </c>
      <c r="D797" t="s">
        <v>7890</v>
      </c>
      <c r="E797" t="s">
        <v>7867</v>
      </c>
    </row>
    <row r="798" spans="1:5" x14ac:dyDescent="0.25">
      <c r="A798" t="s">
        <v>4166</v>
      </c>
      <c r="B798" t="s">
        <v>7890</v>
      </c>
      <c r="C798" t="s">
        <v>429</v>
      </c>
      <c r="D798" t="s">
        <v>7890</v>
      </c>
      <c r="E798" t="s">
        <v>7867</v>
      </c>
    </row>
    <row r="799" spans="1:5" x14ac:dyDescent="0.25">
      <c r="A799" t="s">
        <v>4177</v>
      </c>
      <c r="B799" t="s">
        <v>7890</v>
      </c>
      <c r="C799" t="s">
        <v>1057</v>
      </c>
      <c r="D799" t="s">
        <v>7890</v>
      </c>
      <c r="E799" t="s">
        <v>7867</v>
      </c>
    </row>
    <row r="800" spans="1:5" x14ac:dyDescent="0.25">
      <c r="A800" t="s">
        <v>4183</v>
      </c>
      <c r="B800" t="s">
        <v>7890</v>
      </c>
      <c r="C800" t="s">
        <v>266</v>
      </c>
      <c r="D800" t="s">
        <v>7890</v>
      </c>
      <c r="E800" t="s">
        <v>7867</v>
      </c>
    </row>
    <row r="801" spans="1:5" x14ac:dyDescent="0.25">
      <c r="A801" t="s">
        <v>4197</v>
      </c>
      <c r="B801" t="s">
        <v>7890</v>
      </c>
      <c r="C801" t="s">
        <v>2931</v>
      </c>
      <c r="D801" t="s">
        <v>7890</v>
      </c>
      <c r="E801" t="s">
        <v>7867</v>
      </c>
    </row>
    <row r="802" spans="1:5" x14ac:dyDescent="0.25">
      <c r="A802" t="s">
        <v>4213</v>
      </c>
      <c r="B802" t="s">
        <v>7890</v>
      </c>
      <c r="C802" t="s">
        <v>2931</v>
      </c>
      <c r="D802" t="s">
        <v>7890</v>
      </c>
      <c r="E802" t="s">
        <v>7867</v>
      </c>
    </row>
    <row r="803" spans="1:5" x14ac:dyDescent="0.25">
      <c r="A803" t="s">
        <v>4215</v>
      </c>
      <c r="B803" t="s">
        <v>7890</v>
      </c>
      <c r="C803" t="s">
        <v>641</v>
      </c>
      <c r="D803" t="s">
        <v>7890</v>
      </c>
      <c r="E803" t="s">
        <v>7867</v>
      </c>
    </row>
    <row r="804" spans="1:5" x14ac:dyDescent="0.25">
      <c r="A804" t="s">
        <v>4222</v>
      </c>
      <c r="B804" t="s">
        <v>7890</v>
      </c>
      <c r="C804" t="s">
        <v>1177</v>
      </c>
      <c r="D804" t="s">
        <v>7890</v>
      </c>
      <c r="E804" t="s">
        <v>7867</v>
      </c>
    </row>
    <row r="805" spans="1:5" x14ac:dyDescent="0.25">
      <c r="A805" t="s">
        <v>4232</v>
      </c>
      <c r="B805" t="s">
        <v>7890</v>
      </c>
      <c r="C805" t="s">
        <v>2590</v>
      </c>
      <c r="D805" t="s">
        <v>7890</v>
      </c>
      <c r="E805" t="s">
        <v>7867</v>
      </c>
    </row>
    <row r="806" spans="1:5" x14ac:dyDescent="0.25">
      <c r="A806" t="s">
        <v>4248</v>
      </c>
      <c r="B806" t="s">
        <v>7890</v>
      </c>
      <c r="C806" t="s">
        <v>6663</v>
      </c>
      <c r="D806" t="s">
        <v>7890</v>
      </c>
      <c r="E806" t="s">
        <v>7867</v>
      </c>
    </row>
    <row r="807" spans="1:5" x14ac:dyDescent="0.25">
      <c r="A807" t="s">
        <v>4257</v>
      </c>
      <c r="B807" t="s">
        <v>7890</v>
      </c>
      <c r="C807" t="s">
        <v>383</v>
      </c>
      <c r="D807" t="s">
        <v>7890</v>
      </c>
      <c r="E807" t="s">
        <v>7867</v>
      </c>
    </row>
    <row r="808" spans="1:5" x14ac:dyDescent="0.25">
      <c r="A808" t="s">
        <v>4262</v>
      </c>
      <c r="B808" t="s">
        <v>7890</v>
      </c>
      <c r="C808" t="s">
        <v>4241</v>
      </c>
      <c r="D808" t="s">
        <v>7890</v>
      </c>
      <c r="E808" t="s">
        <v>7867</v>
      </c>
    </row>
    <row r="809" spans="1:5" x14ac:dyDescent="0.25">
      <c r="A809" t="s">
        <v>4266</v>
      </c>
      <c r="B809" t="s">
        <v>7890</v>
      </c>
      <c r="C809" t="s">
        <v>323</v>
      </c>
      <c r="D809" t="s">
        <v>7890</v>
      </c>
      <c r="E809" t="s">
        <v>7867</v>
      </c>
    </row>
    <row r="810" spans="1:5" x14ac:dyDescent="0.25">
      <c r="A810" t="s">
        <v>4295</v>
      </c>
      <c r="B810" t="s">
        <v>7890</v>
      </c>
      <c r="C810" t="s">
        <v>7886</v>
      </c>
      <c r="D810" t="s">
        <v>7890</v>
      </c>
      <c r="E810" t="s">
        <v>7867</v>
      </c>
    </row>
    <row r="811" spans="1:5" x14ac:dyDescent="0.25">
      <c r="A811" t="s">
        <v>4297</v>
      </c>
      <c r="B811" t="s">
        <v>7890</v>
      </c>
      <c r="C811" t="s">
        <v>6036</v>
      </c>
      <c r="D811" t="s">
        <v>7890</v>
      </c>
      <c r="E811" t="s">
        <v>7867</v>
      </c>
    </row>
    <row r="812" spans="1:5" x14ac:dyDescent="0.25">
      <c r="A812" t="s">
        <v>4299</v>
      </c>
      <c r="B812" t="s">
        <v>7890</v>
      </c>
      <c r="C812" t="s">
        <v>5823</v>
      </c>
      <c r="D812" t="s">
        <v>7890</v>
      </c>
      <c r="E812" t="s">
        <v>7867</v>
      </c>
    </row>
    <row r="813" spans="1:5" x14ac:dyDescent="0.25">
      <c r="A813" t="s">
        <v>4301</v>
      </c>
      <c r="B813" t="s">
        <v>7890</v>
      </c>
      <c r="C813" t="s">
        <v>259</v>
      </c>
      <c r="D813" t="s">
        <v>7890</v>
      </c>
      <c r="E813" t="s">
        <v>7867</v>
      </c>
    </row>
    <row r="814" spans="1:5" x14ac:dyDescent="0.25">
      <c r="A814" t="s">
        <v>4303</v>
      </c>
      <c r="B814" t="s">
        <v>7890</v>
      </c>
      <c r="C814" t="s">
        <v>6185</v>
      </c>
      <c r="D814" t="s">
        <v>7890</v>
      </c>
      <c r="E814" t="s">
        <v>7867</v>
      </c>
    </row>
    <row r="815" spans="1:5" x14ac:dyDescent="0.25">
      <c r="A815" t="s">
        <v>4305</v>
      </c>
      <c r="B815" t="s">
        <v>7890</v>
      </c>
      <c r="C815" t="s">
        <v>872</v>
      </c>
      <c r="D815" t="s">
        <v>7890</v>
      </c>
      <c r="E815" t="s">
        <v>7867</v>
      </c>
    </row>
    <row r="816" spans="1:5" x14ac:dyDescent="0.25">
      <c r="A816" t="s">
        <v>4307</v>
      </c>
      <c r="B816" t="s">
        <v>7890</v>
      </c>
      <c r="C816" t="s">
        <v>6252</v>
      </c>
      <c r="D816" t="s">
        <v>7890</v>
      </c>
      <c r="E816" t="s">
        <v>7867</v>
      </c>
    </row>
    <row r="817" spans="1:5" x14ac:dyDescent="0.25">
      <c r="A817" t="s">
        <v>4309</v>
      </c>
      <c r="B817" t="s">
        <v>7890</v>
      </c>
      <c r="C817" t="s">
        <v>6328</v>
      </c>
      <c r="D817" t="s">
        <v>7890</v>
      </c>
      <c r="E817" t="s">
        <v>7867</v>
      </c>
    </row>
    <row r="818" spans="1:5" x14ac:dyDescent="0.25">
      <c r="A818" t="s">
        <v>4311</v>
      </c>
      <c r="B818" t="s">
        <v>7890</v>
      </c>
      <c r="C818" t="s">
        <v>5614</v>
      </c>
      <c r="D818" t="s">
        <v>7890</v>
      </c>
      <c r="E818" t="s">
        <v>7867</v>
      </c>
    </row>
    <row r="819" spans="1:5" x14ac:dyDescent="0.25">
      <c r="A819" t="s">
        <v>4313</v>
      </c>
      <c r="B819" t="s">
        <v>7890</v>
      </c>
      <c r="C819" t="s">
        <v>6295</v>
      </c>
      <c r="D819" t="s">
        <v>7890</v>
      </c>
      <c r="E819" t="s">
        <v>7867</v>
      </c>
    </row>
    <row r="820" spans="1:5" x14ac:dyDescent="0.25">
      <c r="A820" t="s">
        <v>4315</v>
      </c>
      <c r="B820" t="s">
        <v>7890</v>
      </c>
      <c r="C820" t="s">
        <v>6924</v>
      </c>
      <c r="D820" t="s">
        <v>7890</v>
      </c>
      <c r="E820" t="s">
        <v>7867</v>
      </c>
    </row>
    <row r="821" spans="1:5" x14ac:dyDescent="0.25">
      <c r="A821" t="s">
        <v>4317</v>
      </c>
      <c r="B821" t="s">
        <v>7890</v>
      </c>
      <c r="C821" t="s">
        <v>7054</v>
      </c>
      <c r="D821" t="s">
        <v>7890</v>
      </c>
      <c r="E821" t="s">
        <v>7867</v>
      </c>
    </row>
    <row r="822" spans="1:5" x14ac:dyDescent="0.25">
      <c r="A822" t="s">
        <v>4319</v>
      </c>
      <c r="B822" t="s">
        <v>7890</v>
      </c>
      <c r="C822" t="s">
        <v>7651</v>
      </c>
      <c r="D822" t="s">
        <v>7890</v>
      </c>
      <c r="E822" t="s">
        <v>7867</v>
      </c>
    </row>
    <row r="823" spans="1:5" x14ac:dyDescent="0.25">
      <c r="A823" t="s">
        <v>4321</v>
      </c>
      <c r="B823" t="s">
        <v>7890</v>
      </c>
      <c r="C823" t="s">
        <v>7874</v>
      </c>
      <c r="D823" t="s">
        <v>7890</v>
      </c>
      <c r="E823" t="s">
        <v>7867</v>
      </c>
    </row>
    <row r="824" spans="1:5" x14ac:dyDescent="0.25">
      <c r="A824" t="s">
        <v>4323</v>
      </c>
      <c r="B824" t="s">
        <v>7890</v>
      </c>
      <c r="C824" t="s">
        <v>5583</v>
      </c>
      <c r="D824" t="s">
        <v>7890</v>
      </c>
      <c r="E824" t="s">
        <v>7867</v>
      </c>
    </row>
    <row r="825" spans="1:5" x14ac:dyDescent="0.25">
      <c r="A825" t="s">
        <v>4327</v>
      </c>
      <c r="B825" t="s">
        <v>7890</v>
      </c>
      <c r="C825" t="s">
        <v>6295</v>
      </c>
      <c r="D825" t="s">
        <v>7890</v>
      </c>
      <c r="E825" t="s">
        <v>7867</v>
      </c>
    </row>
    <row r="826" spans="1:5" x14ac:dyDescent="0.25">
      <c r="A826" t="s">
        <v>4329</v>
      </c>
      <c r="B826" t="s">
        <v>7890</v>
      </c>
      <c r="C826" t="s">
        <v>7054</v>
      </c>
      <c r="D826" t="s">
        <v>7890</v>
      </c>
      <c r="E826" t="s">
        <v>7867</v>
      </c>
    </row>
    <row r="827" spans="1:5" x14ac:dyDescent="0.25">
      <c r="A827" t="s">
        <v>4331</v>
      </c>
      <c r="B827" t="s">
        <v>7890</v>
      </c>
      <c r="C827" t="s">
        <v>7647</v>
      </c>
      <c r="D827" t="s">
        <v>7890</v>
      </c>
      <c r="E827" t="s">
        <v>7867</v>
      </c>
    </row>
    <row r="828" spans="1:5" x14ac:dyDescent="0.25">
      <c r="A828" t="s">
        <v>4333</v>
      </c>
      <c r="B828" t="s">
        <v>7890</v>
      </c>
      <c r="C828" t="s">
        <v>5614</v>
      </c>
      <c r="D828" t="s">
        <v>7890</v>
      </c>
      <c r="E828" t="s">
        <v>7867</v>
      </c>
    </row>
    <row r="829" spans="1:5" x14ac:dyDescent="0.25">
      <c r="A829" t="s">
        <v>4335</v>
      </c>
      <c r="B829" t="s">
        <v>7890</v>
      </c>
      <c r="C829" t="s">
        <v>7279</v>
      </c>
      <c r="D829" t="s">
        <v>7890</v>
      </c>
      <c r="E829" t="s">
        <v>7867</v>
      </c>
    </row>
    <row r="830" spans="1:5" x14ac:dyDescent="0.25">
      <c r="A830" t="s">
        <v>4337</v>
      </c>
      <c r="B830" t="s">
        <v>7890</v>
      </c>
      <c r="C830" t="s">
        <v>7651</v>
      </c>
      <c r="D830" t="s">
        <v>7890</v>
      </c>
      <c r="E830" t="s">
        <v>7867</v>
      </c>
    </row>
    <row r="831" spans="1:5" x14ac:dyDescent="0.25">
      <c r="A831" t="s">
        <v>4339</v>
      </c>
      <c r="B831" t="s">
        <v>7890</v>
      </c>
      <c r="C831" t="s">
        <v>7874</v>
      </c>
      <c r="D831" t="s">
        <v>7890</v>
      </c>
      <c r="E831" t="s">
        <v>7867</v>
      </c>
    </row>
    <row r="832" spans="1:5" x14ac:dyDescent="0.25">
      <c r="A832" t="s">
        <v>4341</v>
      </c>
      <c r="B832" t="s">
        <v>7890</v>
      </c>
      <c r="C832" t="s">
        <v>6328</v>
      </c>
      <c r="D832" t="s">
        <v>7890</v>
      </c>
      <c r="E832" t="s">
        <v>7867</v>
      </c>
    </row>
    <row r="833" spans="1:5" x14ac:dyDescent="0.25">
      <c r="A833" t="s">
        <v>4343</v>
      </c>
      <c r="B833" t="s">
        <v>7890</v>
      </c>
      <c r="C833" t="s">
        <v>5801</v>
      </c>
      <c r="D833" t="s">
        <v>7890</v>
      </c>
      <c r="E833" t="s">
        <v>7867</v>
      </c>
    </row>
    <row r="834" spans="1:5" x14ac:dyDescent="0.25">
      <c r="A834" t="s">
        <v>4346</v>
      </c>
      <c r="B834" t="s">
        <v>7890</v>
      </c>
      <c r="C834" t="s">
        <v>479</v>
      </c>
      <c r="D834" t="s">
        <v>7890</v>
      </c>
      <c r="E834" t="s">
        <v>7867</v>
      </c>
    </row>
    <row r="835" spans="1:5" x14ac:dyDescent="0.25">
      <c r="A835" t="s">
        <v>4351</v>
      </c>
      <c r="B835" t="s">
        <v>7890</v>
      </c>
      <c r="C835" t="s">
        <v>2931</v>
      </c>
      <c r="D835" t="s">
        <v>7890</v>
      </c>
      <c r="E835" t="s">
        <v>7867</v>
      </c>
    </row>
    <row r="836" spans="1:5" x14ac:dyDescent="0.25">
      <c r="A836" t="s">
        <v>4354</v>
      </c>
      <c r="B836" t="s">
        <v>7890</v>
      </c>
      <c r="C836" t="s">
        <v>139</v>
      </c>
      <c r="D836" t="s">
        <v>7890</v>
      </c>
      <c r="E836" t="s">
        <v>7867</v>
      </c>
    </row>
    <row r="837" spans="1:5" x14ac:dyDescent="0.25">
      <c r="A837" t="s">
        <v>4359</v>
      </c>
      <c r="B837" t="s">
        <v>7890</v>
      </c>
      <c r="C837" t="s">
        <v>3962</v>
      </c>
      <c r="D837" t="s">
        <v>7890</v>
      </c>
      <c r="E837" t="s">
        <v>7867</v>
      </c>
    </row>
    <row r="838" spans="1:5" x14ac:dyDescent="0.25">
      <c r="A838" t="s">
        <v>4361</v>
      </c>
      <c r="B838" t="s">
        <v>7890</v>
      </c>
      <c r="C838" t="s">
        <v>1153</v>
      </c>
      <c r="D838" t="s">
        <v>7890</v>
      </c>
      <c r="E838" t="s">
        <v>7867</v>
      </c>
    </row>
    <row r="839" spans="1:5" x14ac:dyDescent="0.25">
      <c r="A839" t="s">
        <v>4369</v>
      </c>
      <c r="B839" t="s">
        <v>7890</v>
      </c>
      <c r="C839" t="s">
        <v>915</v>
      </c>
      <c r="D839" t="s">
        <v>7890</v>
      </c>
      <c r="E839" t="s">
        <v>7867</v>
      </c>
    </row>
    <row r="840" spans="1:5" x14ac:dyDescent="0.25">
      <c r="A840" t="s">
        <v>4371</v>
      </c>
      <c r="B840" t="s">
        <v>7890</v>
      </c>
      <c r="C840" t="s">
        <v>464</v>
      </c>
      <c r="D840" t="s">
        <v>7890</v>
      </c>
      <c r="E840" t="s">
        <v>7867</v>
      </c>
    </row>
    <row r="841" spans="1:5" x14ac:dyDescent="0.25">
      <c r="A841" t="s">
        <v>4374</v>
      </c>
      <c r="B841" t="s">
        <v>7890</v>
      </c>
      <c r="C841" t="s">
        <v>3163</v>
      </c>
      <c r="D841" t="s">
        <v>7890</v>
      </c>
      <c r="E841" t="s">
        <v>7867</v>
      </c>
    </row>
    <row r="842" spans="1:5" x14ac:dyDescent="0.25">
      <c r="A842" t="s">
        <v>4376</v>
      </c>
      <c r="B842" t="s">
        <v>7890</v>
      </c>
      <c r="C842" t="s">
        <v>641</v>
      </c>
      <c r="D842" t="s">
        <v>7890</v>
      </c>
      <c r="E842" t="s">
        <v>7867</v>
      </c>
    </row>
    <row r="843" spans="1:5" x14ac:dyDescent="0.25">
      <c r="A843" t="s">
        <v>4378</v>
      </c>
      <c r="B843" t="s">
        <v>7890</v>
      </c>
      <c r="C843" t="s">
        <v>3166</v>
      </c>
      <c r="D843" t="s">
        <v>7890</v>
      </c>
      <c r="E843" t="s">
        <v>7867</v>
      </c>
    </row>
    <row r="844" spans="1:5" x14ac:dyDescent="0.25">
      <c r="A844" t="s">
        <v>4380</v>
      </c>
      <c r="B844" t="s">
        <v>7890</v>
      </c>
      <c r="C844" t="s">
        <v>145</v>
      </c>
      <c r="D844" t="s">
        <v>7890</v>
      </c>
      <c r="E844" t="s">
        <v>7867</v>
      </c>
    </row>
    <row r="845" spans="1:5" x14ac:dyDescent="0.25">
      <c r="A845" t="s">
        <v>4382</v>
      </c>
      <c r="B845" t="s">
        <v>7890</v>
      </c>
      <c r="C845" t="s">
        <v>3169</v>
      </c>
      <c r="D845" t="s">
        <v>7890</v>
      </c>
      <c r="E845" t="s">
        <v>7867</v>
      </c>
    </row>
    <row r="846" spans="1:5" x14ac:dyDescent="0.25">
      <c r="A846" t="s">
        <v>4384</v>
      </c>
      <c r="B846" t="s">
        <v>7890</v>
      </c>
      <c r="C846" t="s">
        <v>2859</v>
      </c>
      <c r="D846" t="s">
        <v>7890</v>
      </c>
      <c r="E846" t="s">
        <v>7867</v>
      </c>
    </row>
    <row r="847" spans="1:5" x14ac:dyDescent="0.25">
      <c r="A847" t="s">
        <v>4386</v>
      </c>
      <c r="B847" t="s">
        <v>7890</v>
      </c>
      <c r="C847" t="s">
        <v>15</v>
      </c>
      <c r="D847" t="s">
        <v>7890</v>
      </c>
      <c r="E847" t="s">
        <v>7867</v>
      </c>
    </row>
    <row r="848" spans="1:5" x14ac:dyDescent="0.25">
      <c r="A848" t="s">
        <v>4402</v>
      </c>
      <c r="B848" t="s">
        <v>7890</v>
      </c>
      <c r="C848" t="s">
        <v>7879</v>
      </c>
      <c r="D848" t="s">
        <v>7890</v>
      </c>
      <c r="E848" t="s">
        <v>7867</v>
      </c>
    </row>
    <row r="849" spans="1:5" x14ac:dyDescent="0.25">
      <c r="A849" t="s">
        <v>4411</v>
      </c>
      <c r="B849" t="s">
        <v>7890</v>
      </c>
      <c r="C849" t="s">
        <v>7878</v>
      </c>
      <c r="D849" t="s">
        <v>7890</v>
      </c>
      <c r="E849" t="s">
        <v>7867</v>
      </c>
    </row>
    <row r="850" spans="1:5" x14ac:dyDescent="0.25">
      <c r="A850" t="s">
        <v>4417</v>
      </c>
      <c r="B850" t="s">
        <v>7890</v>
      </c>
      <c r="C850" t="s">
        <v>6904</v>
      </c>
      <c r="D850" t="s">
        <v>7890</v>
      </c>
      <c r="E850" t="s">
        <v>7867</v>
      </c>
    </row>
    <row r="851" spans="1:5" x14ac:dyDescent="0.25">
      <c r="A851" t="s">
        <v>4418</v>
      </c>
      <c r="B851" t="s">
        <v>7890</v>
      </c>
      <c r="C851" t="s">
        <v>4160</v>
      </c>
      <c r="D851" t="s">
        <v>7890</v>
      </c>
      <c r="E851" t="s">
        <v>7867</v>
      </c>
    </row>
    <row r="852" spans="1:5" x14ac:dyDescent="0.25">
      <c r="A852" t="s">
        <v>4422</v>
      </c>
      <c r="B852" t="s">
        <v>7890</v>
      </c>
      <c r="C852" t="s">
        <v>579</v>
      </c>
      <c r="D852" t="s">
        <v>7890</v>
      </c>
      <c r="E852" t="s">
        <v>7867</v>
      </c>
    </row>
    <row r="853" spans="1:5" x14ac:dyDescent="0.25">
      <c r="A853" t="s">
        <v>4440</v>
      </c>
      <c r="B853" t="s">
        <v>7890</v>
      </c>
      <c r="C853" t="s">
        <v>75</v>
      </c>
      <c r="D853" t="s">
        <v>7890</v>
      </c>
      <c r="E853" t="s">
        <v>7867</v>
      </c>
    </row>
    <row r="854" spans="1:5" x14ac:dyDescent="0.25">
      <c r="A854" t="s">
        <v>4450</v>
      </c>
      <c r="B854" t="s">
        <v>7890</v>
      </c>
      <c r="C854" t="s">
        <v>2931</v>
      </c>
      <c r="D854" t="s">
        <v>7890</v>
      </c>
      <c r="E854" t="s">
        <v>7867</v>
      </c>
    </row>
    <row r="855" spans="1:5" x14ac:dyDescent="0.25">
      <c r="A855" t="s">
        <v>4477</v>
      </c>
      <c r="B855" t="s">
        <v>7890</v>
      </c>
      <c r="C855" t="s">
        <v>479</v>
      </c>
      <c r="D855" t="s">
        <v>7890</v>
      </c>
      <c r="E855" t="s">
        <v>7867</v>
      </c>
    </row>
    <row r="856" spans="1:5" x14ac:dyDescent="0.25">
      <c r="A856" t="s">
        <v>4483</v>
      </c>
      <c r="B856" t="s">
        <v>7890</v>
      </c>
      <c r="C856" t="s">
        <v>701</v>
      </c>
      <c r="D856" t="s">
        <v>7890</v>
      </c>
      <c r="E856" t="s">
        <v>7867</v>
      </c>
    </row>
    <row r="857" spans="1:5" x14ac:dyDescent="0.25">
      <c r="A857" t="s">
        <v>4485</v>
      </c>
      <c r="B857" t="s">
        <v>7890</v>
      </c>
      <c r="C857" t="s">
        <v>1617</v>
      </c>
      <c r="D857" t="s">
        <v>7890</v>
      </c>
      <c r="E857" t="s">
        <v>7867</v>
      </c>
    </row>
    <row r="858" spans="1:5" x14ac:dyDescent="0.25">
      <c r="A858" t="s">
        <v>4487</v>
      </c>
      <c r="B858" t="s">
        <v>7890</v>
      </c>
      <c r="C858" t="s">
        <v>2062</v>
      </c>
      <c r="D858" t="s">
        <v>7890</v>
      </c>
      <c r="E858" t="s">
        <v>7867</v>
      </c>
    </row>
    <row r="859" spans="1:5" x14ac:dyDescent="0.25">
      <c r="A859" t="s">
        <v>4488</v>
      </c>
      <c r="B859" t="s">
        <v>7890</v>
      </c>
      <c r="C859" t="s">
        <v>6509</v>
      </c>
      <c r="D859" t="s">
        <v>7890</v>
      </c>
      <c r="E859" t="s">
        <v>7867</v>
      </c>
    </row>
    <row r="860" spans="1:5" x14ac:dyDescent="0.25">
      <c r="A860" t="s">
        <v>4489</v>
      </c>
      <c r="B860" t="s">
        <v>7890</v>
      </c>
      <c r="C860" t="s">
        <v>5801</v>
      </c>
      <c r="D860" t="s">
        <v>7890</v>
      </c>
      <c r="E860" t="s">
        <v>7867</v>
      </c>
    </row>
    <row r="861" spans="1:5" x14ac:dyDescent="0.25">
      <c r="A861" t="s">
        <v>4490</v>
      </c>
      <c r="B861" t="s">
        <v>7890</v>
      </c>
      <c r="C861" t="s">
        <v>431</v>
      </c>
      <c r="D861" t="s">
        <v>7890</v>
      </c>
      <c r="E861" t="s">
        <v>7867</v>
      </c>
    </row>
    <row r="862" spans="1:5" x14ac:dyDescent="0.25">
      <c r="A862" t="s">
        <v>4492</v>
      </c>
      <c r="B862" t="s">
        <v>7890</v>
      </c>
      <c r="C862" t="s">
        <v>479</v>
      </c>
      <c r="D862" t="s">
        <v>7890</v>
      </c>
      <c r="E862" t="s">
        <v>7867</v>
      </c>
    </row>
    <row r="863" spans="1:5" x14ac:dyDescent="0.25">
      <c r="A863" t="s">
        <v>4495</v>
      </c>
      <c r="B863" t="s">
        <v>7890</v>
      </c>
      <c r="C863" t="s">
        <v>843</v>
      </c>
      <c r="D863" t="s">
        <v>7890</v>
      </c>
      <c r="E863" t="s">
        <v>7867</v>
      </c>
    </row>
    <row r="864" spans="1:5" x14ac:dyDescent="0.25">
      <c r="A864" t="s">
        <v>4497</v>
      </c>
      <c r="B864" t="s">
        <v>7890</v>
      </c>
      <c r="C864" t="s">
        <v>3088</v>
      </c>
      <c r="D864" t="s">
        <v>7890</v>
      </c>
      <c r="E864" t="s">
        <v>7867</v>
      </c>
    </row>
    <row r="865" spans="1:5" x14ac:dyDescent="0.25">
      <c r="A865" t="s">
        <v>4499</v>
      </c>
      <c r="B865" t="s">
        <v>7890</v>
      </c>
      <c r="C865" t="s">
        <v>212</v>
      </c>
      <c r="D865" t="s">
        <v>7890</v>
      </c>
      <c r="E865" t="s">
        <v>7867</v>
      </c>
    </row>
    <row r="866" spans="1:5" x14ac:dyDescent="0.25">
      <c r="A866" t="s">
        <v>4501</v>
      </c>
      <c r="B866" t="s">
        <v>7890</v>
      </c>
      <c r="C866" t="s">
        <v>2931</v>
      </c>
      <c r="D866" t="s">
        <v>7890</v>
      </c>
      <c r="E866" t="s">
        <v>7867</v>
      </c>
    </row>
    <row r="867" spans="1:5" x14ac:dyDescent="0.25">
      <c r="A867" t="s">
        <v>4506</v>
      </c>
      <c r="B867" t="s">
        <v>7890</v>
      </c>
      <c r="C867" t="s">
        <v>4479</v>
      </c>
      <c r="D867" t="s">
        <v>7890</v>
      </c>
      <c r="E867" t="s">
        <v>7867</v>
      </c>
    </row>
    <row r="868" spans="1:5" x14ac:dyDescent="0.25">
      <c r="A868" t="s">
        <v>4511</v>
      </c>
      <c r="B868" t="s">
        <v>7890</v>
      </c>
      <c r="C868" t="s">
        <v>250</v>
      </c>
      <c r="D868" t="s">
        <v>7890</v>
      </c>
      <c r="E868" t="s">
        <v>7867</v>
      </c>
    </row>
    <row r="869" spans="1:5" x14ac:dyDescent="0.25">
      <c r="A869" t="s">
        <v>4513</v>
      </c>
      <c r="B869" t="s">
        <v>7890</v>
      </c>
      <c r="C869" t="s">
        <v>250</v>
      </c>
      <c r="D869" t="s">
        <v>7890</v>
      </c>
      <c r="E869" t="s">
        <v>7867</v>
      </c>
    </row>
    <row r="870" spans="1:5" x14ac:dyDescent="0.25">
      <c r="A870" t="s">
        <v>4546</v>
      </c>
      <c r="B870" t="s">
        <v>7890</v>
      </c>
      <c r="C870" t="s">
        <v>7872</v>
      </c>
      <c r="D870" t="s">
        <v>7890</v>
      </c>
      <c r="E870" t="s">
        <v>7867</v>
      </c>
    </row>
    <row r="871" spans="1:5" x14ac:dyDescent="0.25">
      <c r="A871" t="s">
        <v>4548</v>
      </c>
      <c r="B871" t="s">
        <v>7890</v>
      </c>
      <c r="C871" t="s">
        <v>1222</v>
      </c>
      <c r="D871" t="s">
        <v>7890</v>
      </c>
      <c r="E871" t="s">
        <v>7867</v>
      </c>
    </row>
    <row r="872" spans="1:5" x14ac:dyDescent="0.25">
      <c r="A872" t="s">
        <v>4554</v>
      </c>
      <c r="B872" t="s">
        <v>7890</v>
      </c>
      <c r="C872" t="s">
        <v>15</v>
      </c>
      <c r="D872" t="s">
        <v>7890</v>
      </c>
      <c r="E872" t="s">
        <v>7867</v>
      </c>
    </row>
    <row r="873" spans="1:5" x14ac:dyDescent="0.25">
      <c r="A873" t="s">
        <v>4556</v>
      </c>
      <c r="B873" t="s">
        <v>7890</v>
      </c>
      <c r="C873" t="s">
        <v>212</v>
      </c>
      <c r="D873" t="s">
        <v>7890</v>
      </c>
      <c r="E873" t="s">
        <v>7867</v>
      </c>
    </row>
    <row r="874" spans="1:5" x14ac:dyDescent="0.25">
      <c r="A874" t="s">
        <v>4566</v>
      </c>
      <c r="B874" t="s">
        <v>7890</v>
      </c>
      <c r="C874" t="s">
        <v>1382</v>
      </c>
      <c r="D874" t="s">
        <v>7890</v>
      </c>
      <c r="E874" t="s">
        <v>7867</v>
      </c>
    </row>
    <row r="875" spans="1:5" x14ac:dyDescent="0.25">
      <c r="A875" t="s">
        <v>4572</v>
      </c>
      <c r="B875" t="s">
        <v>7890</v>
      </c>
      <c r="C875" t="s">
        <v>6904</v>
      </c>
      <c r="D875" t="s">
        <v>7890</v>
      </c>
      <c r="E875" t="s">
        <v>7867</v>
      </c>
    </row>
    <row r="876" spans="1:5" x14ac:dyDescent="0.25">
      <c r="A876" t="s">
        <v>4576</v>
      </c>
      <c r="B876" t="s">
        <v>7890</v>
      </c>
      <c r="C876" t="s">
        <v>2931</v>
      </c>
      <c r="D876" t="s">
        <v>7890</v>
      </c>
      <c r="E876" t="s">
        <v>7867</v>
      </c>
    </row>
    <row r="877" spans="1:5" x14ac:dyDescent="0.25">
      <c r="A877" t="s">
        <v>4584</v>
      </c>
      <c r="B877" t="s">
        <v>7890</v>
      </c>
      <c r="C877" t="s">
        <v>1177</v>
      </c>
      <c r="D877" t="s">
        <v>7890</v>
      </c>
      <c r="E877" t="s">
        <v>7867</v>
      </c>
    </row>
    <row r="878" spans="1:5" x14ac:dyDescent="0.25">
      <c r="A878" t="s">
        <v>4591</v>
      </c>
      <c r="B878" t="s">
        <v>7890</v>
      </c>
      <c r="C878" t="s">
        <v>115</v>
      </c>
      <c r="D878" t="s">
        <v>7890</v>
      </c>
      <c r="E878" t="s">
        <v>7867</v>
      </c>
    </row>
    <row r="879" spans="1:5" x14ac:dyDescent="0.25">
      <c r="A879" t="s">
        <v>4594</v>
      </c>
      <c r="B879" t="s">
        <v>7890</v>
      </c>
      <c r="C879" t="s">
        <v>53</v>
      </c>
      <c r="D879" t="s">
        <v>7890</v>
      </c>
      <c r="E879" t="s">
        <v>7867</v>
      </c>
    </row>
    <row r="880" spans="1:5" x14ac:dyDescent="0.25">
      <c r="A880" t="s">
        <v>4602</v>
      </c>
      <c r="B880" t="s">
        <v>7890</v>
      </c>
      <c r="C880" t="s">
        <v>6663</v>
      </c>
      <c r="D880" t="s">
        <v>7890</v>
      </c>
      <c r="E880" t="s">
        <v>7867</v>
      </c>
    </row>
    <row r="881" spans="1:5" x14ac:dyDescent="0.25">
      <c r="A881" t="s">
        <v>4606</v>
      </c>
      <c r="B881" t="s">
        <v>7890</v>
      </c>
      <c r="C881" t="s">
        <v>2590</v>
      </c>
      <c r="D881" t="s">
        <v>7890</v>
      </c>
      <c r="E881" t="s">
        <v>7867</v>
      </c>
    </row>
    <row r="882" spans="1:5" x14ac:dyDescent="0.25">
      <c r="A882" t="s">
        <v>4612</v>
      </c>
      <c r="B882" t="s">
        <v>7890</v>
      </c>
      <c r="C882" t="s">
        <v>4241</v>
      </c>
      <c r="D882" t="s">
        <v>7890</v>
      </c>
      <c r="E882" t="s">
        <v>7867</v>
      </c>
    </row>
    <row r="883" spans="1:5" x14ac:dyDescent="0.25">
      <c r="A883" t="s">
        <v>4616</v>
      </c>
      <c r="B883" t="s">
        <v>7890</v>
      </c>
      <c r="C883" t="s">
        <v>365</v>
      </c>
      <c r="D883" t="s">
        <v>7890</v>
      </c>
      <c r="E883" t="s">
        <v>7867</v>
      </c>
    </row>
    <row r="884" spans="1:5" x14ac:dyDescent="0.25">
      <c r="A884" t="s">
        <v>4622</v>
      </c>
      <c r="B884" t="s">
        <v>7890</v>
      </c>
      <c r="C884" t="s">
        <v>6904</v>
      </c>
      <c r="D884" t="s">
        <v>7890</v>
      </c>
      <c r="E884" t="s">
        <v>7867</v>
      </c>
    </row>
    <row r="885" spans="1:5" x14ac:dyDescent="0.25">
      <c r="A885" t="s">
        <v>4624</v>
      </c>
      <c r="B885" t="s">
        <v>7890</v>
      </c>
      <c r="C885" t="s">
        <v>1057</v>
      </c>
      <c r="D885" t="s">
        <v>7890</v>
      </c>
      <c r="E885" t="s">
        <v>7867</v>
      </c>
    </row>
    <row r="886" spans="1:5" x14ac:dyDescent="0.25">
      <c r="A886" t="s">
        <v>4626</v>
      </c>
      <c r="B886" t="s">
        <v>7890</v>
      </c>
      <c r="C886" t="s">
        <v>4123</v>
      </c>
      <c r="D886" t="s">
        <v>7890</v>
      </c>
      <c r="E886" t="s">
        <v>7867</v>
      </c>
    </row>
    <row r="887" spans="1:5" x14ac:dyDescent="0.25">
      <c r="A887" t="s">
        <v>4628</v>
      </c>
      <c r="B887" t="s">
        <v>7890</v>
      </c>
      <c r="C887" t="s">
        <v>383</v>
      </c>
      <c r="D887" t="s">
        <v>7890</v>
      </c>
      <c r="E887" t="s">
        <v>7867</v>
      </c>
    </row>
    <row r="888" spans="1:5" x14ac:dyDescent="0.25">
      <c r="A888" t="s">
        <v>4630</v>
      </c>
      <c r="B888" t="s">
        <v>7890</v>
      </c>
      <c r="C888" t="s">
        <v>262</v>
      </c>
      <c r="D888" t="s">
        <v>7890</v>
      </c>
      <c r="E888" t="s">
        <v>7867</v>
      </c>
    </row>
    <row r="889" spans="1:5" x14ac:dyDescent="0.25">
      <c r="A889" t="s">
        <v>4632</v>
      </c>
      <c r="B889" t="s">
        <v>7890</v>
      </c>
      <c r="C889" t="s">
        <v>304</v>
      </c>
      <c r="D889" t="s">
        <v>7890</v>
      </c>
      <c r="E889" t="s">
        <v>7867</v>
      </c>
    </row>
    <row r="890" spans="1:5" x14ac:dyDescent="0.25">
      <c r="A890" t="s">
        <v>4634</v>
      </c>
      <c r="B890" t="s">
        <v>7890</v>
      </c>
      <c r="C890" t="s">
        <v>4235</v>
      </c>
      <c r="D890" t="s">
        <v>7890</v>
      </c>
      <c r="E890" t="s">
        <v>7867</v>
      </c>
    </row>
    <row r="891" spans="1:5" x14ac:dyDescent="0.25">
      <c r="A891" t="s">
        <v>4636</v>
      </c>
      <c r="B891" t="s">
        <v>7890</v>
      </c>
      <c r="C891" t="s">
        <v>6663</v>
      </c>
      <c r="D891" t="s">
        <v>7890</v>
      </c>
      <c r="E891" t="s">
        <v>7867</v>
      </c>
    </row>
    <row r="892" spans="1:5" x14ac:dyDescent="0.25">
      <c r="A892" t="s">
        <v>4638</v>
      </c>
      <c r="B892" t="s">
        <v>7890</v>
      </c>
      <c r="C892" t="s">
        <v>3166</v>
      </c>
      <c r="D892" t="s">
        <v>7890</v>
      </c>
      <c r="E892" t="s">
        <v>7867</v>
      </c>
    </row>
    <row r="893" spans="1:5" x14ac:dyDescent="0.25">
      <c r="A893" t="s">
        <v>4642</v>
      </c>
      <c r="B893" t="s">
        <v>7890</v>
      </c>
      <c r="C893" t="s">
        <v>227</v>
      </c>
      <c r="D893" t="s">
        <v>7890</v>
      </c>
      <c r="E893" t="s">
        <v>7867</v>
      </c>
    </row>
    <row r="894" spans="1:5" x14ac:dyDescent="0.25">
      <c r="A894" t="s">
        <v>4644</v>
      </c>
      <c r="B894" t="s">
        <v>7890</v>
      </c>
      <c r="C894" t="s">
        <v>5801</v>
      </c>
      <c r="D894" t="s">
        <v>7890</v>
      </c>
      <c r="E894" t="s">
        <v>7867</v>
      </c>
    </row>
    <row r="895" spans="1:5" x14ac:dyDescent="0.25">
      <c r="A895" t="s">
        <v>4645</v>
      </c>
      <c r="B895" t="s">
        <v>7890</v>
      </c>
      <c r="C895" t="s">
        <v>431</v>
      </c>
      <c r="D895" t="s">
        <v>7890</v>
      </c>
      <c r="E895" t="s">
        <v>7867</v>
      </c>
    </row>
    <row r="896" spans="1:5" x14ac:dyDescent="0.25">
      <c r="A896" t="s">
        <v>4647</v>
      </c>
      <c r="B896" t="s">
        <v>7890</v>
      </c>
      <c r="C896" t="s">
        <v>479</v>
      </c>
      <c r="D896" t="s">
        <v>7890</v>
      </c>
      <c r="E896" t="s">
        <v>7867</v>
      </c>
    </row>
    <row r="897" spans="1:5" x14ac:dyDescent="0.25">
      <c r="A897" t="s">
        <v>4649</v>
      </c>
      <c r="B897" t="s">
        <v>7890</v>
      </c>
      <c r="C897" t="s">
        <v>429</v>
      </c>
      <c r="D897" t="s">
        <v>7890</v>
      </c>
      <c r="E897" t="s">
        <v>7867</v>
      </c>
    </row>
    <row r="898" spans="1:5" x14ac:dyDescent="0.25">
      <c r="A898" t="s">
        <v>4651</v>
      </c>
      <c r="B898" t="s">
        <v>7890</v>
      </c>
      <c r="C898" t="s">
        <v>843</v>
      </c>
      <c r="D898" t="s">
        <v>7890</v>
      </c>
      <c r="E898" t="s">
        <v>7867</v>
      </c>
    </row>
    <row r="899" spans="1:5" x14ac:dyDescent="0.25">
      <c r="A899" t="s">
        <v>4653</v>
      </c>
      <c r="B899" t="s">
        <v>7890</v>
      </c>
      <c r="C899" t="s">
        <v>3088</v>
      </c>
      <c r="D899" t="s">
        <v>7890</v>
      </c>
      <c r="E899" t="s">
        <v>7867</v>
      </c>
    </row>
    <row r="900" spans="1:5" x14ac:dyDescent="0.25">
      <c r="A900" t="s">
        <v>4655</v>
      </c>
      <c r="B900" t="s">
        <v>7890</v>
      </c>
      <c r="C900" t="s">
        <v>212</v>
      </c>
      <c r="D900" t="s">
        <v>7890</v>
      </c>
      <c r="E900" t="s">
        <v>7867</v>
      </c>
    </row>
    <row r="901" spans="1:5" x14ac:dyDescent="0.25">
      <c r="A901" t="s">
        <v>4657</v>
      </c>
      <c r="B901" t="s">
        <v>7890</v>
      </c>
      <c r="C901" t="s">
        <v>2931</v>
      </c>
      <c r="D901" t="s">
        <v>7890</v>
      </c>
      <c r="E901" t="s">
        <v>7867</v>
      </c>
    </row>
    <row r="902" spans="1:5" x14ac:dyDescent="0.25">
      <c r="A902" t="s">
        <v>4659</v>
      </c>
      <c r="B902" t="s">
        <v>7890</v>
      </c>
      <c r="C902" t="s">
        <v>250</v>
      </c>
      <c r="D902" t="s">
        <v>7890</v>
      </c>
      <c r="E902" t="s">
        <v>7867</v>
      </c>
    </row>
    <row r="903" spans="1:5" x14ac:dyDescent="0.25">
      <c r="A903" t="s">
        <v>4661</v>
      </c>
      <c r="B903" t="s">
        <v>7890</v>
      </c>
      <c r="C903" t="s">
        <v>139</v>
      </c>
      <c r="D903" t="s">
        <v>7890</v>
      </c>
      <c r="E903" t="s">
        <v>7867</v>
      </c>
    </row>
    <row r="904" spans="1:5" x14ac:dyDescent="0.25">
      <c r="A904" t="s">
        <v>4663</v>
      </c>
      <c r="B904" t="s">
        <v>7890</v>
      </c>
      <c r="C904" t="s">
        <v>717</v>
      </c>
      <c r="D904" t="s">
        <v>7890</v>
      </c>
      <c r="E904" t="s">
        <v>7867</v>
      </c>
    </row>
    <row r="905" spans="1:5" x14ac:dyDescent="0.25">
      <c r="A905" t="s">
        <v>4665</v>
      </c>
      <c r="B905" t="s">
        <v>7890</v>
      </c>
      <c r="C905" t="s">
        <v>3105</v>
      </c>
      <c r="D905" t="s">
        <v>7890</v>
      </c>
      <c r="E905" t="s">
        <v>7867</v>
      </c>
    </row>
    <row r="906" spans="1:5" x14ac:dyDescent="0.25">
      <c r="A906" t="s">
        <v>4667</v>
      </c>
      <c r="B906" t="s">
        <v>7890</v>
      </c>
      <c r="C906" t="s">
        <v>98</v>
      </c>
      <c r="D906" t="s">
        <v>7890</v>
      </c>
      <c r="E906" t="s">
        <v>7867</v>
      </c>
    </row>
    <row r="907" spans="1:5" x14ac:dyDescent="0.25">
      <c r="A907" t="s">
        <v>4669</v>
      </c>
      <c r="B907" t="s">
        <v>7890</v>
      </c>
      <c r="C907" t="s">
        <v>3962</v>
      </c>
      <c r="D907" t="s">
        <v>7890</v>
      </c>
      <c r="E907" t="s">
        <v>7867</v>
      </c>
    </row>
    <row r="908" spans="1:5" x14ac:dyDescent="0.25">
      <c r="A908" t="s">
        <v>4671</v>
      </c>
      <c r="B908" t="s">
        <v>7890</v>
      </c>
      <c r="C908" t="s">
        <v>109</v>
      </c>
      <c r="D908" t="s">
        <v>7890</v>
      </c>
      <c r="E908" t="s">
        <v>7867</v>
      </c>
    </row>
    <row r="909" spans="1:5" x14ac:dyDescent="0.25">
      <c r="A909" t="s">
        <v>4673</v>
      </c>
      <c r="B909" t="s">
        <v>7890</v>
      </c>
      <c r="C909" t="s">
        <v>1153</v>
      </c>
      <c r="D909" t="s">
        <v>7890</v>
      </c>
      <c r="E909" t="s">
        <v>7867</v>
      </c>
    </row>
    <row r="910" spans="1:5" x14ac:dyDescent="0.25">
      <c r="A910" t="s">
        <v>4675</v>
      </c>
      <c r="B910" t="s">
        <v>7890</v>
      </c>
      <c r="C910" t="s">
        <v>556</v>
      </c>
      <c r="D910" t="s">
        <v>7890</v>
      </c>
      <c r="E910" t="s">
        <v>7867</v>
      </c>
    </row>
    <row r="911" spans="1:5" x14ac:dyDescent="0.25">
      <c r="A911" t="s">
        <v>4677</v>
      </c>
      <c r="B911" t="s">
        <v>7890</v>
      </c>
      <c r="C911" t="s">
        <v>3119</v>
      </c>
      <c r="D911" t="s">
        <v>7890</v>
      </c>
      <c r="E911" t="s">
        <v>7867</v>
      </c>
    </row>
    <row r="912" spans="1:5" x14ac:dyDescent="0.25">
      <c r="A912" t="s">
        <v>4679</v>
      </c>
      <c r="B912" t="s">
        <v>7890</v>
      </c>
      <c r="C912" t="s">
        <v>828</v>
      </c>
      <c r="D912" t="s">
        <v>7890</v>
      </c>
      <c r="E912" t="s">
        <v>7867</v>
      </c>
    </row>
    <row r="913" spans="1:5" x14ac:dyDescent="0.25">
      <c r="A913" t="s">
        <v>4681</v>
      </c>
      <c r="B913" t="s">
        <v>7890</v>
      </c>
      <c r="C913" t="s">
        <v>3983</v>
      </c>
      <c r="D913" t="s">
        <v>7890</v>
      </c>
      <c r="E913" t="s">
        <v>7867</v>
      </c>
    </row>
    <row r="914" spans="1:5" x14ac:dyDescent="0.25">
      <c r="A914" t="s">
        <v>4683</v>
      </c>
      <c r="B914" t="s">
        <v>7890</v>
      </c>
      <c r="C914" t="s">
        <v>84</v>
      </c>
      <c r="D914" t="s">
        <v>7890</v>
      </c>
      <c r="E914" t="s">
        <v>7867</v>
      </c>
    </row>
    <row r="915" spans="1:5" x14ac:dyDescent="0.25">
      <c r="A915" t="s">
        <v>4685</v>
      </c>
      <c r="B915" t="s">
        <v>7890</v>
      </c>
      <c r="C915" t="s">
        <v>3986</v>
      </c>
      <c r="D915" t="s">
        <v>7890</v>
      </c>
      <c r="E915" t="s">
        <v>7867</v>
      </c>
    </row>
    <row r="916" spans="1:5" x14ac:dyDescent="0.25">
      <c r="A916" t="s">
        <v>4687</v>
      </c>
      <c r="B916" t="s">
        <v>7890</v>
      </c>
      <c r="C916" t="s">
        <v>239</v>
      </c>
      <c r="D916" t="s">
        <v>7890</v>
      </c>
      <c r="E916" t="s">
        <v>7867</v>
      </c>
    </row>
    <row r="917" spans="1:5" x14ac:dyDescent="0.25">
      <c r="A917" t="s">
        <v>4689</v>
      </c>
      <c r="B917" t="s">
        <v>7890</v>
      </c>
      <c r="C917" t="s">
        <v>133</v>
      </c>
      <c r="D917" t="s">
        <v>7890</v>
      </c>
      <c r="E917" t="s">
        <v>7867</v>
      </c>
    </row>
    <row r="918" spans="1:5" x14ac:dyDescent="0.25">
      <c r="A918" t="s">
        <v>4691</v>
      </c>
      <c r="B918" t="s">
        <v>7890</v>
      </c>
      <c r="C918" t="s">
        <v>88</v>
      </c>
      <c r="D918" t="s">
        <v>7890</v>
      </c>
      <c r="E918" t="s">
        <v>7867</v>
      </c>
    </row>
    <row r="919" spans="1:5" x14ac:dyDescent="0.25">
      <c r="A919" t="s">
        <v>4693</v>
      </c>
      <c r="B919" t="s">
        <v>7890</v>
      </c>
      <c r="C919" t="s">
        <v>90</v>
      </c>
      <c r="D919" t="s">
        <v>7890</v>
      </c>
      <c r="E919" t="s">
        <v>7867</v>
      </c>
    </row>
    <row r="920" spans="1:5" x14ac:dyDescent="0.25">
      <c r="A920" t="s">
        <v>4695</v>
      </c>
      <c r="B920" t="s">
        <v>7890</v>
      </c>
      <c r="C920" t="s">
        <v>1435</v>
      </c>
      <c r="D920" t="s">
        <v>7890</v>
      </c>
      <c r="E920" t="s">
        <v>7867</v>
      </c>
    </row>
    <row r="921" spans="1:5" x14ac:dyDescent="0.25">
      <c r="A921" t="s">
        <v>4697</v>
      </c>
      <c r="B921" t="s">
        <v>7890</v>
      </c>
      <c r="C921" t="s">
        <v>225</v>
      </c>
      <c r="D921" t="s">
        <v>7890</v>
      </c>
      <c r="E921" t="s">
        <v>7867</v>
      </c>
    </row>
    <row r="922" spans="1:5" x14ac:dyDescent="0.25">
      <c r="A922" t="s">
        <v>4699</v>
      </c>
      <c r="B922" t="s">
        <v>7890</v>
      </c>
      <c r="C922" t="s">
        <v>221</v>
      </c>
      <c r="D922" t="s">
        <v>7890</v>
      </c>
      <c r="E922" t="s">
        <v>7867</v>
      </c>
    </row>
    <row r="923" spans="1:5" x14ac:dyDescent="0.25">
      <c r="A923" t="s">
        <v>4701</v>
      </c>
      <c r="B923" t="s">
        <v>7890</v>
      </c>
      <c r="C923" t="s">
        <v>483</v>
      </c>
      <c r="D923" t="s">
        <v>7890</v>
      </c>
      <c r="E923" t="s">
        <v>7867</v>
      </c>
    </row>
    <row r="924" spans="1:5" x14ac:dyDescent="0.25">
      <c r="A924" t="s">
        <v>4704</v>
      </c>
      <c r="B924" t="s">
        <v>7890</v>
      </c>
      <c r="C924" t="s">
        <v>915</v>
      </c>
      <c r="D924" t="s">
        <v>7890</v>
      </c>
      <c r="E924" t="s">
        <v>7867</v>
      </c>
    </row>
    <row r="925" spans="1:5" x14ac:dyDescent="0.25">
      <c r="A925" t="s">
        <v>4706</v>
      </c>
      <c r="B925" t="s">
        <v>7890</v>
      </c>
      <c r="C925" t="s">
        <v>464</v>
      </c>
      <c r="D925" t="s">
        <v>7890</v>
      </c>
      <c r="E925" t="s">
        <v>7867</v>
      </c>
    </row>
    <row r="926" spans="1:5" x14ac:dyDescent="0.25">
      <c r="A926" t="s">
        <v>4708</v>
      </c>
      <c r="B926" t="s">
        <v>7890</v>
      </c>
      <c r="C926" t="s">
        <v>30</v>
      </c>
      <c r="D926" t="s">
        <v>7890</v>
      </c>
      <c r="E926" t="s">
        <v>7867</v>
      </c>
    </row>
    <row r="927" spans="1:5" x14ac:dyDescent="0.25">
      <c r="A927" t="s">
        <v>4710</v>
      </c>
      <c r="B927" t="s">
        <v>7890</v>
      </c>
      <c r="C927" t="s">
        <v>3163</v>
      </c>
      <c r="D927" t="s">
        <v>7890</v>
      </c>
      <c r="E927" t="s">
        <v>7867</v>
      </c>
    </row>
    <row r="928" spans="1:5" x14ac:dyDescent="0.25">
      <c r="A928" t="s">
        <v>4712</v>
      </c>
      <c r="B928" t="s">
        <v>7890</v>
      </c>
      <c r="C928" t="s">
        <v>641</v>
      </c>
      <c r="D928" t="s">
        <v>7890</v>
      </c>
      <c r="E928" t="s">
        <v>7867</v>
      </c>
    </row>
    <row r="929" spans="1:5" x14ac:dyDescent="0.25">
      <c r="A929" t="s">
        <v>4714</v>
      </c>
      <c r="B929" t="s">
        <v>7890</v>
      </c>
      <c r="C929" t="s">
        <v>3166</v>
      </c>
      <c r="D929" t="s">
        <v>7890</v>
      </c>
      <c r="E929" t="s">
        <v>7867</v>
      </c>
    </row>
    <row r="930" spans="1:5" x14ac:dyDescent="0.25">
      <c r="A930" t="s">
        <v>4716</v>
      </c>
      <c r="B930" t="s">
        <v>7890</v>
      </c>
      <c r="C930" t="s">
        <v>145</v>
      </c>
      <c r="D930" t="s">
        <v>7890</v>
      </c>
      <c r="E930" t="s">
        <v>7867</v>
      </c>
    </row>
    <row r="931" spans="1:5" x14ac:dyDescent="0.25">
      <c r="A931" t="s">
        <v>4718</v>
      </c>
      <c r="B931" t="s">
        <v>7890</v>
      </c>
      <c r="C931" t="s">
        <v>3169</v>
      </c>
      <c r="D931" t="s">
        <v>7890</v>
      </c>
      <c r="E931" t="s">
        <v>7867</v>
      </c>
    </row>
    <row r="932" spans="1:5" x14ac:dyDescent="0.25">
      <c r="A932" t="s">
        <v>4720</v>
      </c>
      <c r="B932" t="s">
        <v>7890</v>
      </c>
      <c r="C932" t="s">
        <v>2859</v>
      </c>
      <c r="D932" t="s">
        <v>7890</v>
      </c>
      <c r="E932" t="s">
        <v>7867</v>
      </c>
    </row>
    <row r="933" spans="1:5" x14ac:dyDescent="0.25">
      <c r="A933" t="s">
        <v>4722</v>
      </c>
      <c r="B933" t="s">
        <v>7890</v>
      </c>
      <c r="C933" t="s">
        <v>15</v>
      </c>
      <c r="D933" t="s">
        <v>7890</v>
      </c>
      <c r="E933" t="s">
        <v>7867</v>
      </c>
    </row>
    <row r="934" spans="1:5" x14ac:dyDescent="0.25">
      <c r="A934" t="s">
        <v>4725</v>
      </c>
      <c r="B934" t="s">
        <v>7890</v>
      </c>
      <c r="C934" t="s">
        <v>3649</v>
      </c>
      <c r="D934" t="s">
        <v>7890</v>
      </c>
      <c r="E934" t="s">
        <v>7867</v>
      </c>
    </row>
    <row r="935" spans="1:5" x14ac:dyDescent="0.25">
      <c r="A935" t="s">
        <v>4737</v>
      </c>
      <c r="B935" t="s">
        <v>7890</v>
      </c>
      <c r="C935" t="s">
        <v>458</v>
      </c>
      <c r="D935" t="s">
        <v>7890</v>
      </c>
      <c r="E935" t="s">
        <v>7867</v>
      </c>
    </row>
    <row r="936" spans="1:5" x14ac:dyDescent="0.25">
      <c r="A936" t="s">
        <v>4739</v>
      </c>
      <c r="B936" t="s">
        <v>7890</v>
      </c>
      <c r="C936" t="s">
        <v>2333</v>
      </c>
      <c r="D936" t="s">
        <v>7890</v>
      </c>
      <c r="E936" t="s">
        <v>7867</v>
      </c>
    </row>
    <row r="937" spans="1:5" x14ac:dyDescent="0.25">
      <c r="A937" t="s">
        <v>4741</v>
      </c>
      <c r="B937" t="s">
        <v>7890</v>
      </c>
      <c r="C937" t="s">
        <v>188</v>
      </c>
      <c r="D937" t="s">
        <v>7890</v>
      </c>
      <c r="E937" t="s">
        <v>7867</v>
      </c>
    </row>
    <row r="938" spans="1:5" x14ac:dyDescent="0.25">
      <c r="A938" t="s">
        <v>4743</v>
      </c>
      <c r="B938" t="s">
        <v>7890</v>
      </c>
      <c r="C938" t="s">
        <v>24</v>
      </c>
      <c r="D938" t="s">
        <v>7890</v>
      </c>
      <c r="E938" t="s">
        <v>7867</v>
      </c>
    </row>
    <row r="939" spans="1:5" x14ac:dyDescent="0.25">
      <c r="A939" t="s">
        <v>4745</v>
      </c>
      <c r="B939" t="s">
        <v>7890</v>
      </c>
      <c r="C939" t="s">
        <v>1</v>
      </c>
      <c r="D939" t="s">
        <v>7890</v>
      </c>
      <c r="E939" t="s">
        <v>7867</v>
      </c>
    </row>
    <row r="940" spans="1:5" x14ac:dyDescent="0.25">
      <c r="A940" t="s">
        <v>4748</v>
      </c>
      <c r="B940" t="s">
        <v>7890</v>
      </c>
      <c r="C940" t="s">
        <v>7879</v>
      </c>
      <c r="D940" t="s">
        <v>7890</v>
      </c>
      <c r="E940" t="s">
        <v>7867</v>
      </c>
    </row>
    <row r="941" spans="1:5" x14ac:dyDescent="0.25">
      <c r="A941" t="s">
        <v>4750</v>
      </c>
      <c r="B941" t="s">
        <v>7890</v>
      </c>
      <c r="C941" t="s">
        <v>183</v>
      </c>
      <c r="D941" t="s">
        <v>7890</v>
      </c>
      <c r="E941" t="s">
        <v>7867</v>
      </c>
    </row>
    <row r="942" spans="1:5" x14ac:dyDescent="0.25">
      <c r="A942" t="s">
        <v>4752</v>
      </c>
      <c r="B942" t="s">
        <v>7890</v>
      </c>
      <c r="C942" t="s">
        <v>304</v>
      </c>
      <c r="D942" t="s">
        <v>7890</v>
      </c>
      <c r="E942" t="s">
        <v>7867</v>
      </c>
    </row>
    <row r="943" spans="1:5" x14ac:dyDescent="0.25">
      <c r="A943" t="s">
        <v>4754</v>
      </c>
      <c r="B943" t="s">
        <v>7890</v>
      </c>
      <c r="C943" t="s">
        <v>3922</v>
      </c>
      <c r="D943" t="s">
        <v>7890</v>
      </c>
      <c r="E943" t="s">
        <v>7867</v>
      </c>
    </row>
    <row r="944" spans="1:5" x14ac:dyDescent="0.25">
      <c r="A944" t="s">
        <v>4756</v>
      </c>
      <c r="B944" t="s">
        <v>7890</v>
      </c>
      <c r="C944" t="s">
        <v>858</v>
      </c>
      <c r="D944" t="s">
        <v>7890</v>
      </c>
      <c r="E944" t="s">
        <v>7867</v>
      </c>
    </row>
    <row r="945" spans="1:5" x14ac:dyDescent="0.25">
      <c r="A945" t="s">
        <v>4758</v>
      </c>
      <c r="B945" t="s">
        <v>7890</v>
      </c>
      <c r="C945" t="s">
        <v>170</v>
      </c>
      <c r="D945" t="s">
        <v>7890</v>
      </c>
      <c r="E945" t="s">
        <v>7867</v>
      </c>
    </row>
    <row r="946" spans="1:5" x14ac:dyDescent="0.25">
      <c r="A946" t="s">
        <v>4760</v>
      </c>
      <c r="B946" t="s">
        <v>7890</v>
      </c>
      <c r="C946" t="s">
        <v>4144</v>
      </c>
      <c r="D946" t="s">
        <v>7890</v>
      </c>
      <c r="E946" t="s">
        <v>7867</v>
      </c>
    </row>
    <row r="947" spans="1:5" x14ac:dyDescent="0.25">
      <c r="A947" t="s">
        <v>4762</v>
      </c>
      <c r="B947" t="s">
        <v>7890</v>
      </c>
      <c r="C947" t="s">
        <v>3928</v>
      </c>
      <c r="D947" t="s">
        <v>7890</v>
      </c>
      <c r="E947" t="s">
        <v>7867</v>
      </c>
    </row>
    <row r="948" spans="1:5" x14ac:dyDescent="0.25">
      <c r="A948" t="s">
        <v>4764</v>
      </c>
      <c r="B948" t="s">
        <v>7890</v>
      </c>
      <c r="C948" t="s">
        <v>866</v>
      </c>
      <c r="D948" t="s">
        <v>7890</v>
      </c>
      <c r="E948" t="s">
        <v>7867</v>
      </c>
    </row>
    <row r="949" spans="1:5" x14ac:dyDescent="0.25">
      <c r="A949" t="s">
        <v>4766</v>
      </c>
      <c r="B949" t="s">
        <v>7890</v>
      </c>
      <c r="C949" t="s">
        <v>1382</v>
      </c>
      <c r="D949" t="s">
        <v>7890</v>
      </c>
      <c r="E949" t="s">
        <v>7867</v>
      </c>
    </row>
    <row r="950" spans="1:5" x14ac:dyDescent="0.25">
      <c r="A950" t="s">
        <v>4768</v>
      </c>
      <c r="B950" t="s">
        <v>7890</v>
      </c>
      <c r="C950" t="s">
        <v>61</v>
      </c>
      <c r="D950" t="s">
        <v>7890</v>
      </c>
      <c r="E950" t="s">
        <v>7867</v>
      </c>
    </row>
    <row r="951" spans="1:5" x14ac:dyDescent="0.25">
      <c r="A951" t="s">
        <v>4770</v>
      </c>
      <c r="B951" t="s">
        <v>7890</v>
      </c>
      <c r="C951" t="s">
        <v>63</v>
      </c>
      <c r="D951" t="s">
        <v>7890</v>
      </c>
      <c r="E951" t="s">
        <v>7867</v>
      </c>
    </row>
    <row r="952" spans="1:5" x14ac:dyDescent="0.25">
      <c r="A952" t="s">
        <v>4772</v>
      </c>
      <c r="B952" t="s">
        <v>7890</v>
      </c>
      <c r="C952" t="s">
        <v>4152</v>
      </c>
      <c r="D952" t="s">
        <v>7890</v>
      </c>
      <c r="E952" t="s">
        <v>7867</v>
      </c>
    </row>
    <row r="953" spans="1:5" x14ac:dyDescent="0.25">
      <c r="A953" t="s">
        <v>4774</v>
      </c>
      <c r="B953" t="s">
        <v>7890</v>
      </c>
      <c r="C953" t="s">
        <v>49</v>
      </c>
      <c r="D953" t="s">
        <v>7890</v>
      </c>
      <c r="E953" t="s">
        <v>7867</v>
      </c>
    </row>
    <row r="954" spans="1:5" x14ac:dyDescent="0.25">
      <c r="A954" t="s">
        <v>4776</v>
      </c>
      <c r="B954" t="s">
        <v>7890</v>
      </c>
      <c r="C954" t="s">
        <v>526</v>
      </c>
      <c r="D954" t="s">
        <v>7890</v>
      </c>
      <c r="E954" t="s">
        <v>7867</v>
      </c>
    </row>
    <row r="955" spans="1:5" x14ac:dyDescent="0.25">
      <c r="A955" t="s">
        <v>4778</v>
      </c>
      <c r="B955" t="s">
        <v>7890</v>
      </c>
      <c r="C955" t="s">
        <v>6904</v>
      </c>
      <c r="D955" t="s">
        <v>7890</v>
      </c>
      <c r="E955" t="s">
        <v>7867</v>
      </c>
    </row>
    <row r="956" spans="1:5" x14ac:dyDescent="0.25">
      <c r="A956" t="s">
        <v>4780</v>
      </c>
      <c r="B956" t="s">
        <v>7890</v>
      </c>
      <c r="C956" t="s">
        <v>4160</v>
      </c>
      <c r="D956" t="s">
        <v>7890</v>
      </c>
      <c r="E956" t="s">
        <v>7867</v>
      </c>
    </row>
    <row r="957" spans="1:5" x14ac:dyDescent="0.25">
      <c r="A957" t="s">
        <v>4782</v>
      </c>
      <c r="B957" t="s">
        <v>7890</v>
      </c>
      <c r="C957" t="s">
        <v>1382</v>
      </c>
      <c r="D957" t="s">
        <v>7890</v>
      </c>
      <c r="E957" t="s">
        <v>7867</v>
      </c>
    </row>
    <row r="958" spans="1:5" x14ac:dyDescent="0.25">
      <c r="A958" t="s">
        <v>4785</v>
      </c>
      <c r="B958" t="s">
        <v>7890</v>
      </c>
      <c r="C958" t="s">
        <v>69</v>
      </c>
      <c r="D958" t="s">
        <v>7890</v>
      </c>
      <c r="E958" t="s">
        <v>7867</v>
      </c>
    </row>
    <row r="959" spans="1:5" x14ac:dyDescent="0.25">
      <c r="A959" t="s">
        <v>4787</v>
      </c>
      <c r="B959" t="s">
        <v>7890</v>
      </c>
      <c r="C959" t="s">
        <v>2062</v>
      </c>
      <c r="D959" t="s">
        <v>7890</v>
      </c>
      <c r="E959" t="s">
        <v>7867</v>
      </c>
    </row>
    <row r="960" spans="1:5" x14ac:dyDescent="0.25">
      <c r="A960" t="s">
        <v>4789</v>
      </c>
      <c r="B960" t="s">
        <v>7890</v>
      </c>
      <c r="C960" t="s">
        <v>560</v>
      </c>
      <c r="D960" t="s">
        <v>7890</v>
      </c>
      <c r="E960" t="s">
        <v>7867</v>
      </c>
    </row>
    <row r="961" spans="1:5" x14ac:dyDescent="0.25">
      <c r="A961" t="s">
        <v>4791</v>
      </c>
      <c r="B961" t="s">
        <v>7890</v>
      </c>
      <c r="C961" t="s">
        <v>266</v>
      </c>
      <c r="D961" t="s">
        <v>7890</v>
      </c>
      <c r="E961" t="s">
        <v>7867</v>
      </c>
    </row>
    <row r="962" spans="1:5" x14ac:dyDescent="0.25">
      <c r="A962" t="s">
        <v>4793</v>
      </c>
      <c r="B962" t="s">
        <v>7890</v>
      </c>
      <c r="C962" t="s">
        <v>51</v>
      </c>
      <c r="D962" t="s">
        <v>7890</v>
      </c>
      <c r="E962" t="s">
        <v>7867</v>
      </c>
    </row>
    <row r="963" spans="1:5" x14ac:dyDescent="0.25">
      <c r="A963" t="s">
        <v>4795</v>
      </c>
      <c r="B963" t="s">
        <v>7890</v>
      </c>
      <c r="C963" t="s">
        <v>75</v>
      </c>
      <c r="D963" t="s">
        <v>7890</v>
      </c>
      <c r="E963" t="s">
        <v>7867</v>
      </c>
    </row>
    <row r="964" spans="1:5" x14ac:dyDescent="0.25">
      <c r="A964" t="s">
        <v>4797</v>
      </c>
      <c r="B964" t="s">
        <v>7890</v>
      </c>
      <c r="C964" t="s">
        <v>75</v>
      </c>
      <c r="D964" t="s">
        <v>7890</v>
      </c>
      <c r="E964" t="s">
        <v>7867</v>
      </c>
    </row>
    <row r="965" spans="1:5" x14ac:dyDescent="0.25">
      <c r="A965" t="s">
        <v>4799</v>
      </c>
      <c r="B965" t="s">
        <v>7890</v>
      </c>
      <c r="C965" t="s">
        <v>242</v>
      </c>
      <c r="D965" t="s">
        <v>7890</v>
      </c>
      <c r="E965" t="s">
        <v>7867</v>
      </c>
    </row>
    <row r="966" spans="1:5" x14ac:dyDescent="0.25">
      <c r="A966" t="s">
        <v>4801</v>
      </c>
      <c r="B966" t="s">
        <v>7890</v>
      </c>
      <c r="C966" t="s">
        <v>4188</v>
      </c>
      <c r="D966" t="s">
        <v>7890</v>
      </c>
      <c r="E966" t="s">
        <v>7867</v>
      </c>
    </row>
    <row r="967" spans="1:5" x14ac:dyDescent="0.25">
      <c r="A967" t="s">
        <v>4803</v>
      </c>
      <c r="B967" t="s">
        <v>7890</v>
      </c>
      <c r="C967" t="s">
        <v>150</v>
      </c>
      <c r="D967" t="s">
        <v>7890</v>
      </c>
      <c r="E967" t="s">
        <v>7871</v>
      </c>
    </row>
    <row r="968" spans="1:5" x14ac:dyDescent="0.25">
      <c r="A968" t="s">
        <v>4805</v>
      </c>
      <c r="B968" t="s">
        <v>7890</v>
      </c>
      <c r="C968" t="s">
        <v>573</v>
      </c>
      <c r="D968" t="s">
        <v>7890</v>
      </c>
      <c r="E968" t="s">
        <v>7867</v>
      </c>
    </row>
    <row r="969" spans="1:5" x14ac:dyDescent="0.25">
      <c r="A969" t="s">
        <v>4807</v>
      </c>
      <c r="B969" t="s">
        <v>7890</v>
      </c>
      <c r="C969" t="s">
        <v>2237</v>
      </c>
      <c r="D969" t="s">
        <v>7890</v>
      </c>
      <c r="E969" t="s">
        <v>7867</v>
      </c>
    </row>
    <row r="970" spans="1:5" x14ac:dyDescent="0.25">
      <c r="A970" t="s">
        <v>4809</v>
      </c>
      <c r="B970" t="s">
        <v>7890</v>
      </c>
      <c r="C970" t="s">
        <v>4195</v>
      </c>
      <c r="D970" t="s">
        <v>7890</v>
      </c>
      <c r="E970" t="s">
        <v>7867</v>
      </c>
    </row>
    <row r="971" spans="1:5" x14ac:dyDescent="0.25">
      <c r="A971" t="s">
        <v>4811</v>
      </c>
      <c r="B971" t="s">
        <v>7890</v>
      </c>
      <c r="C971" t="s">
        <v>257</v>
      </c>
      <c r="D971" t="s">
        <v>7890</v>
      </c>
      <c r="E971" t="s">
        <v>7867</v>
      </c>
    </row>
    <row r="972" spans="1:5" x14ac:dyDescent="0.25">
      <c r="A972" t="s">
        <v>4813</v>
      </c>
      <c r="B972" t="s">
        <v>7890</v>
      </c>
      <c r="C972" t="s">
        <v>2931</v>
      </c>
      <c r="D972" t="s">
        <v>7890</v>
      </c>
      <c r="E972" t="s">
        <v>7867</v>
      </c>
    </row>
    <row r="973" spans="1:5" x14ac:dyDescent="0.25">
      <c r="A973" t="s">
        <v>4815</v>
      </c>
      <c r="B973" t="s">
        <v>7890</v>
      </c>
      <c r="C973" t="s">
        <v>4200</v>
      </c>
      <c r="D973" t="s">
        <v>7890</v>
      </c>
      <c r="E973" t="s">
        <v>7867</v>
      </c>
    </row>
    <row r="974" spans="1:5" x14ac:dyDescent="0.25">
      <c r="A974" t="s">
        <v>4817</v>
      </c>
      <c r="B974" t="s">
        <v>7890</v>
      </c>
      <c r="C974" t="s">
        <v>2253</v>
      </c>
      <c r="D974" t="s">
        <v>7890</v>
      </c>
      <c r="E974" t="s">
        <v>7867</v>
      </c>
    </row>
    <row r="975" spans="1:5" x14ac:dyDescent="0.25">
      <c r="A975" t="s">
        <v>4819</v>
      </c>
      <c r="B975" t="s">
        <v>7890</v>
      </c>
      <c r="C975" t="s">
        <v>4271</v>
      </c>
      <c r="D975" t="s">
        <v>7890</v>
      </c>
      <c r="E975" t="s">
        <v>7867</v>
      </c>
    </row>
    <row r="976" spans="1:5" x14ac:dyDescent="0.25">
      <c r="A976" t="s">
        <v>4821</v>
      </c>
      <c r="B976" t="s">
        <v>7890</v>
      </c>
      <c r="C976" t="s">
        <v>2225</v>
      </c>
      <c r="D976" t="s">
        <v>7890</v>
      </c>
      <c r="E976" t="s">
        <v>7867</v>
      </c>
    </row>
    <row r="977" spans="1:5" x14ac:dyDescent="0.25">
      <c r="A977" t="s">
        <v>4823</v>
      </c>
      <c r="B977" t="s">
        <v>7890</v>
      </c>
      <c r="C977" t="s">
        <v>2355</v>
      </c>
      <c r="D977" t="s">
        <v>7890</v>
      </c>
      <c r="E977" t="s">
        <v>7867</v>
      </c>
    </row>
    <row r="978" spans="1:5" x14ac:dyDescent="0.25">
      <c r="A978" t="s">
        <v>4825</v>
      </c>
      <c r="B978" t="s">
        <v>7890</v>
      </c>
      <c r="C978" t="s">
        <v>4275</v>
      </c>
      <c r="D978" t="s">
        <v>7890</v>
      </c>
      <c r="E978" t="s">
        <v>7867</v>
      </c>
    </row>
    <row r="979" spans="1:5" x14ac:dyDescent="0.25">
      <c r="A979" t="s">
        <v>4827</v>
      </c>
      <c r="B979" t="s">
        <v>7890</v>
      </c>
      <c r="C979" t="s">
        <v>877</v>
      </c>
      <c r="D979" t="s">
        <v>7890</v>
      </c>
      <c r="E979" t="s">
        <v>7867</v>
      </c>
    </row>
    <row r="980" spans="1:5" x14ac:dyDescent="0.25">
      <c r="A980" t="s">
        <v>4829</v>
      </c>
      <c r="B980" t="s">
        <v>7890</v>
      </c>
      <c r="C980" t="s">
        <v>4278</v>
      </c>
      <c r="D980" t="s">
        <v>7890</v>
      </c>
      <c r="E980" t="s">
        <v>7867</v>
      </c>
    </row>
    <row r="981" spans="1:5" x14ac:dyDescent="0.25">
      <c r="A981" t="s">
        <v>4831</v>
      </c>
      <c r="B981" t="s">
        <v>7890</v>
      </c>
      <c r="C981" t="s">
        <v>2355</v>
      </c>
      <c r="D981" t="s">
        <v>7890</v>
      </c>
      <c r="E981" t="s">
        <v>7867</v>
      </c>
    </row>
    <row r="982" spans="1:5" x14ac:dyDescent="0.25">
      <c r="A982" t="s">
        <v>4856</v>
      </c>
      <c r="B982" t="s">
        <v>7890</v>
      </c>
      <c r="C982" t="s">
        <v>2062</v>
      </c>
      <c r="D982" t="s">
        <v>7890</v>
      </c>
      <c r="E982" t="s">
        <v>7867</v>
      </c>
    </row>
    <row r="983" spans="1:5" x14ac:dyDescent="0.25">
      <c r="A983" t="s">
        <v>4881</v>
      </c>
      <c r="B983" t="s">
        <v>7890</v>
      </c>
      <c r="C983" t="s">
        <v>2931</v>
      </c>
      <c r="D983" t="s">
        <v>7890</v>
      </c>
      <c r="E983" t="s">
        <v>7867</v>
      </c>
    </row>
    <row r="984" spans="1:5" x14ac:dyDescent="0.25">
      <c r="A984" t="s">
        <v>4884</v>
      </c>
      <c r="B984" t="s">
        <v>7890</v>
      </c>
      <c r="C984" t="s">
        <v>2375</v>
      </c>
      <c r="D984" t="s">
        <v>7890</v>
      </c>
      <c r="E984" t="s">
        <v>7871</v>
      </c>
    </row>
    <row r="985" spans="1:5" x14ac:dyDescent="0.25">
      <c r="A985" t="s">
        <v>4894</v>
      </c>
      <c r="B985" t="s">
        <v>7890</v>
      </c>
      <c r="C985" t="s">
        <v>2375</v>
      </c>
      <c r="D985" t="s">
        <v>7890</v>
      </c>
      <c r="E985" t="s">
        <v>7871</v>
      </c>
    </row>
    <row r="986" spans="1:5" x14ac:dyDescent="0.25">
      <c r="A986" t="s">
        <v>4902</v>
      </c>
      <c r="B986" t="s">
        <v>7890</v>
      </c>
      <c r="C986" t="s">
        <v>7328</v>
      </c>
      <c r="D986" t="s">
        <v>7890</v>
      </c>
      <c r="E986" t="s">
        <v>7867</v>
      </c>
    </row>
    <row r="987" spans="1:5" x14ac:dyDescent="0.25">
      <c r="A987" t="s">
        <v>4911</v>
      </c>
      <c r="B987" t="s">
        <v>7890</v>
      </c>
      <c r="C987" t="s">
        <v>2375</v>
      </c>
      <c r="D987" t="s">
        <v>7890</v>
      </c>
      <c r="E987" t="s">
        <v>7871</v>
      </c>
    </row>
    <row r="988" spans="1:5" x14ac:dyDescent="0.25">
      <c r="A988" t="s">
        <v>4981</v>
      </c>
      <c r="B988" t="s">
        <v>7890</v>
      </c>
      <c r="C988" t="s">
        <v>2931</v>
      </c>
      <c r="D988" t="s">
        <v>7890</v>
      </c>
      <c r="E988" t="s">
        <v>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releases</vt:lpstr>
      <vt:lpstr>songs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Evans</dc:creator>
  <cp:lastModifiedBy>Jason Evans</cp:lastModifiedBy>
  <dcterms:created xsi:type="dcterms:W3CDTF">2025-10-07T21:37:45Z</dcterms:created>
  <dcterms:modified xsi:type="dcterms:W3CDTF">2025-10-08T13:59:13Z</dcterms:modified>
</cp:coreProperties>
</file>